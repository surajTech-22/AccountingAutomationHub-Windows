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Index" sheetId="1" state="visible" r:id="rId1"/>
    <sheet xmlns:r="http://schemas.openxmlformats.org/officeDocument/2006/relationships" name="01_Workflow" sheetId="2" state="visible" r:id="rId2"/>
    <sheet xmlns:r="http://schemas.openxmlformats.org/officeDocument/2006/relationships" name="02_Sources" sheetId="3" state="visible" r:id="rId3"/>
    <sheet xmlns:r="http://schemas.openxmlformats.org/officeDocument/2006/relationships" name="C_AS" sheetId="4" state="visible" r:id="rId4"/>
    <sheet xmlns:r="http://schemas.openxmlformats.org/officeDocument/2006/relationships" name="C_IND" sheetId="5" state="visible" r:id="rId5"/>
    <sheet xmlns:r="http://schemas.openxmlformats.org/officeDocument/2006/relationships" name="NBFC_AS" sheetId="6" state="visible" r:id="rId6"/>
    <sheet xmlns:r="http://schemas.openxmlformats.org/officeDocument/2006/relationships" name="NBFC_IND" sheetId="7" state="visible" r:id="rId7"/>
    <sheet xmlns:r="http://schemas.openxmlformats.org/officeDocument/2006/relationships" name="NCE" sheetId="8" state="visible" r:id="rId8"/>
    <sheet xmlns:r="http://schemas.openxmlformats.org/officeDocument/2006/relationships" name="LLP" sheetId="9" state="visible" r:id="rId9"/>
    <sheet xmlns:r="http://schemas.openxmlformats.org/officeDocument/2006/relationships" name="NPO" sheetId="10" state="visible" r:id="rId10"/>
    <sheet xmlns:r="http://schemas.openxmlformats.org/officeDocument/2006/relationships" name="BANK" sheetId="11" state="visible" r:id="rId11"/>
    <sheet xmlns:r="http://schemas.openxmlformats.org/officeDocument/2006/relationships" name="COOPBANK" sheetId="12" state="visible" r:id="rId12"/>
    <sheet xmlns:r="http://schemas.openxmlformats.org/officeDocument/2006/relationships" name="LIFE" sheetId="13" state="visible" r:id="rId13"/>
    <sheet xmlns:r="http://schemas.openxmlformats.org/officeDocument/2006/relationships" name="GENINS" sheetId="14" state="visible" r:id="rId14"/>
    <sheet xmlns:r="http://schemas.openxmlformats.org/officeDocument/2006/relationships" name="REINS" sheetId="15" state="visible" r:id="rId15"/>
    <sheet xmlns:r="http://schemas.openxmlformats.org/officeDocument/2006/relationships" name="MF" sheetId="16" state="visible" r:id="rId16"/>
    <sheet xmlns:r="http://schemas.openxmlformats.org/officeDocument/2006/relationships" name="CIS" sheetId="17" state="visible" r:id="rId17"/>
    <sheet xmlns:r="http://schemas.openxmlformats.org/officeDocument/2006/relationships" name="REIT" sheetId="18" state="visible" r:id="rId18"/>
    <sheet xmlns:r="http://schemas.openxmlformats.org/officeDocument/2006/relationships" name="INVIT" sheetId="19" state="visible" r:id="rId19"/>
    <sheet xmlns:r="http://schemas.openxmlformats.org/officeDocument/2006/relationships" name="03_QA_Status" sheetId="20" state="visible" r:id="rId20"/>
    <sheet xmlns:r="http://schemas.openxmlformats.org/officeDocument/2006/relationships" name="AAH Basic Info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13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i val="1"/>
      <sz val="9"/>
    </font>
    <font>
      <name val="Carlito"/>
      <color rgb="FF0000FF"/>
      <sz val="11"/>
    </font>
    <font>
      <name val="Carlito"/>
      <b val="1"/>
      <sz val="13"/>
    </font>
    <font>
      <name val="Carlito"/>
      <b val="1"/>
      <color rgb="FFFFFFFF"/>
      <sz val="12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color rgb="FF555555"/>
      <sz val="9"/>
    </font>
    <font>
      <name val="Carlito"/>
      <b val="1"/>
      <color rgb="FFFFFFFF"/>
      <sz val="11"/>
    </font>
    <font>
      <name val="Carlito"/>
      <sz val="9"/>
    </font>
    <font>
      <name val="Carlito"/>
      <b val="1"/>
      <sz val="9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2">
    <border/>
    <border/>
    <border>
      <top style="thin">
        <color rgb="FFA6A6A6"/>
      </top>
    </border>
    <border>
      <top style="thin">
        <color rgb="FFA6A6A6"/>
      </top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</borders>
  <cellStyleXfs count="1">
    <xf numFmtId="0" fontId="0" fillId="0" borderId="1"/>
  </cellStyleXfs>
  <cellXfs count="12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4" fillId="4" borderId="0" pivotButton="0" quotePrefix="0" xfId="0"/>
    <xf numFmtId="0" fontId="4" fillId="4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2" borderId="0" pivotButton="0" quotePrefix="0" xfId="0"/>
    <xf numFmtId="0" fontId="6" fillId="2" borderId="1" pivotButton="0" quotePrefix="0" xfId="0"/>
    <xf numFmtId="164" fontId="4" fillId="4" borderId="0" pivotButton="0" quotePrefix="0" xfId="0"/>
    <xf numFmtId="164" fontId="4" fillId="4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2" fillId="5" borderId="0" pivotButton="0" quotePrefix="0" xfId="0"/>
    <xf numFmtId="0" fontId="2" fillId="5" borderId="1" pivotButton="0" quotePrefix="0" xfId="0"/>
    <xf numFmtId="0" fontId="2" fillId="5" borderId="2" pivotButton="0" quotePrefix="0" xfId="0"/>
    <xf numFmtId="0" fontId="2" fillId="5" borderId="3" pivotButton="0" quotePrefix="0" xfId="0"/>
    <xf numFmtId="0" fontId="0" fillId="6" borderId="0" pivotButton="0" quotePrefix="0" xfId="0"/>
    <xf numFmtId="0" fontId="0" fillId="6" borderId="1" pivotButton="0" quotePrefix="0" xfId="0"/>
    <xf numFmtId="0" fontId="2" fillId="6" borderId="0" pivotButton="0" quotePrefix="0" xfId="0"/>
    <xf numFmtId="0" fontId="2" fillId="6" borderId="1" pivotButton="0" quotePrefix="0" xfId="0"/>
    <xf numFmtId="0" fontId="2" fillId="6" borderId="0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0" borderId="0" pivotButton="0" quotePrefix="0" xfId="0"/>
    <xf numFmtId="0" fontId="2" fillId="0" borderId="1" pivotButton="0" quotePrefix="0" xfId="0"/>
    <xf numFmtId="164" fontId="2" fillId="6" borderId="0" applyAlignment="1" pivotButton="0" quotePrefix="0" xfId="0">
      <alignment wrapText="1"/>
    </xf>
    <xf numFmtId="164" fontId="2" fillId="0" borderId="0" pivotButton="0" quotePrefix="0" xfId="0"/>
    <xf numFmtId="164" fontId="0" fillId="0" borderId="0" pivotButton="0" quotePrefix="0" xfId="0"/>
    <xf numFmtId="164" fontId="2" fillId="5" borderId="2" pivotButton="0" quotePrefix="0" xfId="0"/>
    <xf numFmtId="164" fontId="5" fillId="0" borderId="0" pivotButton="0" quotePrefix="0" xfId="0"/>
    <xf numFmtId="164" fontId="2" fillId="3" borderId="0" applyAlignment="1" pivotButton="0" quotePrefix="0" xfId="0">
      <alignment horizontal="center" vertical="center" wrapText="1"/>
    </xf>
    <xf numFmtId="164" fontId="2" fillId="6" borderId="1" applyAlignment="1" pivotButton="0" quotePrefix="0" xfId="0">
      <alignment wrapText="1"/>
    </xf>
    <xf numFmtId="164" fontId="2" fillId="0" borderId="1" pivotButton="0" quotePrefix="0" xfId="0"/>
    <xf numFmtId="164" fontId="0" fillId="0" borderId="1" pivotButton="0" quotePrefix="0" xfId="0"/>
    <xf numFmtId="164" fontId="2" fillId="5" borderId="3" pivotButton="0" quotePrefix="0" xfId="0"/>
    <xf numFmtId="164" fontId="5" fillId="0" borderId="1" pivotButton="0" quotePrefix="0" xfId="0"/>
    <xf numFmtId="164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4" fillId="4" borderId="0" applyAlignment="1" pivotButton="0" quotePrefix="0" xfId="0">
      <alignment wrapText="1"/>
    </xf>
    <xf numFmtId="0" fontId="2" fillId="5" borderId="2" applyAlignment="1" pivotButton="0" quotePrefix="0" xfId="0">
      <alignment wrapText="1"/>
    </xf>
    <xf numFmtId="164" fontId="2" fillId="5" borderId="2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4" fillId="4" borderId="1" applyAlignment="1" pivotButton="0" quotePrefix="0" xfId="0">
      <alignment wrapText="1"/>
    </xf>
    <xf numFmtId="0" fontId="2" fillId="5" borderId="3" applyAlignment="1" pivotButton="0" quotePrefix="0" xfId="0">
      <alignment wrapText="1"/>
    </xf>
    <xf numFmtId="164" fontId="2" fillId="5" borderId="3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0" pivotButton="0" quotePrefix="0" xfId="0"/>
    <xf numFmtId="0" fontId="0" fillId="7" borderId="0" pivotButton="0" quotePrefix="0" xfId="0"/>
    <xf numFmtId="0" fontId="7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7" fillId="2" borderId="0" pivotButton="0" quotePrefix="0" xfId="0"/>
    <xf numFmtId="0" fontId="2" fillId="3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0" fontId="0" fillId="9" borderId="0" pivotButton="0" quotePrefix="0" xfId="0"/>
    <xf numFmtId="0" fontId="8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9" borderId="0" applyAlignment="1" pivotButton="0" quotePrefix="0" xfId="0">
      <alignment wrapText="1"/>
    </xf>
    <xf numFmtId="0" fontId="2" fillId="10" borderId="0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9" borderId="0" pivotButton="0" quotePrefix="0" xfId="0"/>
    <xf numFmtId="0" fontId="11" fillId="0" borderId="0" applyAlignment="1" pivotButton="0" quotePrefix="0" xfId="0">
      <alignment wrapText="1"/>
    </xf>
    <xf numFmtId="0" fontId="11" fillId="0" borderId="4" applyAlignment="1" pivotButton="0" quotePrefix="0" xfId="0">
      <alignment wrapText="1"/>
    </xf>
    <xf numFmtId="0" fontId="11" fillId="0" borderId="5" applyAlignment="1" pivotButton="0" quotePrefix="0" xfId="0">
      <alignment wrapText="1"/>
    </xf>
    <xf numFmtId="0" fontId="11" fillId="0" borderId="6" applyAlignment="1" pivotButton="0" quotePrefix="0" xfId="0">
      <alignment wrapText="1"/>
    </xf>
    <xf numFmtId="0" fontId="11" fillId="0" borderId="7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1" fillId="0" borderId="8" applyAlignment="1" pivotButton="0" quotePrefix="0" xfId="0">
      <alignment wrapText="1"/>
    </xf>
    <xf numFmtId="0" fontId="11" fillId="0" borderId="9" applyAlignment="1" pivotButton="0" quotePrefix="0" xfId="0">
      <alignment wrapText="1"/>
    </xf>
    <xf numFmtId="0" fontId="11" fillId="0" borderId="10" applyAlignment="1" pivotButton="0" quotePrefix="0" xfId="0">
      <alignment wrapText="1"/>
    </xf>
    <xf numFmtId="0" fontId="11" fillId="0" borderId="11" applyAlignment="1" pivotButton="0" quotePrefix="0" xfId="0">
      <alignment wrapText="1"/>
    </xf>
    <xf numFmtId="0" fontId="12" fillId="0" borderId="4" applyAlignment="1" pivotButton="0" quotePrefix="0" xfId="0">
      <alignment wrapText="1"/>
    </xf>
    <xf numFmtId="0" fontId="12" fillId="0" borderId="7" applyAlignment="1" pivotButton="0" quotePrefix="0" xfId="0">
      <alignment wrapText="1"/>
    </xf>
    <xf numFmtId="0" fontId="12" fillId="0" borderId="9" applyAlignment="1" pivotButton="0" quotePrefix="0" xfId="0">
      <alignment wrapText="1"/>
    </xf>
    <xf numFmtId="0" fontId="12" fillId="0" borderId="5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2" fillId="0" borderId="10" applyAlignment="1" pivotButton="0" quotePrefix="0" xfId="0">
      <alignment wrapText="1"/>
    </xf>
    <xf numFmtId="164" fontId="2" fillId="6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4" fillId="4" borderId="0" applyAlignment="1" pivotButton="0" quotePrefix="0" xfId="0">
      <alignment wrapText="1"/>
    </xf>
    <xf numFmtId="164" fontId="2" fillId="5" borderId="2" applyAlignment="1" pivotButton="0" quotePrefix="0" xfId="0">
      <alignment wrapText="1"/>
    </xf>
    <xf numFmtId="164" fontId="2" fillId="3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style="82" min="1" max="1"/>
    <col width="12" customWidth="1" style="82" min="2" max="2"/>
    <col width="34" customWidth="1" style="82" min="3" max="3"/>
    <col width="24" customWidth="1" style="82" min="4" max="4"/>
    <col width="30" customWidth="1" style="82" min="5" max="5"/>
    <col width="28" customWidth="1" style="82" min="6" max="6"/>
    <col width="55" customWidth="1" style="82" min="7" max="7"/>
    <col width="18" customWidth="1" style="82" min="8" max="8"/>
  </cols>
  <sheetData>
    <row r="1" ht="26" customHeight="1" s="82">
      <c r="A1" s="18" t="inlineStr">
        <is>
          <t>AAH Financial Statement Format Library — Final Preparation Baseline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4" t="inlineStr">
        <is>
          <t>No.</t>
        </is>
      </c>
      <c r="B3" s="14" t="inlineStr">
        <is>
          <t>Code</t>
        </is>
      </c>
      <c r="C3" s="14" t="inlineStr">
        <is>
          <t>Profile</t>
        </is>
      </c>
      <c r="D3" s="14" t="inlineStr">
        <is>
          <t>Authority</t>
        </is>
      </c>
      <c r="E3" s="14" t="inlineStr">
        <is>
          <t>Face Statements</t>
        </is>
      </c>
      <c r="F3" s="14" t="inlineStr">
        <is>
          <t>Notes / Schedules</t>
        </is>
      </c>
      <c r="G3" s="14" t="inlineStr">
        <is>
          <t>Special Statements</t>
        </is>
      </c>
      <c r="H3" s="14" t="inlineStr">
        <is>
          <t>AAH Mapping Ready</t>
        </is>
      </c>
    </row>
    <row r="4">
      <c r="A4" s="17" t="n">
        <v>1</v>
      </c>
      <c r="B4" s="17" t="inlineStr">
        <is>
          <t>C_AS</t>
        </is>
      </c>
      <c r="C4" s="17" t="inlineStr">
        <is>
          <t>Company — AS — Schedule III Division I</t>
        </is>
      </c>
      <c r="D4" s="17" t="inlineStr">
        <is>
          <t>MCA</t>
        </is>
      </c>
      <c r="E4" s="17" t="inlineStr">
        <is>
          <t>Balance Sheet + P&amp;L / equivalent</t>
        </is>
      </c>
      <c r="F4" s="17" t="inlineStr">
        <is>
          <t>Detailed linked note lines</t>
        </is>
      </c>
      <c r="G4" s="17" t="inlineStr">
        <is>
          <t>—</t>
        </is>
      </c>
      <c r="H4" s="17" t="inlineStr">
        <is>
          <t>Yes</t>
        </is>
      </c>
    </row>
    <row r="5">
      <c r="A5" s="17" t="n">
        <v>2</v>
      </c>
      <c r="B5" s="17" t="inlineStr">
        <is>
          <t>C_IND</t>
        </is>
      </c>
      <c r="C5" s="17" t="inlineStr">
        <is>
          <t>Company — Ind AS — Schedule III Division II</t>
        </is>
      </c>
      <c r="D5" s="17" t="inlineStr">
        <is>
          <t>MCA</t>
        </is>
      </c>
      <c r="E5" s="17" t="inlineStr">
        <is>
          <t>Balance Sheet + P&amp;L / equivalent</t>
        </is>
      </c>
      <c r="F5" s="17" t="inlineStr">
        <is>
          <t>Detailed linked note lines</t>
        </is>
      </c>
      <c r="G5" s="17" t="inlineStr">
        <is>
          <t>Statement of Changes in Equity, Cash Flow Statement</t>
        </is>
      </c>
      <c r="H5" s="17" t="inlineStr">
        <is>
          <t>Yes</t>
        </is>
      </c>
    </row>
    <row r="6">
      <c r="A6" s="17" t="n">
        <v>3</v>
      </c>
      <c r="B6" s="17" t="inlineStr">
        <is>
          <t>NBFC_AS</t>
        </is>
      </c>
      <c r="C6" s="17" t="inlineStr">
        <is>
          <t>NBFC — Accounting Standards (non-Ind AS)</t>
        </is>
      </c>
      <c r="D6" s="17" t="inlineStr">
        <is>
          <t>MCA + RBI</t>
        </is>
      </c>
      <c r="E6" s="17" t="inlineStr">
        <is>
          <t>Balance Sheet + P&amp;L / equivalent</t>
        </is>
      </c>
      <c r="F6" s="17" t="inlineStr">
        <is>
          <t>Detailed linked note lines</t>
        </is>
      </c>
      <c r="G6" s="17" t="inlineStr">
        <is>
          <t>RBI Regulatory Disclosure Pack</t>
        </is>
      </c>
      <c r="H6" s="17" t="inlineStr">
        <is>
          <t>Yes</t>
        </is>
      </c>
    </row>
    <row r="7">
      <c r="A7" s="17" t="n">
        <v>4</v>
      </c>
      <c r="B7" s="17" t="inlineStr">
        <is>
          <t>NBFC_IND</t>
        </is>
      </c>
      <c r="C7" s="17" t="inlineStr">
        <is>
          <t>NBFC — Ind AS — Schedule III Division III</t>
        </is>
      </c>
      <c r="D7" s="17" t="inlineStr">
        <is>
          <t>MCA + RBI</t>
        </is>
      </c>
      <c r="E7" s="17" t="inlineStr">
        <is>
          <t>Balance Sheet + P&amp;L / equivalent</t>
        </is>
      </c>
      <c r="F7" s="17" t="inlineStr">
        <is>
          <t>Detailed linked note lines</t>
        </is>
      </c>
      <c r="G7" s="17" t="inlineStr">
        <is>
          <t>Statement of Changes in Equity, Cash Flow Statement, RBI Regulatory Disclosure Pack</t>
        </is>
      </c>
      <c r="H7" s="17" t="inlineStr">
        <is>
          <t>Yes</t>
        </is>
      </c>
    </row>
    <row r="8">
      <c r="A8" s="17" t="n">
        <v>5</v>
      </c>
      <c r="B8" s="17" t="inlineStr">
        <is>
          <t>NCE</t>
        </is>
      </c>
      <c r="C8" s="17" t="inlineStr">
        <is>
          <t>Non-Corporate Entity</t>
        </is>
      </c>
      <c r="D8" s="17" t="inlineStr">
        <is>
          <t>ICAI</t>
        </is>
      </c>
      <c r="E8" s="17" t="inlineStr">
        <is>
          <t>Balance Sheet + P&amp;L / equivalent</t>
        </is>
      </c>
      <c r="F8" s="17" t="inlineStr">
        <is>
          <t>Detailed linked note lines</t>
        </is>
      </c>
      <c r="G8" s="17" t="inlineStr">
        <is>
          <t>Cash Flow Statement where applicable</t>
        </is>
      </c>
      <c r="H8" s="17" t="inlineStr">
        <is>
          <t>Yes</t>
        </is>
      </c>
    </row>
    <row r="9">
      <c r="A9" s="17" t="n">
        <v>6</v>
      </c>
      <c r="B9" s="17" t="inlineStr">
        <is>
          <t>LLP</t>
        </is>
      </c>
      <c r="C9" s="17" t="inlineStr">
        <is>
          <t>Limited Liability Partnership</t>
        </is>
      </c>
      <c r="D9" s="17" t="inlineStr">
        <is>
          <t>ICAI + MCA</t>
        </is>
      </c>
      <c r="E9" s="17" t="inlineStr">
        <is>
          <t>Balance Sheet + P&amp;L / equivalent</t>
        </is>
      </c>
      <c r="F9" s="17" t="inlineStr">
        <is>
          <t>Detailed linked note lines</t>
        </is>
      </c>
      <c r="G9" s="17" t="inlineStr">
        <is>
          <t>Cash Flow Statement where applicable, MCA Form 8 support output</t>
        </is>
      </c>
      <c r="H9" s="17" t="inlineStr">
        <is>
          <t>Yes</t>
        </is>
      </c>
    </row>
    <row r="10">
      <c r="A10" s="17" t="n">
        <v>7</v>
      </c>
      <c r="B10" s="17" t="inlineStr">
        <is>
          <t>NPO</t>
        </is>
      </c>
      <c r="C10" s="17" t="inlineStr">
        <is>
          <t>Not-for-Profit Organisation</t>
        </is>
      </c>
      <c r="D10" s="17" t="inlineStr">
        <is>
          <t>ICAI / governing statute</t>
        </is>
      </c>
      <c r="E10" s="17" t="inlineStr">
        <is>
          <t>Balance Sheet + P&amp;L / equivalent</t>
        </is>
      </c>
      <c r="F10" s="17" t="inlineStr">
        <is>
          <t>Detailed linked note lines</t>
        </is>
      </c>
      <c r="G10" s="17" t="inlineStr">
        <is>
          <t>Receipts &amp; Payments where required, Fund movement schedules</t>
        </is>
      </c>
      <c r="H10" s="17" t="inlineStr">
        <is>
          <t>Yes</t>
        </is>
      </c>
    </row>
    <row r="11">
      <c r="A11" s="17" t="n">
        <v>8</v>
      </c>
      <c r="B11" s="17" t="inlineStr">
        <is>
          <t>BANK</t>
        </is>
      </c>
      <c r="C11" s="17" t="inlineStr">
        <is>
          <t>Banking Company</t>
        </is>
      </c>
      <c r="D11" s="17" t="inlineStr">
        <is>
          <t>RBI / Banking Regulation Act</t>
        </is>
      </c>
      <c r="E11" s="17" t="inlineStr">
        <is>
          <t>Balance Sheet + P&amp;L / equivalent</t>
        </is>
      </c>
      <c r="F11" s="17" t="inlineStr">
        <is>
          <t>Detailed linked note lines</t>
        </is>
      </c>
      <c r="G11" s="17" t="inlineStr">
        <is>
          <t>Form A Balance Sheet, Form B P&amp;L, Schedules 1-16</t>
        </is>
      </c>
      <c r="H11" s="17" t="inlineStr">
        <is>
          <t>Yes</t>
        </is>
      </c>
    </row>
    <row r="12">
      <c r="A12" s="17" t="n">
        <v>9</v>
      </c>
      <c r="B12" s="17" t="inlineStr">
        <is>
          <t>COOPBANK</t>
        </is>
      </c>
      <c r="C12" s="17" t="inlineStr">
        <is>
          <t>Co-operative Bank</t>
        </is>
      </c>
      <c r="D12" s="17" t="inlineStr">
        <is>
          <t>RBI / Banking Regulation Act as adapted</t>
        </is>
      </c>
      <c r="E12" s="17" t="inlineStr">
        <is>
          <t>Balance Sheet + P&amp;L / equivalent</t>
        </is>
      </c>
      <c r="F12" s="17" t="inlineStr">
        <is>
          <t>Detailed linked note lines</t>
        </is>
      </c>
      <c r="G12" s="17" t="inlineStr">
        <is>
          <t>Co-operative-bank adapted schedules, Overdue Interest Reserve disclosure</t>
        </is>
      </c>
      <c r="H12" s="17" t="inlineStr">
        <is>
          <t>Yes</t>
        </is>
      </c>
    </row>
    <row r="13">
      <c r="A13" s="17" t="n">
        <v>10</v>
      </c>
      <c r="B13" s="17" t="inlineStr">
        <is>
          <t>LIFE</t>
        </is>
      </c>
      <c r="C13" s="17" t="inlineStr">
        <is>
          <t>Life Insurance</t>
        </is>
      </c>
      <c r="D13" s="17" t="inlineStr">
        <is>
          <t>IRDAI</t>
        </is>
      </c>
      <c r="E13" s="17" t="inlineStr">
        <is>
          <t>Balance Sheet + P&amp;L / equivalent</t>
        </is>
      </c>
      <c r="F13" s="17" t="inlineStr">
        <is>
          <t>Detailed linked note lines</t>
        </is>
      </c>
      <c r="G13" s="17" t="inlineStr">
        <is>
          <t>Form A-BS, Form A-RA, Form A-PL</t>
        </is>
      </c>
      <c r="H13" s="17" t="inlineStr">
        <is>
          <t>Yes</t>
        </is>
      </c>
    </row>
    <row r="14">
      <c r="A14" s="17" t="n">
        <v>11</v>
      </c>
      <c r="B14" s="17" t="inlineStr">
        <is>
          <t>GENINS</t>
        </is>
      </c>
      <c r="C14" s="17" t="inlineStr">
        <is>
          <t>General Insurance</t>
        </is>
      </c>
      <c r="D14" s="17" t="inlineStr">
        <is>
          <t>IRDAI</t>
        </is>
      </c>
      <c r="E14" s="17" t="inlineStr">
        <is>
          <t>Balance Sheet + P&amp;L / equivalent</t>
        </is>
      </c>
      <c r="F14" s="17" t="inlineStr">
        <is>
          <t>Detailed linked note lines</t>
        </is>
      </c>
      <c r="G14" s="17" t="inlineStr">
        <is>
          <t>Form B-BS, Form B-RA, Form B-PL</t>
        </is>
      </c>
      <c r="H14" s="17" t="inlineStr">
        <is>
          <t>Yes</t>
        </is>
      </c>
    </row>
    <row r="15">
      <c r="A15" s="17" t="n">
        <v>12</v>
      </c>
      <c r="B15" s="17" t="inlineStr">
        <is>
          <t>REINS</t>
        </is>
      </c>
      <c r="C15" s="17" t="inlineStr">
        <is>
          <t>Reinsurance</t>
        </is>
      </c>
      <c r="D15" s="17" t="inlineStr">
        <is>
          <t>IRDAI</t>
        </is>
      </c>
      <c r="E15" s="17" t="inlineStr">
        <is>
          <t>Balance Sheet + P&amp;L / equivalent</t>
        </is>
      </c>
      <c r="F15" s="17" t="inlineStr">
        <is>
          <t>Detailed linked note lines</t>
        </is>
      </c>
      <c r="G15" s="17" t="inlineStr">
        <is>
          <t>Reinsurance-specific B-series forms, Regulatory reserve disclosures</t>
        </is>
      </c>
      <c r="H15" s="17" t="inlineStr">
        <is>
          <t>Yes</t>
        </is>
      </c>
    </row>
    <row r="16">
      <c r="A16" s="17" t="n">
        <v>13</v>
      </c>
      <c r="B16" s="17" t="inlineStr">
        <is>
          <t>MF</t>
        </is>
      </c>
      <c r="C16" s="17" t="inlineStr">
        <is>
          <t>Mutual Fund Scheme</t>
        </is>
      </c>
      <c r="D16" s="17" t="inlineStr">
        <is>
          <t>SEBI</t>
        </is>
      </c>
      <c r="E16" s="17" t="inlineStr">
        <is>
          <t>Balance Sheet + P&amp;L / equivalent</t>
        </is>
      </c>
      <c r="F16" s="17" t="inlineStr">
        <is>
          <t>Detailed linked note lines</t>
        </is>
      </c>
      <c r="G16" s="17" t="inlineStr">
        <is>
          <t>Unit Capital &amp; NAV Statement, Scheme-wise disclosures</t>
        </is>
      </c>
      <c r="H16" s="17" t="inlineStr">
        <is>
          <t>Yes</t>
        </is>
      </c>
    </row>
    <row r="17">
      <c r="A17" s="17" t="n">
        <v>14</v>
      </c>
      <c r="B17" s="17" t="inlineStr">
        <is>
          <t>CIS</t>
        </is>
      </c>
      <c r="C17" s="17" t="inlineStr">
        <is>
          <t>Collective Investment Scheme</t>
        </is>
      </c>
      <c r="D17" s="17" t="inlineStr">
        <is>
          <t>SEBI</t>
        </is>
      </c>
      <c r="E17" s="17" t="inlineStr">
        <is>
          <t>Balance Sheet + P&amp;L / equivalent</t>
        </is>
      </c>
      <c r="F17" s="17" t="inlineStr">
        <is>
          <t>Detailed linked note lines</t>
        </is>
      </c>
      <c r="G17" s="17" t="inlineStr">
        <is>
          <t>—</t>
        </is>
      </c>
      <c r="H17" s="17" t="inlineStr">
        <is>
          <t>Yes</t>
        </is>
      </c>
    </row>
    <row r="18">
      <c r="A18" s="17" t="n">
        <v>15</v>
      </c>
      <c r="B18" s="17" t="inlineStr">
        <is>
          <t>REIT</t>
        </is>
      </c>
      <c r="C18" s="17" t="inlineStr">
        <is>
          <t>Real Estate Investment Trust</t>
        </is>
      </c>
      <c r="D18" s="17" t="inlineStr">
        <is>
          <t>SEBI</t>
        </is>
      </c>
      <c r="E18" s="17" t="inlineStr">
        <is>
          <t>Balance Sheet + P&amp;L / equivalent</t>
        </is>
      </c>
      <c r="F18" s="17" t="inlineStr">
        <is>
          <t>Detailed linked note lines</t>
        </is>
      </c>
      <c r="G18" s="17" t="inlineStr">
        <is>
          <t>Statement of Changes in Unitholders' Equity, Cash Flow Statement, Statement of Net Assets at Fair Value, Statement of Total Returns at Fair Value, NDCF / Distribution Statement</t>
        </is>
      </c>
      <c r="H18" s="17" t="inlineStr">
        <is>
          <t>Yes</t>
        </is>
      </c>
    </row>
    <row r="19">
      <c r="A19" s="17" t="n">
        <v>16</v>
      </c>
      <c r="B19" s="17" t="inlineStr">
        <is>
          <t>INVIT</t>
        </is>
      </c>
      <c r="C19" s="17" t="inlineStr">
        <is>
          <t>Infrastructure Investment Trust</t>
        </is>
      </c>
      <c r="D19" s="17" t="inlineStr">
        <is>
          <t>SEBI</t>
        </is>
      </c>
      <c r="E19" s="17" t="inlineStr">
        <is>
          <t>Balance Sheet + P&amp;L / equivalent</t>
        </is>
      </c>
      <c r="F19" s="17" t="inlineStr">
        <is>
          <t>Detailed linked note lines</t>
        </is>
      </c>
      <c r="G19" s="17" t="inlineStr">
        <is>
          <t>Statement of Changes in Unitholders' Equity, Cash Flow Statement, Statement of Net Assets at Fair Value, Statement of Total Returns at Fair Value, NDCF / Distribution Statement</t>
        </is>
      </c>
      <c r="H19" s="17" t="inlineStr">
        <is>
          <t>Yes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style="82" min="1" max="1"/>
    <col width="24" customWidth="1" style="82" min="2" max="2"/>
    <col width="50" customWidth="1" style="82" min="3" max="3"/>
    <col width="24" customWidth="1" style="82" min="4" max="4"/>
    <col width="26" customWidth="1" style="82" min="5" max="5"/>
    <col width="34" customWidth="1" style="82" min="6" max="6"/>
  </cols>
  <sheetData>
    <row r="1" ht="26" customHeight="1" s="82">
      <c r="A1" s="18" t="inlineStr">
        <is>
          <t>Standard Financial Statement Preparation Workflow</t>
        </is>
      </c>
      <c r="B1" s="1" t="n"/>
      <c r="C1" s="1" t="n"/>
      <c r="D1" s="1" t="n"/>
      <c r="E1" s="1" t="n"/>
      <c r="F1" s="1" t="n"/>
    </row>
    <row r="2">
      <c r="A2" s="17" t="n"/>
      <c r="B2" s="17" t="n"/>
      <c r="C2" s="17" t="n"/>
      <c r="D2" s="17" t="n"/>
      <c r="E2" s="17" t="n"/>
      <c r="F2" s="17" t="n"/>
    </row>
    <row r="3">
      <c r="A3" s="14" t="inlineStr">
        <is>
          <t>Step</t>
        </is>
      </c>
      <c r="B3" s="14" t="inlineStr">
        <is>
          <t>Stage</t>
        </is>
      </c>
      <c r="C3" s="14" t="inlineStr">
        <is>
          <t>What happens</t>
        </is>
      </c>
      <c r="D3" s="14" t="inlineStr">
        <is>
          <t>AAH authority</t>
        </is>
      </c>
      <c r="E3" s="14" t="inlineStr">
        <is>
          <t>User role</t>
        </is>
      </c>
      <c r="F3" s="14" t="inlineStr">
        <is>
          <t>Output</t>
        </is>
      </c>
    </row>
    <row r="4">
      <c r="A4" s="17" t="n">
        <v>1</v>
      </c>
      <c r="B4" s="17" t="inlineStr">
        <is>
          <t>Profile</t>
        </is>
      </c>
      <c r="C4" s="17" t="inlineStr">
        <is>
          <t>Select legal/accounting/regulatory profile</t>
        </is>
      </c>
      <c r="D4" s="17" t="inlineStr">
        <is>
          <t>Client + FY</t>
        </is>
      </c>
      <c r="E4" s="17" t="inlineStr">
        <is>
          <t>Confirm</t>
        </is>
      </c>
      <c r="F4" s="17" t="inlineStr">
        <is>
          <t>Correct statutory schema</t>
        </is>
      </c>
    </row>
    <row r="5">
      <c r="A5" s="17" t="n">
        <v>2</v>
      </c>
      <c r="B5" s="17" t="inlineStr">
        <is>
          <t>Data authority</t>
        </is>
      </c>
      <c r="C5" s="17" t="inlineStr">
        <is>
          <t>Bring current + comparative ledger balances</t>
        </is>
      </c>
      <c r="D5" s="17" t="inlineStr">
        <is>
          <t>AAH/Tally sync</t>
        </is>
      </c>
      <c r="E5" s="17" t="inlineStr">
        <is>
          <t>Review only</t>
        </is>
      </c>
      <c r="F5" s="17" t="inlineStr">
        <is>
          <t>Trial balance authority</t>
        </is>
      </c>
    </row>
    <row r="6">
      <c r="A6" s="17" t="n">
        <v>3</v>
      </c>
      <c r="B6" s="17" t="inlineStr">
        <is>
          <t>Mapping</t>
        </is>
      </c>
      <c r="C6" s="17" t="inlineStr">
        <is>
          <t>Map ledger/group to AAH Mapping Key</t>
        </is>
      </c>
      <c r="D6" s="17" t="inlineStr">
        <is>
          <t>Persistent by MasterId</t>
        </is>
      </c>
      <c r="E6" s="17" t="inlineStr">
        <is>
          <t>Resolve unmapped</t>
        </is>
      </c>
      <c r="F6" s="17" t="inlineStr">
        <is>
          <t>Note allocation</t>
        </is>
      </c>
    </row>
    <row r="7">
      <c r="A7" s="17" t="n">
        <v>4</v>
      </c>
      <c r="B7" s="17" t="inlineStr">
        <is>
          <t>Disclosures</t>
        </is>
      </c>
      <c r="C7" s="17" t="inlineStr">
        <is>
          <t>Capture non-ledger facts / statutory tables</t>
        </is>
      </c>
      <c r="D7" s="17" t="inlineStr">
        <is>
          <t>Client + FY</t>
        </is>
      </c>
      <c r="E7" s="17" t="inlineStr">
        <is>
          <t>Enter/approve</t>
        </is>
      </c>
      <c r="F7" s="17" t="inlineStr">
        <is>
          <t>Supplementary disclosure authority</t>
        </is>
      </c>
    </row>
    <row r="8">
      <c r="A8" s="17" t="n">
        <v>5</v>
      </c>
      <c r="B8" s="17" t="inlineStr">
        <is>
          <t>Notes</t>
        </is>
      </c>
      <c r="C8" s="17" t="inlineStr">
        <is>
          <t>Aggregate mapping keys into note lines</t>
        </is>
      </c>
      <c r="D8" s="17" t="inlineStr">
        <is>
          <t>Calculated</t>
        </is>
      </c>
      <c r="E8" s="17" t="inlineStr">
        <is>
          <t>Review</t>
        </is>
      </c>
      <c r="F8" s="17" t="inlineStr">
        <is>
          <t>Complete Notes</t>
        </is>
      </c>
    </row>
    <row r="9">
      <c r="A9" s="17" t="n">
        <v>6</v>
      </c>
      <c r="B9" s="17" t="inlineStr">
        <is>
          <t>Face statements</t>
        </is>
      </c>
      <c r="C9" s="17" t="inlineStr">
        <is>
          <t>Notes feed BS/P&amp;L/I&amp;E/Revenue Account</t>
        </is>
      </c>
      <c r="D9" s="17" t="inlineStr">
        <is>
          <t>Calculated</t>
        </is>
      </c>
      <c r="E9" s="17" t="inlineStr">
        <is>
          <t>None</t>
        </is>
      </c>
      <c r="F9" s="17" t="inlineStr">
        <is>
          <t>Final statements</t>
        </is>
      </c>
    </row>
    <row r="10">
      <c r="A10" s="17" t="n">
        <v>7</v>
      </c>
      <c r="B10" s="17" t="inlineStr">
        <is>
          <t>Special statements</t>
        </is>
      </c>
      <c r="C10" s="17" t="inlineStr">
        <is>
          <t>CFS/SOCE/NAV/NDCF/regulatory schedules</t>
        </is>
      </c>
      <c r="D10" s="17" t="inlineStr">
        <is>
          <t>Calculated</t>
        </is>
      </c>
      <c r="E10" s="17" t="inlineStr">
        <is>
          <t>Review</t>
        </is>
      </c>
      <c r="F10" s="17" t="inlineStr">
        <is>
          <t>Complete report set</t>
        </is>
      </c>
    </row>
    <row r="11">
      <c r="A11" s="17" t="n">
        <v>8</v>
      </c>
      <c r="B11" s="17" t="inlineStr">
        <is>
          <t>Validation</t>
        </is>
      </c>
      <c r="C11" s="17" t="inlineStr">
        <is>
          <t>Tie-outs, balance, mapping completeness, comparatives</t>
        </is>
      </c>
      <c r="D11" s="17" t="inlineStr">
        <is>
          <t>Calculated</t>
        </is>
      </c>
      <c r="E11" s="17" t="inlineStr">
        <is>
          <t>Resolve failures</t>
        </is>
      </c>
      <c r="F11" s="17" t="inlineStr">
        <is>
          <t>Ready status</t>
        </is>
      </c>
    </row>
    <row r="12">
      <c r="A12" s="17" t="n">
        <v>9</v>
      </c>
      <c r="B12" s="17" t="inlineStr">
        <is>
          <t>Print pack</t>
        </is>
      </c>
      <c r="C12" s="17" t="inlineStr">
        <is>
          <t>Only clean final statements and notes</t>
        </is>
      </c>
      <c r="D12" s="17" t="inlineStr">
        <is>
          <t>Calculated</t>
        </is>
      </c>
      <c r="E12" s="17" t="inlineStr">
        <is>
          <t>Export / sign</t>
        </is>
      </c>
      <c r="F12" s="17" t="inlineStr">
        <is>
          <t>Excel/PDF-ready pack</t>
        </is>
      </c>
    </row>
    <row r="13">
      <c r="A13" s="17" t="n">
        <v>10</v>
      </c>
      <c r="B13" s="17" t="inlineStr">
        <is>
          <t>Year rollover</t>
        </is>
      </c>
      <c r="C13" s="17" t="inlineStr">
        <is>
          <t>Carry mapping, not manual amounts</t>
        </is>
      </c>
      <c r="D13" s="17" t="inlineStr">
        <is>
          <t>AAH</t>
        </is>
      </c>
      <c r="E13" s="17" t="inlineStr">
        <is>
          <t>Review changes</t>
        </is>
      </c>
      <c r="F13" s="17" t="inlineStr">
        <is>
          <t>Next-year comparative setup</t>
        </is>
      </c>
    </row>
    <row r="14">
      <c r="A14" s="17" t="n"/>
      <c r="B14" s="17" t="n"/>
      <c r="C14" s="17" t="n"/>
      <c r="D14" s="17" t="n"/>
      <c r="E14" s="17" t="n"/>
      <c r="F14" s="17" t="n"/>
    </row>
    <row r="15">
      <c r="A15" s="17" t="n"/>
      <c r="B15" s="17" t="n"/>
      <c r="C15" s="17" t="n"/>
      <c r="D15" s="17" t="n"/>
      <c r="E15" s="17" t="n"/>
      <c r="F15" s="17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style="82" min="1" max="1"/>
    <col width="26" customWidth="1" style="82" min="2" max="2"/>
    <col width="78" customWidth="1" style="82" min="3" max="3"/>
    <col width="55" customWidth="1" style="82" min="4" max="4"/>
  </cols>
  <sheetData>
    <row r="1" ht="26" customHeight="1" s="82">
      <c r="A1" s="18" t="inlineStr">
        <is>
          <t>Official Source Register</t>
        </is>
      </c>
      <c r="B1" s="1" t="n"/>
      <c r="C1" s="1" t="n"/>
      <c r="D1" s="1" t="n"/>
    </row>
    <row r="2">
      <c r="A2" s="17" t="n"/>
      <c r="B2" s="17" t="n"/>
      <c r="C2" s="17" t="n"/>
      <c r="D2" s="17" t="n"/>
    </row>
    <row r="3">
      <c r="A3" s="14" t="inlineStr">
        <is>
          <t>Profile</t>
        </is>
      </c>
      <c r="B3" s="14" t="inlineStr">
        <is>
          <t>Authority</t>
        </is>
      </c>
      <c r="C3" s="14" t="inlineStr">
        <is>
          <t>Official URL</t>
        </is>
      </c>
      <c r="D3" s="14" t="inlineStr">
        <is>
          <t>Rule</t>
        </is>
      </c>
    </row>
    <row r="4">
      <c r="A4" s="17" t="inlineStr">
        <is>
          <t>Company — AS — Schedule III Division I</t>
        </is>
      </c>
      <c r="B4" s="17" t="inlineStr">
        <is>
          <t>MCA</t>
        </is>
      </c>
      <c r="C4" s="17" t="inlineStr">
        <is>
          <t>https://www.mca.gov.in/Ministry/pdf/ScheduleIIIAmendmentNotification_24032021.pdf</t>
        </is>
      </c>
      <c r="D4" s="17" t="inlineStr">
        <is>
          <t>Specific regulator/statute presentation overrides a generic format.</t>
        </is>
      </c>
    </row>
    <row r="5">
      <c r="A5" s="17" t="inlineStr">
        <is>
          <t>Company — Ind AS — Schedule III Division II</t>
        </is>
      </c>
      <c r="B5" s="17" t="inlineStr">
        <is>
          <t>MCA</t>
        </is>
      </c>
      <c r="C5" s="17" t="inlineStr">
        <is>
          <t>https://www.mca.gov.in/Ministry/pdf/ScheduleIIIAmendmentNotification_24032021.pdf</t>
        </is>
      </c>
      <c r="D5" s="17" t="inlineStr">
        <is>
          <t>Specific regulator/statute presentation overrides a generic format.</t>
        </is>
      </c>
    </row>
    <row r="6">
      <c r="A6" s="17" t="inlineStr">
        <is>
          <t>NBFC — Accounting Standards (non-Ind AS)</t>
        </is>
      </c>
      <c r="B6" s="17" t="inlineStr">
        <is>
          <t>MCA + RBI</t>
        </is>
      </c>
      <c r="C6" s="17" t="inlineStr">
        <is>
          <t>https://www.rbi.org.in/</t>
        </is>
      </c>
      <c r="D6" s="17" t="inlineStr">
        <is>
          <t>Specific regulator/statute presentation overrides a generic format.</t>
        </is>
      </c>
    </row>
    <row r="7">
      <c r="A7" s="17" t="inlineStr">
        <is>
          <t>NBFC — Ind AS — Schedule III Division III</t>
        </is>
      </c>
      <c r="B7" s="17" t="inlineStr">
        <is>
          <t>MCA + RBI</t>
        </is>
      </c>
      <c r="C7" s="17" t="inlineStr">
        <is>
          <t>https://www.mca.gov.in/Ministry/pdf/NotificationScheduleIII_12102018.pdf</t>
        </is>
      </c>
      <c r="D7" s="17" t="inlineStr">
        <is>
          <t>Specific regulator/statute presentation overrides a generic format.</t>
        </is>
      </c>
    </row>
    <row r="8">
      <c r="A8" s="17" t="inlineStr">
        <is>
          <t>Non-Corporate Entity</t>
        </is>
      </c>
      <c r="B8" s="17" t="inlineStr">
        <is>
          <t>ICAI</t>
        </is>
      </c>
      <c r="C8" s="17" t="inlineStr">
        <is>
          <t>https://www.icai.org/post/guidance-notes</t>
        </is>
      </c>
      <c r="D8" s="17" t="inlineStr">
        <is>
          <t>Specific regulator/statute presentation overrides a generic format.</t>
        </is>
      </c>
    </row>
    <row r="9">
      <c r="A9" s="17" t="inlineStr">
        <is>
          <t>Limited Liability Partnership</t>
        </is>
      </c>
      <c r="B9" s="17" t="inlineStr">
        <is>
          <t>ICAI + MCA</t>
        </is>
      </c>
      <c r="C9" s="17" t="inlineStr">
        <is>
          <t>https://www.icai.org/post/guidance-notes</t>
        </is>
      </c>
      <c r="D9" s="17" t="inlineStr">
        <is>
          <t>Specific regulator/statute presentation overrides a generic format.</t>
        </is>
      </c>
    </row>
    <row r="10">
      <c r="A10" s="17" t="inlineStr">
        <is>
          <t>Not-for-Profit Organisation</t>
        </is>
      </c>
      <c r="B10" s="17" t="inlineStr">
        <is>
          <t>ICAI / governing statute</t>
        </is>
      </c>
      <c r="C10" s="17" t="inlineStr">
        <is>
          <t>https://www.icai.org/post/technical-guides-and-other-materials</t>
        </is>
      </c>
      <c r="D10" s="17" t="inlineStr">
        <is>
          <t>Specific regulator/statute presentation overrides a generic format.</t>
        </is>
      </c>
    </row>
    <row r="11">
      <c r="A11" s="17" t="inlineStr">
        <is>
          <t>Banking Company</t>
        </is>
      </c>
      <c r="B11" s="17" t="inlineStr">
        <is>
          <t>RBI / Banking Regulation Act</t>
        </is>
      </c>
      <c r="C11" s="17" t="inlineStr">
        <is>
          <t>https://www.indiacode.nic.in/bitstream/123456789/1885/1/A194910.pdf</t>
        </is>
      </c>
      <c r="D11" s="17" t="inlineStr">
        <is>
          <t>Specific regulator/statute presentation overrides a generic format.</t>
        </is>
      </c>
    </row>
    <row r="12">
      <c r="A12" s="17" t="inlineStr">
        <is>
          <t>Co-operative Bank</t>
        </is>
      </c>
      <c r="B12" s="17" t="inlineStr">
        <is>
          <t>RBI / Banking Regulation Act as adapted</t>
        </is>
      </c>
      <c r="C12" s="17" t="inlineStr">
        <is>
          <t>https://www.rbi.org.in/</t>
        </is>
      </c>
      <c r="D12" s="17" t="inlineStr">
        <is>
          <t>Specific regulator/statute presentation overrides a generic format.</t>
        </is>
      </c>
    </row>
    <row r="13">
      <c r="A13" s="17" t="inlineStr">
        <is>
          <t>Life Insurance</t>
        </is>
      </c>
      <c r="B13" s="17" t="inlineStr">
        <is>
          <t>IRDAI</t>
        </is>
      </c>
      <c r="C13" s="17" t="inlineStr">
        <is>
          <t>https://irdai.gov.in/</t>
        </is>
      </c>
      <c r="D13" s="17" t="inlineStr">
        <is>
          <t>Specific regulator/statute presentation overrides a generic format.</t>
        </is>
      </c>
    </row>
    <row r="14">
      <c r="A14" s="17" t="inlineStr">
        <is>
          <t>General Insurance</t>
        </is>
      </c>
      <c r="B14" s="17" t="inlineStr">
        <is>
          <t>IRDAI</t>
        </is>
      </c>
      <c r="C14" s="17" t="inlineStr">
        <is>
          <t>https://irdai.gov.in/</t>
        </is>
      </c>
      <c r="D14" s="17" t="inlineStr">
        <is>
          <t>Specific regulator/statute presentation overrides a generic format.</t>
        </is>
      </c>
    </row>
    <row r="15">
      <c r="A15" s="17" t="inlineStr">
        <is>
          <t>Reinsurance</t>
        </is>
      </c>
      <c r="B15" s="17" t="inlineStr">
        <is>
          <t>IRDAI</t>
        </is>
      </c>
      <c r="C15" s="17" t="inlineStr">
        <is>
          <t>https://irdai.gov.in/</t>
        </is>
      </c>
      <c r="D15" s="17" t="inlineStr">
        <is>
          <t>Specific regulator/statute presentation overrides a generic format.</t>
        </is>
      </c>
    </row>
    <row r="16">
      <c r="A16" s="17" t="inlineStr">
        <is>
          <t>Mutual Fund Scheme</t>
        </is>
      </c>
      <c r="B16" s="17" t="inlineStr">
        <is>
          <t>SEBI</t>
        </is>
      </c>
      <c r="C16" s="17" t="inlineStr">
        <is>
          <t>https://www.sebi.gov.in/legal/regulations/jul-2026/securities-and-exchange-board-of-india-mutual-funds-regulations-2026-last-amended-on-july-7-2026-_102780.html</t>
        </is>
      </c>
      <c r="D16" s="17" t="inlineStr">
        <is>
          <t>Specific regulator/statute presentation overrides a generic format.</t>
        </is>
      </c>
    </row>
    <row r="17">
      <c r="A17" s="17" t="inlineStr">
        <is>
          <t>Collective Investment Scheme</t>
        </is>
      </c>
      <c r="B17" s="17" t="inlineStr">
        <is>
          <t>SEBI</t>
        </is>
      </c>
      <c r="C17" s="17" t="inlineStr">
        <is>
          <t>https://www.sebi.gov.in/acts/cisreg.html</t>
        </is>
      </c>
      <c r="D17" s="17" t="inlineStr">
        <is>
          <t>Specific regulator/statute presentation overrides a generic format.</t>
        </is>
      </c>
    </row>
    <row r="18">
      <c r="A18" s="17" t="inlineStr">
        <is>
          <t>Real Estate Investment Trust</t>
        </is>
      </c>
      <c r="B18" s="17" t="inlineStr">
        <is>
          <t>SEBI</t>
        </is>
      </c>
      <c r="C18" s="17" t="inlineStr">
        <is>
          <t>https://www.sebi.gov.in/web/?file=https%3A%2F%2Fwww.sebi.gov.in%2Fsebi_data%2Fattachdocs%2Fmay-2025%2F1746617164275.pdf</t>
        </is>
      </c>
      <c r="D18" s="17" t="inlineStr">
        <is>
          <t>Specific regulator/statute presentation overrides a generic format.</t>
        </is>
      </c>
    </row>
    <row r="19">
      <c r="A19" s="17" t="inlineStr">
        <is>
          <t>Infrastructure Investment Trust</t>
        </is>
      </c>
      <c r="B19" s="17" t="inlineStr">
        <is>
          <t>SEBI</t>
        </is>
      </c>
      <c r="C19" s="17" t="inlineStr">
        <is>
          <t>https://www.sebi.gov.in/sebi_data/attachdocs/jul-2025/1752576381910.pdf</t>
        </is>
      </c>
      <c r="D19" s="17" t="inlineStr">
        <is>
          <t>Specific regulator/statute presentation overrides a generic format.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Company — AS — Schedule III Division I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MCA | Official source: https://www.mca.gov.in/Ministry/pdf/ScheduleIIIAmendmentNotification_24032021.pdf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EQUITY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61" t="inlineStr">
        <is>
          <t>1. Shareholders' Funds</t>
        </is>
      </c>
      <c r="B9" s="61" t="str"/>
      <c r="C9" s="119" t="n"/>
      <c r="D9" s="119" t="n"/>
      <c r="E9" s="17" t="n"/>
      <c r="F9" s="17" t="n"/>
      <c r="G9" s="17" t="n"/>
    </row>
    <row r="10">
      <c r="A10" s="17" t="inlineStr">
        <is>
          <t>Share Capital</t>
        </is>
      </c>
      <c r="B10" s="17" t="inlineStr">
        <is>
          <t>1</t>
        </is>
      </c>
      <c r="C10" s="120">
        <f>E75</f>
        <v/>
      </c>
      <c r="D10" s="120">
        <f>F75</f>
        <v/>
      </c>
      <c r="E10" s="17" t="n"/>
      <c r="F10" s="17" t="n"/>
      <c r="G10" s="17" t="n"/>
    </row>
    <row r="11">
      <c r="A11" s="17" t="inlineStr">
        <is>
          <t>Reserves and Surplus</t>
        </is>
      </c>
      <c r="B11" s="17" t="inlineStr">
        <is>
          <t>2</t>
        </is>
      </c>
      <c r="C11" s="120">
        <f>E83</f>
        <v/>
      </c>
      <c r="D11" s="120">
        <f>F83</f>
        <v/>
      </c>
      <c r="E11" s="17" t="n"/>
      <c r="F11" s="17" t="n"/>
      <c r="G11" s="17" t="n"/>
    </row>
    <row r="12">
      <c r="A12" s="61" t="inlineStr">
        <is>
          <t>2. Share Application Money Pending Allotment</t>
        </is>
      </c>
      <c r="B12" s="61" t="str"/>
      <c r="C12" s="119" t="n"/>
      <c r="D12" s="119" t="n"/>
      <c r="E12" s="17" t="n"/>
      <c r="F12" s="17" t="n"/>
      <c r="G12" s="17" t="n"/>
    </row>
    <row r="13">
      <c r="A13" s="17" t="inlineStr">
        <is>
          <t>Share Application Money Pending Allotment</t>
        </is>
      </c>
      <c r="B13" s="17" t="inlineStr">
        <is>
          <t>—</t>
        </is>
      </c>
      <c r="C13" s="121" t="n"/>
      <c r="D13" s="121" t="n"/>
      <c r="E13" s="17" t="n"/>
      <c r="F13" s="17" t="n"/>
      <c r="G13" s="17" t="n"/>
    </row>
    <row r="14">
      <c r="A14" s="61" t="inlineStr">
        <is>
          <t>3. Non-current Liabilities</t>
        </is>
      </c>
      <c r="B14" s="61" t="str"/>
      <c r="C14" s="119" t="n"/>
      <c r="D14" s="119" t="n"/>
      <c r="E14" s="17" t="n"/>
      <c r="F14" s="17" t="n"/>
      <c r="G14" s="17" t="n"/>
    </row>
    <row r="15">
      <c r="A15" s="17" t="inlineStr">
        <is>
          <t>Long-term Borrowings</t>
        </is>
      </c>
      <c r="B15" s="17" t="inlineStr">
        <is>
          <t>3</t>
        </is>
      </c>
      <c r="C15" s="120">
        <f>E92</f>
        <v/>
      </c>
      <c r="D15" s="120">
        <f>F92</f>
        <v/>
      </c>
      <c r="E15" s="17" t="n"/>
      <c r="F15" s="17" t="n"/>
      <c r="G15" s="17" t="n"/>
    </row>
    <row r="16">
      <c r="A16" s="17" t="inlineStr">
        <is>
          <t>Deferred Tax Liabilities (Net)</t>
        </is>
      </c>
      <c r="B16" s="17" t="inlineStr">
        <is>
          <t>4</t>
        </is>
      </c>
      <c r="C16" s="120">
        <f>E94</f>
        <v/>
      </c>
      <c r="D16" s="120">
        <f>F94</f>
        <v/>
      </c>
      <c r="E16" s="17" t="n"/>
      <c r="F16" s="17" t="n"/>
      <c r="G16" s="17" t="n"/>
    </row>
    <row r="17">
      <c r="A17" s="17" t="inlineStr">
        <is>
          <t>Other Long-term Liabilities</t>
        </is>
      </c>
      <c r="B17" s="17" t="inlineStr">
        <is>
          <t>5</t>
        </is>
      </c>
      <c r="C17" s="120">
        <f>E98</f>
        <v/>
      </c>
      <c r="D17" s="120">
        <f>F98</f>
        <v/>
      </c>
      <c r="E17" s="17" t="n"/>
      <c r="F17" s="17" t="n"/>
      <c r="G17" s="17" t="n"/>
    </row>
    <row r="18">
      <c r="A18" s="17" t="inlineStr">
        <is>
          <t>Long-term Provisions</t>
        </is>
      </c>
      <c r="B18" s="17" t="inlineStr">
        <is>
          <t>6</t>
        </is>
      </c>
      <c r="C18" s="120">
        <f>E101</f>
        <v/>
      </c>
      <c r="D18" s="120">
        <f>F101</f>
        <v/>
      </c>
      <c r="E18" s="17" t="n"/>
      <c r="F18" s="17" t="n"/>
      <c r="G18" s="17" t="n"/>
    </row>
    <row r="19">
      <c r="A19" s="61" t="inlineStr">
        <is>
          <t>4. Current Liabilities</t>
        </is>
      </c>
      <c r="B19" s="61" t="str"/>
      <c r="C19" s="119" t="n"/>
      <c r="D19" s="119" t="n"/>
      <c r="E19" s="17" t="n"/>
      <c r="F19" s="17" t="n"/>
      <c r="G19" s="17" t="n"/>
    </row>
    <row r="20">
      <c r="A20" s="17" t="inlineStr">
        <is>
          <t>Short-term Borrowings</t>
        </is>
      </c>
      <c r="B20" s="17" t="inlineStr">
        <is>
          <t>7</t>
        </is>
      </c>
      <c r="C20" s="120">
        <f>E107</f>
        <v/>
      </c>
      <c r="D20" s="120">
        <f>F107</f>
        <v/>
      </c>
      <c r="E20" s="17" t="n"/>
      <c r="F20" s="17" t="n"/>
      <c r="G20" s="17" t="n"/>
    </row>
    <row r="21">
      <c r="A21" s="17" t="inlineStr">
        <is>
          <t>Trade Payables</t>
        </is>
      </c>
      <c r="B21" s="17" t="inlineStr">
        <is>
          <t>8</t>
        </is>
      </c>
      <c r="C21" s="120">
        <f>E112</f>
        <v/>
      </c>
      <c r="D21" s="120">
        <f>F112</f>
        <v/>
      </c>
      <c r="E21" s="17" t="n"/>
      <c r="F21" s="17" t="n"/>
      <c r="G21" s="17" t="n"/>
    </row>
    <row r="22">
      <c r="A22" s="17" t="inlineStr">
        <is>
          <t>Other Current Liabilities</t>
        </is>
      </c>
      <c r="B22" s="17" t="inlineStr">
        <is>
          <t>9</t>
        </is>
      </c>
      <c r="C22" s="120">
        <f>E121</f>
        <v/>
      </c>
      <c r="D22" s="120">
        <f>F121</f>
        <v/>
      </c>
      <c r="E22" s="17" t="n"/>
      <c r="F22" s="17" t="n"/>
      <c r="G22" s="17" t="n"/>
    </row>
    <row r="23">
      <c r="A23" s="17" t="inlineStr">
        <is>
          <t>Short-term Provisions</t>
        </is>
      </c>
      <c r="B23" s="17" t="inlineStr">
        <is>
          <t>10</t>
        </is>
      </c>
      <c r="C23" s="120">
        <f>E125</f>
        <v/>
      </c>
      <c r="D23" s="120">
        <f>F125</f>
        <v/>
      </c>
      <c r="E23" s="17" t="n"/>
      <c r="F23" s="17" t="n"/>
      <c r="G23" s="17" t="n"/>
    </row>
    <row r="24">
      <c r="A24" s="65" t="inlineStr">
        <is>
          <t>TOTAL EQUITY AND LIABILITIES</t>
        </is>
      </c>
      <c r="B24" s="65" t="str"/>
      <c r="C24" s="122">
        <f>SUM(C10,C11,C13,C15,C16,C17,C18,C20,C21,C22,C23)</f>
        <v/>
      </c>
      <c r="D24" s="122">
        <f>SUM(D10,D11,D13,D15,D16,D17,D18,D20,D21,D22,D23)</f>
        <v/>
      </c>
      <c r="E24" s="17" t="n"/>
      <c r="F24" s="17" t="n"/>
      <c r="G24" s="17" t="n"/>
    </row>
    <row r="25">
      <c r="A25" s="42" t="inlineStr">
        <is>
          <t>ASSETS</t>
        </is>
      </c>
      <c r="B25" s="42" t="str"/>
      <c r="C25" s="118" t="n"/>
      <c r="D25" s="118" t="n"/>
      <c r="E25" s="17" t="n"/>
      <c r="F25" s="17" t="n"/>
      <c r="G25" s="17" t="n"/>
    </row>
    <row r="26">
      <c r="A26" s="61" t="inlineStr">
        <is>
          <t>1. Non-current Assets</t>
        </is>
      </c>
      <c r="B26" s="61" t="str"/>
      <c r="C26" s="119" t="n"/>
      <c r="D26" s="119" t="n"/>
      <c r="E26" s="17" t="n"/>
      <c r="F26" s="17" t="n"/>
      <c r="G26" s="17" t="n"/>
    </row>
    <row r="27">
      <c r="A27" s="17" t="inlineStr">
        <is>
          <t>Property, Plant and Equipment / Intangibles / CWIP</t>
        </is>
      </c>
      <c r="B27" s="17" t="inlineStr">
        <is>
          <t>11</t>
        </is>
      </c>
      <c r="C27" s="120">
        <f>E135</f>
        <v/>
      </c>
      <c r="D27" s="120">
        <f>F135</f>
        <v/>
      </c>
      <c r="E27" s="17" t="n"/>
      <c r="F27" s="17" t="n"/>
      <c r="G27" s="17" t="n"/>
    </row>
    <row r="28">
      <c r="A28" s="17" t="inlineStr">
        <is>
          <t>Non-current Investments</t>
        </is>
      </c>
      <c r="B28" s="17" t="inlineStr">
        <is>
          <t>12</t>
        </is>
      </c>
      <c r="C28" s="120">
        <f>E144</f>
        <v/>
      </c>
      <c r="D28" s="120">
        <f>F144</f>
        <v/>
      </c>
      <c r="E28" s="17" t="n"/>
      <c r="F28" s="17" t="n"/>
      <c r="G28" s="17" t="n"/>
    </row>
    <row r="29">
      <c r="A29" s="17" t="inlineStr">
        <is>
          <t>Deferred Tax Assets (Net)</t>
        </is>
      </c>
      <c r="B29" s="17" t="inlineStr">
        <is>
          <t>4</t>
        </is>
      </c>
      <c r="C29" s="120">
        <f>E93</f>
        <v/>
      </c>
      <c r="D29" s="120">
        <f>F93</f>
        <v/>
      </c>
      <c r="E29" s="17" t="n"/>
      <c r="F29" s="17" t="n"/>
      <c r="G29" s="17" t="n"/>
    </row>
    <row r="30">
      <c r="A30" s="17" t="inlineStr">
        <is>
          <t>Long-term Loans and Advances</t>
        </is>
      </c>
      <c r="B30" s="17" t="inlineStr">
        <is>
          <t>13</t>
        </is>
      </c>
      <c r="C30" s="120">
        <f>E150</f>
        <v/>
      </c>
      <c r="D30" s="120">
        <f>F150</f>
        <v/>
      </c>
      <c r="E30" s="17" t="n"/>
      <c r="F30" s="17" t="n"/>
      <c r="G30" s="17" t="n"/>
    </row>
    <row r="31">
      <c r="A31" s="17" t="inlineStr">
        <is>
          <t>Other Non-current Assets</t>
        </is>
      </c>
      <c r="B31" s="17" t="inlineStr">
        <is>
          <t>14</t>
        </is>
      </c>
      <c r="C31" s="120">
        <f>E154</f>
        <v/>
      </c>
      <c r="D31" s="120">
        <f>F154</f>
        <v/>
      </c>
      <c r="E31" s="17" t="n"/>
      <c r="F31" s="17" t="n"/>
      <c r="G31" s="17" t="n"/>
    </row>
    <row r="32">
      <c r="A32" s="61" t="inlineStr">
        <is>
          <t>2. Current Assets</t>
        </is>
      </c>
      <c r="B32" s="61" t="str"/>
      <c r="C32" s="119" t="n"/>
      <c r="D32" s="119" t="n"/>
      <c r="E32" s="17" t="n"/>
      <c r="F32" s="17" t="n"/>
      <c r="G32" s="17" t="n"/>
    </row>
    <row r="33">
      <c r="A33" s="17" t="inlineStr">
        <is>
          <t>Current Investments</t>
        </is>
      </c>
      <c r="B33" s="17" t="inlineStr">
        <is>
          <t>15</t>
        </is>
      </c>
      <c r="C33" s="120">
        <f>E158</f>
        <v/>
      </c>
      <c r="D33" s="120">
        <f>F158</f>
        <v/>
      </c>
      <c r="E33" s="17" t="n"/>
      <c r="F33" s="17" t="n"/>
      <c r="G33" s="17" t="n"/>
    </row>
    <row r="34">
      <c r="A34" s="17" t="inlineStr">
        <is>
          <t>Inventories</t>
        </is>
      </c>
      <c r="B34" s="17" t="inlineStr">
        <is>
          <t>16</t>
        </is>
      </c>
      <c r="C34" s="120">
        <f>E167</f>
        <v/>
      </c>
      <c r="D34" s="120">
        <f>F167</f>
        <v/>
      </c>
      <c r="E34" s="17" t="n"/>
      <c r="F34" s="17" t="n"/>
      <c r="G34" s="17" t="n"/>
    </row>
    <row r="35">
      <c r="A35" s="17" t="inlineStr">
        <is>
          <t>Trade Receivables</t>
        </is>
      </c>
      <c r="B35" s="17" t="inlineStr">
        <is>
          <t>17</t>
        </is>
      </c>
      <c r="C35" s="120">
        <f>E173</f>
        <v/>
      </c>
      <c r="D35" s="120">
        <f>F173</f>
        <v/>
      </c>
      <c r="E35" s="17" t="n"/>
      <c r="F35" s="17" t="n"/>
      <c r="G35" s="17" t="n"/>
    </row>
    <row r="36">
      <c r="A36" s="17" t="inlineStr">
        <is>
          <t>Cash and Cash Equivalents</t>
        </is>
      </c>
      <c r="B36" s="17" t="inlineStr">
        <is>
          <t>18</t>
        </is>
      </c>
      <c r="C36" s="120">
        <f>E178</f>
        <v/>
      </c>
      <c r="D36" s="120">
        <f>F178</f>
        <v/>
      </c>
      <c r="E36" s="17" t="n"/>
      <c r="F36" s="17" t="n"/>
      <c r="G36" s="17" t="n"/>
    </row>
    <row r="37">
      <c r="A37" s="17" t="inlineStr">
        <is>
          <t>Short-term Loans and Advances</t>
        </is>
      </c>
      <c r="B37" s="17" t="inlineStr">
        <is>
          <t>19</t>
        </is>
      </c>
      <c r="C37" s="120">
        <f>E182</f>
        <v/>
      </c>
      <c r="D37" s="120">
        <f>F182</f>
        <v/>
      </c>
      <c r="E37" s="17" t="n"/>
      <c r="F37" s="17" t="n"/>
      <c r="G37" s="17" t="n"/>
    </row>
    <row r="38">
      <c r="A38" s="17" t="inlineStr">
        <is>
          <t>Other Current Assets</t>
        </is>
      </c>
      <c r="B38" s="17" t="inlineStr">
        <is>
          <t>20</t>
        </is>
      </c>
      <c r="C38" s="120">
        <f>E187</f>
        <v/>
      </c>
      <c r="D38" s="120">
        <f>F187</f>
        <v/>
      </c>
      <c r="E38" s="17" t="n"/>
      <c r="F38" s="17" t="n"/>
      <c r="G38" s="17" t="n"/>
    </row>
    <row r="39">
      <c r="A39" s="65" t="inlineStr">
        <is>
          <t>TOTAL ASSETS</t>
        </is>
      </c>
      <c r="B39" s="65" t="str"/>
      <c r="C39" s="122">
        <f>SUM(C27,C28,C29,C30,C31,C33,C34,C35,C36,C37,C38)</f>
        <v/>
      </c>
      <c r="D39" s="122">
        <f>SUM(D27,D28,D29,D30,D31,D33,D34,D35,D36,D37,D38)</f>
        <v/>
      </c>
      <c r="E39" s="17" t="n"/>
      <c r="F39" s="17" t="n"/>
      <c r="G39" s="17" t="n"/>
    </row>
    <row r="40">
      <c r="A40" s="17" t="n"/>
      <c r="B40" s="17" t="n"/>
      <c r="C40" s="120" t="n"/>
      <c r="D40" s="120" t="n"/>
      <c r="E40" s="17" t="n"/>
      <c r="F40" s="17" t="n"/>
      <c r="G40" s="17" t="n"/>
    </row>
    <row r="41">
      <c r="A41" s="17" t="n"/>
      <c r="B41" s="17" t="n"/>
      <c r="C41" s="120" t="n"/>
      <c r="D41" s="120" t="n"/>
      <c r="E41" s="17" t="n"/>
      <c r="F41" s="17" t="n"/>
      <c r="G41" s="17" t="n"/>
    </row>
    <row r="42">
      <c r="A42" s="71" t="inlineStr">
        <is>
          <t>Statement of Profit &amp; Loss / Income &amp; Expenditure / Revenue Account</t>
        </is>
      </c>
      <c r="B42" s="1" t="n"/>
      <c r="C42" s="1" t="n"/>
      <c r="D42" s="1" t="n"/>
      <c r="E42" s="17" t="n"/>
      <c r="F42" s="17" t="n"/>
      <c r="G42" s="17" t="n"/>
    </row>
    <row r="43">
      <c r="A43" s="14" t="inlineStr">
        <is>
          <t>Particulars</t>
        </is>
      </c>
      <c r="B43" s="14" t="inlineStr">
        <is>
          <t>Note No.</t>
        </is>
      </c>
      <c r="C43" s="123" t="inlineStr">
        <is>
          <t>Current Reporting Period</t>
        </is>
      </c>
      <c r="D43" s="123" t="inlineStr">
        <is>
          <t>Previous Reporting Period</t>
        </is>
      </c>
      <c r="E43" s="17" t="n"/>
      <c r="F43" s="17" t="n"/>
      <c r="G43" s="17" t="n"/>
    </row>
    <row r="44">
      <c r="A44" s="17" t="inlineStr">
        <is>
          <t>Revenue from Operations</t>
        </is>
      </c>
      <c r="B44" s="17" t="inlineStr">
        <is>
          <t>21</t>
        </is>
      </c>
      <c r="C44" s="120">
        <f>E192</f>
        <v/>
      </c>
      <c r="D44" s="120">
        <f>F192</f>
        <v/>
      </c>
      <c r="E44" s="17" t="n"/>
      <c r="F44" s="17" t="n"/>
      <c r="G44" s="17" t="n"/>
    </row>
    <row r="45">
      <c r="A45" s="17" t="inlineStr">
        <is>
          <t>Other Income</t>
        </is>
      </c>
      <c r="B45" s="17" t="inlineStr">
        <is>
          <t>22</t>
        </is>
      </c>
      <c r="C45" s="120">
        <f>E197</f>
        <v/>
      </c>
      <c r="D45" s="120">
        <f>F197</f>
        <v/>
      </c>
      <c r="E45" s="17" t="n"/>
      <c r="F45" s="17" t="n"/>
      <c r="G45" s="17" t="n"/>
    </row>
    <row r="46">
      <c r="A46" s="65" t="inlineStr">
        <is>
          <t>TOTAL INCOME</t>
        </is>
      </c>
      <c r="B46" s="65" t="str"/>
      <c r="C46" s="122">
        <f>SUM(C44,C45)</f>
        <v/>
      </c>
      <c r="D46" s="122">
        <f>SUM(D44,D45)</f>
        <v/>
      </c>
      <c r="E46" s="17" t="n"/>
      <c r="F46" s="17" t="n"/>
      <c r="G46" s="17" t="n"/>
    </row>
    <row r="47">
      <c r="A47" s="42" t="inlineStr">
        <is>
          <t>EXPENSES</t>
        </is>
      </c>
      <c r="B47" s="42" t="str"/>
      <c r="C47" s="118" t="n"/>
      <c r="D47" s="118" t="n"/>
      <c r="E47" s="17" t="n"/>
      <c r="F47" s="17" t="n"/>
      <c r="G47" s="17" t="n"/>
    </row>
    <row r="48">
      <c r="A48" s="17" t="inlineStr">
        <is>
          <t>Cost of Materials Consumed</t>
        </is>
      </c>
      <c r="B48" s="17" t="inlineStr">
        <is>
          <t>23</t>
        </is>
      </c>
      <c r="C48" s="120">
        <f>E202</f>
        <v/>
      </c>
      <c r="D48" s="120">
        <f>F202</f>
        <v/>
      </c>
      <c r="E48" s="17" t="n"/>
      <c r="F48" s="17" t="n"/>
      <c r="G48" s="17" t="n"/>
    </row>
    <row r="49">
      <c r="A49" s="17" t="inlineStr">
        <is>
          <t>Purchases of Stock-in-Trade</t>
        </is>
      </c>
      <c r="B49" s="17" t="inlineStr">
        <is>
          <t>24</t>
        </is>
      </c>
      <c r="C49" s="120">
        <f>E204</f>
        <v/>
      </c>
      <c r="D49" s="120">
        <f>F204</f>
        <v/>
      </c>
      <c r="E49" s="17" t="n"/>
      <c r="F49" s="17" t="n"/>
      <c r="G49" s="17" t="n"/>
    </row>
    <row r="50">
      <c r="A50" s="17" t="inlineStr">
        <is>
          <t>Changes in Inventories</t>
        </is>
      </c>
      <c r="B50" s="17" t="inlineStr">
        <is>
          <t>25</t>
        </is>
      </c>
      <c r="C50" s="120">
        <f>E207</f>
        <v/>
      </c>
      <c r="D50" s="120">
        <f>F207</f>
        <v/>
      </c>
      <c r="E50" s="17" t="n"/>
      <c r="F50" s="17" t="n"/>
      <c r="G50" s="17" t="n"/>
    </row>
    <row r="51">
      <c r="A51" s="17" t="inlineStr">
        <is>
          <t>Employee Benefits Expense</t>
        </is>
      </c>
      <c r="B51" s="17" t="inlineStr">
        <is>
          <t>26</t>
        </is>
      </c>
      <c r="C51" s="120">
        <f>E212</f>
        <v/>
      </c>
      <c r="D51" s="120">
        <f>F212</f>
        <v/>
      </c>
      <c r="E51" s="17" t="n"/>
      <c r="F51" s="17" t="n"/>
      <c r="G51" s="17" t="n"/>
    </row>
    <row r="52">
      <c r="A52" s="17" t="inlineStr">
        <is>
          <t>Finance Costs</t>
        </is>
      </c>
      <c r="B52" s="17" t="inlineStr">
        <is>
          <t>27</t>
        </is>
      </c>
      <c r="C52" s="120">
        <f>E216</f>
        <v/>
      </c>
      <c r="D52" s="120">
        <f>F216</f>
        <v/>
      </c>
      <c r="E52" s="17" t="n"/>
      <c r="F52" s="17" t="n"/>
      <c r="G52" s="17" t="n"/>
    </row>
    <row r="53">
      <c r="A53" s="17" t="inlineStr">
        <is>
          <t>Depreciation and Amortisation Expense</t>
        </is>
      </c>
      <c r="B53" s="17" t="inlineStr">
        <is>
          <t>28</t>
        </is>
      </c>
      <c r="C53" s="120">
        <f>E219</f>
        <v/>
      </c>
      <c r="D53" s="120">
        <f>F219</f>
        <v/>
      </c>
      <c r="E53" s="17" t="n"/>
      <c r="F53" s="17" t="n"/>
      <c r="G53" s="17" t="n"/>
    </row>
    <row r="54">
      <c r="A54" s="17" t="inlineStr">
        <is>
          <t>Other Expenses</t>
        </is>
      </c>
      <c r="B54" s="17" t="inlineStr">
        <is>
          <t>29</t>
        </is>
      </c>
      <c r="C54" s="120">
        <f>E230</f>
        <v/>
      </c>
      <c r="D54" s="120">
        <f>F230</f>
        <v/>
      </c>
      <c r="E54" s="17" t="n"/>
      <c r="F54" s="17" t="n"/>
      <c r="G54" s="17" t="n"/>
    </row>
    <row r="55">
      <c r="A55" s="65" t="inlineStr">
        <is>
          <t>TOTAL EXPENSES</t>
        </is>
      </c>
      <c r="B55" s="65" t="str"/>
      <c r="C55" s="122">
        <f>SUM(C48,C49,C50,C51,C52,C53,C54)</f>
        <v/>
      </c>
      <c r="D55" s="122">
        <f>SUM(D48,D49,D50,D51,D52,D53,D54)</f>
        <v/>
      </c>
      <c r="E55" s="17" t="n"/>
      <c r="F55" s="17" t="n"/>
      <c r="G55" s="17" t="n"/>
    </row>
    <row r="56">
      <c r="A56" s="65" t="inlineStr">
        <is>
          <t>Profit/(Loss) before Exceptional and Extraordinary Items and Tax</t>
        </is>
      </c>
      <c r="B56" s="65" t="str"/>
      <c r="C56" s="122">
        <f>C46-C55</f>
        <v/>
      </c>
      <c r="D56" s="122">
        <f>D46-D55</f>
        <v/>
      </c>
      <c r="E56" s="17" t="n"/>
      <c r="F56" s="17" t="n"/>
      <c r="G56" s="17" t="n"/>
    </row>
    <row r="57">
      <c r="A57" s="17" t="inlineStr">
        <is>
          <t>Exceptional Items</t>
        </is>
      </c>
      <c r="B57" s="17" t="inlineStr">
        <is>
          <t>—</t>
        </is>
      </c>
      <c r="C57" s="121" t="n"/>
      <c r="D57" s="121" t="n"/>
      <c r="E57" s="17" t="n"/>
      <c r="F57" s="17" t="n"/>
      <c r="G57" s="17" t="n"/>
    </row>
    <row r="58">
      <c r="A58" s="65" t="inlineStr">
        <is>
          <t>Profit/(Loss) before Extraordinary Items and Tax</t>
        </is>
      </c>
      <c r="B58" s="65" t="str"/>
      <c r="C58" s="122">
        <f>C56-SUM(C57)</f>
        <v/>
      </c>
      <c r="D58" s="122">
        <f>D56-SUM(D57)</f>
        <v/>
      </c>
      <c r="E58" s="17" t="n"/>
      <c r="F58" s="17" t="n"/>
      <c r="G58" s="17" t="n"/>
    </row>
    <row r="59">
      <c r="A59" s="17" t="inlineStr">
        <is>
          <t>Extraordinary Items</t>
        </is>
      </c>
      <c r="B59" s="17" t="inlineStr">
        <is>
          <t>—</t>
        </is>
      </c>
      <c r="C59" s="121" t="n"/>
      <c r="D59" s="121" t="n"/>
      <c r="E59" s="17" t="n"/>
      <c r="F59" s="17" t="n"/>
      <c r="G59" s="17" t="n"/>
    </row>
    <row r="60">
      <c r="A60" s="65" t="inlineStr">
        <is>
          <t>Profit Before Tax</t>
        </is>
      </c>
      <c r="B60" s="65" t="str"/>
      <c r="C60" s="122">
        <f>C58-SUM(C59)</f>
        <v/>
      </c>
      <c r="D60" s="122">
        <f>D58-SUM(D59)</f>
        <v/>
      </c>
      <c r="E60" s="17" t="n"/>
      <c r="F60" s="17" t="n"/>
      <c r="G60" s="17" t="n"/>
    </row>
    <row r="61">
      <c r="A61" s="17" t="inlineStr">
        <is>
          <t>Current Tax</t>
        </is>
      </c>
      <c r="B61" s="17" t="inlineStr">
        <is>
          <t>—</t>
        </is>
      </c>
      <c r="C61" s="121" t="n"/>
      <c r="D61" s="121" t="n"/>
      <c r="E61" s="17" t="n"/>
      <c r="F61" s="17" t="n"/>
      <c r="G61" s="17" t="n"/>
    </row>
    <row r="62">
      <c r="A62" s="17" t="inlineStr">
        <is>
          <t>Earlier-year Tax Adjustment</t>
        </is>
      </c>
      <c r="B62" s="17" t="inlineStr">
        <is>
          <t>—</t>
        </is>
      </c>
      <c r="C62" s="121" t="n"/>
      <c r="D62" s="121" t="n"/>
      <c r="E62" s="17" t="n"/>
      <c r="F62" s="17" t="n"/>
      <c r="G62" s="17" t="n"/>
    </row>
    <row r="63">
      <c r="A63" s="17" t="inlineStr">
        <is>
          <t>Deferred Tax Charge / (Benefit)</t>
        </is>
      </c>
      <c r="B63" s="17" t="inlineStr">
        <is>
          <t>—</t>
        </is>
      </c>
      <c r="C63" s="121" t="n"/>
      <c r="D63" s="121" t="n"/>
      <c r="E63" s="17" t="n"/>
      <c r="F63" s="17" t="n"/>
      <c r="G63" s="17" t="n"/>
    </row>
    <row r="64">
      <c r="A64" s="65" t="inlineStr">
        <is>
          <t>Profit/(Loss) for the Period</t>
        </is>
      </c>
      <c r="B64" s="65" t="str"/>
      <c r="C64" s="122">
        <f>C60-SUM(C61,C62,C63)</f>
        <v/>
      </c>
      <c r="D64" s="122">
        <f>D60-SUM(D61,D62,D63)</f>
        <v/>
      </c>
      <c r="E64" s="17" t="n"/>
      <c r="F64" s="17" t="n"/>
      <c r="G64" s="17" t="n"/>
    </row>
    <row r="65">
      <c r="A65" s="17" t="n"/>
      <c r="B65" s="17" t="n"/>
      <c r="C65" s="17" t="n"/>
      <c r="D65" s="17" t="n"/>
      <c r="E65" s="17" t="n"/>
      <c r="F65" s="17" t="n"/>
      <c r="G65" s="17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 ht="26" customHeight="1" s="82">
      <c r="A67" s="79" t="inlineStr">
        <is>
          <t>Notes / Schedules — linked source for face statements</t>
        </is>
      </c>
      <c r="B67" s="1" t="n"/>
      <c r="C67" s="1" t="n"/>
      <c r="D67" s="1" t="n"/>
      <c r="E67" s="1" t="n"/>
      <c r="F67" s="1" t="n"/>
      <c r="G67" s="1" t="n"/>
    </row>
    <row r="68">
      <c r="A68" s="14" t="inlineStr">
        <is>
          <t>Note</t>
        </is>
      </c>
      <c r="B68" s="14" t="inlineStr">
        <is>
          <t>Note Title</t>
        </is>
      </c>
      <c r="C68" s="14" t="inlineStr">
        <is>
          <t>Statutory Line Item</t>
        </is>
      </c>
      <c r="D68" s="14" t="inlineStr">
        <is>
          <t>AAH Mapping Key</t>
        </is>
      </c>
      <c r="E68" s="14" t="inlineStr">
        <is>
          <t>Current Period</t>
        </is>
      </c>
      <c r="F68" s="14" t="inlineStr">
        <is>
          <t>Previous Period</t>
        </is>
      </c>
      <c r="G68" s="14" t="inlineStr">
        <is>
          <t>Disclosure / Remarks</t>
        </is>
      </c>
    </row>
    <row r="69">
      <c r="A69" s="17" t="inlineStr">
        <is>
          <t>1</t>
        </is>
      </c>
      <c r="B69" s="17" t="inlineStr">
        <is>
          <t>Share Capital</t>
        </is>
      </c>
      <c r="C69" s="17" t="inlineStr">
        <is>
          <t>Authorised share capital</t>
        </is>
      </c>
      <c r="D69" s="17" t="inlineStr">
        <is>
          <t>SC_AUTH</t>
        </is>
      </c>
      <c r="E69" s="121" t="n">
        <v>0</v>
      </c>
      <c r="F69" s="121" t="n">
        <v>0</v>
      </c>
      <c r="G69" s="59" t="str"/>
    </row>
    <row r="70">
      <c r="A70" s="17" t="inlineStr">
        <is>
          <t>1</t>
        </is>
      </c>
      <c r="B70" s="17" t="inlineStr">
        <is>
          <t>Share Capital</t>
        </is>
      </c>
      <c r="C70" s="17" t="inlineStr">
        <is>
          <t>Issued share capital</t>
        </is>
      </c>
      <c r="D70" s="17" t="inlineStr">
        <is>
          <t>SC_ISSUED</t>
        </is>
      </c>
      <c r="E70" s="121" t="n">
        <v>0</v>
      </c>
      <c r="F70" s="121" t="n">
        <v>0</v>
      </c>
      <c r="G70" s="59" t="str"/>
    </row>
    <row r="71">
      <c r="A71" s="17" t="inlineStr">
        <is>
          <t>1</t>
        </is>
      </c>
      <c r="B71" s="17" t="inlineStr">
        <is>
          <t>Share Capital</t>
        </is>
      </c>
      <c r="C71" s="17" t="inlineStr">
        <is>
          <t>Subscribed and fully paid-up capital</t>
        </is>
      </c>
      <c r="D71" s="17" t="inlineStr">
        <is>
          <t>SC_PAID</t>
        </is>
      </c>
      <c r="E71" s="121" t="n">
        <v>0</v>
      </c>
      <c r="F71" s="121" t="n">
        <v>0</v>
      </c>
      <c r="G71" s="59" t="str"/>
    </row>
    <row r="72">
      <c r="A72" s="17" t="inlineStr">
        <is>
          <t>1</t>
        </is>
      </c>
      <c r="B72" s="17" t="inlineStr">
        <is>
          <t>Share Capital</t>
        </is>
      </c>
      <c r="C72" s="17" t="inlineStr">
        <is>
          <t>Subscribed but not fully paid-up capital</t>
        </is>
      </c>
      <c r="D72" s="17" t="inlineStr">
        <is>
          <t>SC_PARTPAID</t>
        </is>
      </c>
      <c r="E72" s="121" t="n">
        <v>0</v>
      </c>
      <c r="F72" s="121" t="n">
        <v>0</v>
      </c>
      <c r="G72" s="59" t="str"/>
    </row>
    <row r="73">
      <c r="A73" s="17" t="inlineStr">
        <is>
          <t>1</t>
        </is>
      </c>
      <c r="B73" s="17" t="inlineStr">
        <is>
          <t>Share Capital</t>
        </is>
      </c>
      <c r="C73" s="17" t="inlineStr">
        <is>
          <t>Calls unpaid</t>
        </is>
      </c>
      <c r="D73" s="17" t="inlineStr">
        <is>
          <t>SC_CALLS_UNPAID</t>
        </is>
      </c>
      <c r="E73" s="121" t="n">
        <v>0</v>
      </c>
      <c r="F73" s="121" t="n">
        <v>0</v>
      </c>
      <c r="G73" s="59" t="str"/>
    </row>
    <row r="74">
      <c r="A74" s="17" t="inlineStr">
        <is>
          <t>1</t>
        </is>
      </c>
      <c r="B74" s="17" t="inlineStr">
        <is>
          <t>Share Capital</t>
        </is>
      </c>
      <c r="C74" s="17" t="inlineStr">
        <is>
          <t>Forfeited shares</t>
        </is>
      </c>
      <c r="D74" s="17" t="inlineStr">
        <is>
          <t>SC_FORFEIT</t>
        </is>
      </c>
      <c r="E74" s="121" t="n">
        <v>0</v>
      </c>
      <c r="F74" s="121" t="n">
        <v>0</v>
      </c>
      <c r="G74" s="59" t="str"/>
    </row>
    <row r="75">
      <c r="A75" s="65" t="inlineStr">
        <is>
          <t>1</t>
        </is>
      </c>
      <c r="B75" s="65" t="inlineStr">
        <is>
          <t>Share Capital</t>
        </is>
      </c>
      <c r="C75" s="65" t="inlineStr">
        <is>
          <t>Total — Share Capital</t>
        </is>
      </c>
      <c r="D75" s="65" t="inlineStr">
        <is>
          <t>__TOTAL__</t>
        </is>
      </c>
      <c r="E75" s="122">
        <f>SUM(E69:E74)</f>
        <v/>
      </c>
      <c r="F75" s="122">
        <f>SUM(F69:F74)</f>
        <v/>
      </c>
      <c r="G75" s="65" t="str"/>
    </row>
    <row r="76">
      <c r="A76" s="17" t="inlineStr">
        <is>
          <t>2</t>
        </is>
      </c>
      <c r="B76" s="17" t="inlineStr">
        <is>
          <t>Reserves and Surplus</t>
        </is>
      </c>
      <c r="C76" s="17" t="inlineStr">
        <is>
          <t>Capital reserve</t>
        </is>
      </c>
      <c r="D76" s="17" t="inlineStr">
        <is>
          <t>RES_CAPITAL</t>
        </is>
      </c>
      <c r="E76" s="121" t="n">
        <v>0</v>
      </c>
      <c r="F76" s="121" t="n">
        <v>0</v>
      </c>
      <c r="G76" s="59" t="str"/>
    </row>
    <row r="77">
      <c r="A77" s="17" t="inlineStr">
        <is>
          <t>2</t>
        </is>
      </c>
      <c r="B77" s="17" t="inlineStr">
        <is>
          <t>Reserves and Surplus</t>
        </is>
      </c>
      <c r="C77" s="17" t="inlineStr">
        <is>
          <t>Capital redemption reserve</t>
        </is>
      </c>
      <c r="D77" s="17" t="inlineStr">
        <is>
          <t>RES_CRR</t>
        </is>
      </c>
      <c r="E77" s="121" t="n">
        <v>0</v>
      </c>
      <c r="F77" s="121" t="n">
        <v>0</v>
      </c>
      <c r="G77" s="59" t="str"/>
    </row>
    <row r="78">
      <c r="A78" s="17" t="inlineStr">
        <is>
          <t>2</t>
        </is>
      </c>
      <c r="B78" s="17" t="inlineStr">
        <is>
          <t>Reserves and Surplus</t>
        </is>
      </c>
      <c r="C78" s="17" t="inlineStr">
        <is>
          <t>Securities premium</t>
        </is>
      </c>
      <c r="D78" s="17" t="inlineStr">
        <is>
          <t>RES_SP</t>
        </is>
      </c>
      <c r="E78" s="121" t="n">
        <v>0</v>
      </c>
      <c r="F78" s="121" t="n">
        <v>0</v>
      </c>
      <c r="G78" s="59" t="str"/>
    </row>
    <row r="79">
      <c r="A79" s="17" t="inlineStr">
        <is>
          <t>2</t>
        </is>
      </c>
      <c r="B79" s="17" t="inlineStr">
        <is>
          <t>Reserves and Surplus</t>
        </is>
      </c>
      <c r="C79" s="17" t="inlineStr">
        <is>
          <t>Debenture redemption reserve</t>
        </is>
      </c>
      <c r="D79" s="17" t="inlineStr">
        <is>
          <t>RES_DRR</t>
        </is>
      </c>
      <c r="E79" s="121" t="n">
        <v>0</v>
      </c>
      <c r="F79" s="121" t="n">
        <v>0</v>
      </c>
      <c r="G79" s="59" t="str"/>
    </row>
    <row r="80">
      <c r="A80" s="17" t="inlineStr">
        <is>
          <t>2</t>
        </is>
      </c>
      <c r="B80" s="17" t="inlineStr">
        <is>
          <t>Reserves and Surplus</t>
        </is>
      </c>
      <c r="C80" s="17" t="inlineStr">
        <is>
          <t>Revaluation reserve</t>
        </is>
      </c>
      <c r="D80" s="17" t="inlineStr">
        <is>
          <t>RES_REVAL</t>
        </is>
      </c>
      <c r="E80" s="121" t="n">
        <v>0</v>
      </c>
      <c r="F80" s="121" t="n">
        <v>0</v>
      </c>
      <c r="G80" s="59" t="str"/>
    </row>
    <row r="81">
      <c r="A81" s="17" t="inlineStr">
        <is>
          <t>2</t>
        </is>
      </c>
      <c r="B81" s="17" t="inlineStr">
        <is>
          <t>Reserves and Surplus</t>
        </is>
      </c>
      <c r="C81" s="17" t="inlineStr">
        <is>
          <t>Other reserves</t>
        </is>
      </c>
      <c r="D81" s="17" t="inlineStr">
        <is>
          <t>RES_OTHER</t>
        </is>
      </c>
      <c r="E81" s="121" t="n">
        <v>0</v>
      </c>
      <c r="F81" s="121" t="n">
        <v>0</v>
      </c>
      <c r="G81" s="59" t="str"/>
    </row>
    <row r="82">
      <c r="A82" s="17" t="inlineStr">
        <is>
          <t>2</t>
        </is>
      </c>
      <c r="B82" s="17" t="inlineStr">
        <is>
          <t>Reserves and Surplus</t>
        </is>
      </c>
      <c r="C82" s="17" t="inlineStr">
        <is>
          <t>Surplus / (deficit) in Statement of P&amp;L</t>
        </is>
      </c>
      <c r="D82" s="17" t="inlineStr">
        <is>
          <t>RES_SURPLUS</t>
        </is>
      </c>
      <c r="E82" s="121" t="n">
        <v>0</v>
      </c>
      <c r="F82" s="121" t="n">
        <v>0</v>
      </c>
      <c r="G82" s="59" t="str"/>
    </row>
    <row r="83">
      <c r="A83" s="65" t="inlineStr">
        <is>
          <t>2</t>
        </is>
      </c>
      <c r="B83" s="65" t="inlineStr">
        <is>
          <t>Reserves and Surplus</t>
        </is>
      </c>
      <c r="C83" s="65" t="inlineStr">
        <is>
          <t>Total — Reserves and Surplus</t>
        </is>
      </c>
      <c r="D83" s="65" t="inlineStr">
        <is>
          <t>__TOTAL__</t>
        </is>
      </c>
      <c r="E83" s="122">
        <f>SUM(E76:E82)</f>
        <v/>
      </c>
      <c r="F83" s="122">
        <f>SUM(F76:F82)</f>
        <v/>
      </c>
      <c r="G83" s="65" t="str"/>
    </row>
    <row r="84">
      <c r="A84" s="17" t="inlineStr">
        <is>
          <t>3</t>
        </is>
      </c>
      <c r="B84" s="17" t="inlineStr">
        <is>
          <t>Long-term Borrowings</t>
        </is>
      </c>
      <c r="C84" s="17" t="inlineStr">
        <is>
          <t>Bonds / debentures</t>
        </is>
      </c>
      <c r="D84" s="17" t="inlineStr">
        <is>
          <t>LTB_BONDS</t>
        </is>
      </c>
      <c r="E84" s="121" t="n">
        <v>0</v>
      </c>
      <c r="F84" s="121" t="n">
        <v>0</v>
      </c>
      <c r="G84" s="59" t="str"/>
    </row>
    <row r="85">
      <c r="A85" s="17" t="inlineStr">
        <is>
          <t>3</t>
        </is>
      </c>
      <c r="B85" s="17" t="inlineStr">
        <is>
          <t>Long-term Borrowings</t>
        </is>
      </c>
      <c r="C85" s="17" t="inlineStr">
        <is>
          <t>Term loans from banks</t>
        </is>
      </c>
      <c r="D85" s="17" t="inlineStr">
        <is>
          <t>LTB_BANK</t>
        </is>
      </c>
      <c r="E85" s="121" t="n">
        <v>0</v>
      </c>
      <c r="F85" s="121" t="n">
        <v>0</v>
      </c>
      <c r="G85" s="59" t="str"/>
    </row>
    <row r="86">
      <c r="A86" s="17" t="inlineStr">
        <is>
          <t>3</t>
        </is>
      </c>
      <c r="B86" s="17" t="inlineStr">
        <is>
          <t>Long-term Borrowings</t>
        </is>
      </c>
      <c r="C86" s="17" t="inlineStr">
        <is>
          <t>Term loans from other parties</t>
        </is>
      </c>
      <c r="D86" s="17" t="inlineStr">
        <is>
          <t>LTB_OTHER</t>
        </is>
      </c>
      <c r="E86" s="121" t="n">
        <v>0</v>
      </c>
      <c r="F86" s="121" t="n">
        <v>0</v>
      </c>
      <c r="G86" s="59" t="str"/>
    </row>
    <row r="87">
      <c r="A87" s="17" t="inlineStr">
        <is>
          <t>3</t>
        </is>
      </c>
      <c r="B87" s="17" t="inlineStr">
        <is>
          <t>Long-term Borrowings</t>
        </is>
      </c>
      <c r="C87" s="17" t="inlineStr">
        <is>
          <t>Deferred payment liabilities</t>
        </is>
      </c>
      <c r="D87" s="17" t="inlineStr">
        <is>
          <t>LTB_DEFERRED</t>
        </is>
      </c>
      <c r="E87" s="121" t="n">
        <v>0</v>
      </c>
      <c r="F87" s="121" t="n">
        <v>0</v>
      </c>
      <c r="G87" s="59" t="str"/>
    </row>
    <row r="88">
      <c r="A88" s="17" t="inlineStr">
        <is>
          <t>3</t>
        </is>
      </c>
      <c r="B88" s="17" t="inlineStr">
        <is>
          <t>Long-term Borrowings</t>
        </is>
      </c>
      <c r="C88" s="17" t="inlineStr">
        <is>
          <t>Deposits</t>
        </is>
      </c>
      <c r="D88" s="17" t="inlineStr">
        <is>
          <t>LTB_DEPOSITS</t>
        </is>
      </c>
      <c r="E88" s="121" t="n">
        <v>0</v>
      </c>
      <c r="F88" s="121" t="n">
        <v>0</v>
      </c>
      <c r="G88" s="59" t="str"/>
    </row>
    <row r="89">
      <c r="A89" s="17" t="inlineStr">
        <is>
          <t>3</t>
        </is>
      </c>
      <c r="B89" s="17" t="inlineStr">
        <is>
          <t>Long-term Borrowings</t>
        </is>
      </c>
      <c r="C89" s="17" t="inlineStr">
        <is>
          <t>Loans from related parties</t>
        </is>
      </c>
      <c r="D89" s="17" t="inlineStr">
        <is>
          <t>LTB_RELATED</t>
        </is>
      </c>
      <c r="E89" s="121" t="n">
        <v>0</v>
      </c>
      <c r="F89" s="121" t="n">
        <v>0</v>
      </c>
      <c r="G89" s="59" t="str"/>
    </row>
    <row r="90">
      <c r="A90" s="17" t="inlineStr">
        <is>
          <t>3</t>
        </is>
      </c>
      <c r="B90" s="17" t="inlineStr">
        <is>
          <t>Long-term Borrowings</t>
        </is>
      </c>
      <c r="C90" s="17" t="inlineStr">
        <is>
          <t>Finance lease obligations</t>
        </is>
      </c>
      <c r="D90" s="17" t="inlineStr">
        <is>
          <t>LTB_LEASE</t>
        </is>
      </c>
      <c r="E90" s="121" t="n">
        <v>0</v>
      </c>
      <c r="F90" s="121" t="n">
        <v>0</v>
      </c>
      <c r="G90" s="59" t="str"/>
    </row>
    <row r="91">
      <c r="A91" s="17" t="inlineStr">
        <is>
          <t>3</t>
        </is>
      </c>
      <c r="B91" s="17" t="inlineStr">
        <is>
          <t>Long-term Borrowings</t>
        </is>
      </c>
      <c r="C91" s="17" t="inlineStr">
        <is>
          <t>Other loans / advances</t>
        </is>
      </c>
      <c r="D91" s="17" t="inlineStr">
        <is>
          <t>LTB_OTHERLOAN</t>
        </is>
      </c>
      <c r="E91" s="121" t="n">
        <v>0</v>
      </c>
      <c r="F91" s="121" t="n">
        <v>0</v>
      </c>
      <c r="G91" s="59" t="str"/>
    </row>
    <row r="92">
      <c r="A92" s="65" t="inlineStr">
        <is>
          <t>3</t>
        </is>
      </c>
      <c r="B92" s="65" t="inlineStr">
        <is>
          <t>Long-term Borrowings</t>
        </is>
      </c>
      <c r="C92" s="65" t="inlineStr">
        <is>
          <t>Total — Long-term Borrowings</t>
        </is>
      </c>
      <c r="D92" s="65" t="inlineStr">
        <is>
          <t>__TOTAL__</t>
        </is>
      </c>
      <c r="E92" s="122">
        <f>SUM(E84:E91)</f>
        <v/>
      </c>
      <c r="F92" s="122">
        <f>SUM(F84:F91)</f>
        <v/>
      </c>
      <c r="G92" s="65" t="str"/>
    </row>
    <row r="93">
      <c r="A93" s="17" t="inlineStr">
        <is>
          <t>4</t>
        </is>
      </c>
      <c r="B93" s="17" t="inlineStr">
        <is>
          <t>Deferred Tax</t>
        </is>
      </c>
      <c r="C93" s="17" t="inlineStr">
        <is>
          <t>Deferred tax asset</t>
        </is>
      </c>
      <c r="D93" s="17" t="inlineStr">
        <is>
          <t>DTA</t>
        </is>
      </c>
      <c r="E93" s="121" t="n">
        <v>0</v>
      </c>
      <c r="F93" s="121" t="n">
        <v>0</v>
      </c>
      <c r="G93" s="59" t="str"/>
    </row>
    <row r="94">
      <c r="A94" s="17" t="inlineStr">
        <is>
          <t>4</t>
        </is>
      </c>
      <c r="B94" s="17" t="inlineStr">
        <is>
          <t>Deferred Tax</t>
        </is>
      </c>
      <c r="C94" s="17" t="inlineStr">
        <is>
          <t>Deferred tax liability</t>
        </is>
      </c>
      <c r="D94" s="17" t="inlineStr">
        <is>
          <t>DTL</t>
        </is>
      </c>
      <c r="E94" s="121" t="n">
        <v>0</v>
      </c>
      <c r="F94" s="121" t="n">
        <v>0</v>
      </c>
      <c r="G94" s="59" t="str"/>
    </row>
    <row r="95">
      <c r="A95" s="65" t="inlineStr">
        <is>
          <t>4</t>
        </is>
      </c>
      <c r="B95" s="65" t="inlineStr">
        <is>
          <t>Deferred Tax</t>
        </is>
      </c>
      <c r="C95" s="65" t="inlineStr">
        <is>
          <t>Total — Deferred Tax</t>
        </is>
      </c>
      <c r="D95" s="65" t="inlineStr">
        <is>
          <t>__TOTAL__</t>
        </is>
      </c>
      <c r="E95" s="122">
        <f>SUM(E93:E94)</f>
        <v/>
      </c>
      <c r="F95" s="122">
        <f>SUM(F93:F94)</f>
        <v/>
      </c>
      <c r="G95" s="65" t="str"/>
    </row>
    <row r="96">
      <c r="A96" s="17" t="inlineStr">
        <is>
          <t>5</t>
        </is>
      </c>
      <c r="B96" s="17" t="inlineStr">
        <is>
          <t>Other Long-term Liabilities</t>
        </is>
      </c>
      <c r="C96" s="17" t="inlineStr">
        <is>
          <t>Trade payables - non-current</t>
        </is>
      </c>
      <c r="D96" s="17" t="inlineStr">
        <is>
          <t>OLTL_TP</t>
        </is>
      </c>
      <c r="E96" s="121" t="n">
        <v>0</v>
      </c>
      <c r="F96" s="121" t="n">
        <v>0</v>
      </c>
      <c r="G96" s="59" t="str"/>
    </row>
    <row r="97">
      <c r="A97" s="17" t="inlineStr">
        <is>
          <t>5</t>
        </is>
      </c>
      <c r="B97" s="17" t="inlineStr">
        <is>
          <t>Other Long-term Liabilities</t>
        </is>
      </c>
      <c r="C97" s="17" t="inlineStr">
        <is>
          <t>Security deposits / other long-term liabilities</t>
        </is>
      </c>
      <c r="D97" s="17" t="inlineStr">
        <is>
          <t>OLTL_OTHER</t>
        </is>
      </c>
      <c r="E97" s="121" t="n">
        <v>0</v>
      </c>
      <c r="F97" s="121" t="n">
        <v>0</v>
      </c>
      <c r="G97" s="59" t="str"/>
    </row>
    <row r="98">
      <c r="A98" s="65" t="inlineStr">
        <is>
          <t>5</t>
        </is>
      </c>
      <c r="B98" s="65" t="inlineStr">
        <is>
          <t>Other Long-term Liabilities</t>
        </is>
      </c>
      <c r="C98" s="65" t="inlineStr">
        <is>
          <t>Total — Other Long-term Liabilities</t>
        </is>
      </c>
      <c r="D98" s="65" t="inlineStr">
        <is>
          <t>__TOTAL__</t>
        </is>
      </c>
      <c r="E98" s="122">
        <f>SUM(E96:E97)</f>
        <v/>
      </c>
      <c r="F98" s="122">
        <f>SUM(F96:F97)</f>
        <v/>
      </c>
      <c r="G98" s="65" t="str"/>
    </row>
    <row r="99">
      <c r="A99" s="17" t="inlineStr">
        <is>
          <t>6</t>
        </is>
      </c>
      <c r="B99" s="17" t="inlineStr">
        <is>
          <t>Long-term Provisions</t>
        </is>
      </c>
      <c r="C99" s="17" t="inlineStr">
        <is>
          <t>Employee benefit provisions</t>
        </is>
      </c>
      <c r="D99" s="17" t="inlineStr">
        <is>
          <t>LTP_EMP</t>
        </is>
      </c>
      <c r="E99" s="121" t="n">
        <v>0</v>
      </c>
      <c r="F99" s="121" t="n">
        <v>0</v>
      </c>
      <c r="G99" s="59" t="str"/>
    </row>
    <row r="100">
      <c r="A100" s="17" t="inlineStr">
        <is>
          <t>6</t>
        </is>
      </c>
      <c r="B100" s="17" t="inlineStr">
        <is>
          <t>Long-term Provisions</t>
        </is>
      </c>
      <c r="C100" s="17" t="inlineStr">
        <is>
          <t>Other long-term provisions</t>
        </is>
      </c>
      <c r="D100" s="17" t="inlineStr">
        <is>
          <t>LTP_OTHER</t>
        </is>
      </c>
      <c r="E100" s="121" t="n">
        <v>0</v>
      </c>
      <c r="F100" s="121" t="n">
        <v>0</v>
      </c>
      <c r="G100" s="59" t="str"/>
    </row>
    <row r="101">
      <c r="A101" s="65" t="inlineStr">
        <is>
          <t>6</t>
        </is>
      </c>
      <c r="B101" s="65" t="inlineStr">
        <is>
          <t>Long-term Provisions</t>
        </is>
      </c>
      <c r="C101" s="65" t="inlineStr">
        <is>
          <t>Total — Long-term Provisions</t>
        </is>
      </c>
      <c r="D101" s="65" t="inlineStr">
        <is>
          <t>__TOTAL__</t>
        </is>
      </c>
      <c r="E101" s="122">
        <f>SUM(E99:E100)</f>
        <v/>
      </c>
      <c r="F101" s="122">
        <f>SUM(F99:F100)</f>
        <v/>
      </c>
      <c r="G101" s="65" t="str"/>
    </row>
    <row r="102">
      <c r="A102" s="17" t="inlineStr">
        <is>
          <t>7</t>
        </is>
      </c>
      <c r="B102" s="17" t="inlineStr">
        <is>
          <t>Short-term Borrowings</t>
        </is>
      </c>
      <c r="C102" s="17" t="inlineStr">
        <is>
          <t>Loans repayable on demand - banks</t>
        </is>
      </c>
      <c r="D102" s="17" t="inlineStr">
        <is>
          <t>STB_BANK_OD</t>
        </is>
      </c>
      <c r="E102" s="121" t="n">
        <v>0</v>
      </c>
      <c r="F102" s="121" t="n">
        <v>0</v>
      </c>
      <c r="G102" s="59" t="str"/>
    </row>
    <row r="103">
      <c r="A103" s="17" t="inlineStr">
        <is>
          <t>7</t>
        </is>
      </c>
      <c r="B103" s="17" t="inlineStr">
        <is>
          <t>Short-term Borrowings</t>
        </is>
      </c>
      <c r="C103" s="17" t="inlineStr">
        <is>
          <t>Loans repayable on demand - others</t>
        </is>
      </c>
      <c r="D103" s="17" t="inlineStr">
        <is>
          <t>STB_OTHER_OD</t>
        </is>
      </c>
      <c r="E103" s="121" t="n">
        <v>0</v>
      </c>
      <c r="F103" s="121" t="n">
        <v>0</v>
      </c>
      <c r="G103" s="59" t="str"/>
    </row>
    <row r="104">
      <c r="A104" s="17" t="inlineStr">
        <is>
          <t>7</t>
        </is>
      </c>
      <c r="B104" s="17" t="inlineStr">
        <is>
          <t>Short-term Borrowings</t>
        </is>
      </c>
      <c r="C104" s="17" t="inlineStr">
        <is>
          <t>Loans from related parties</t>
        </is>
      </c>
      <c r="D104" s="17" t="inlineStr">
        <is>
          <t>STB_RELATED</t>
        </is>
      </c>
      <c r="E104" s="121" t="n">
        <v>0</v>
      </c>
      <c r="F104" s="121" t="n">
        <v>0</v>
      </c>
      <c r="G104" s="59" t="str"/>
    </row>
    <row r="105">
      <c r="A105" s="17" t="inlineStr">
        <is>
          <t>7</t>
        </is>
      </c>
      <c r="B105" s="17" t="inlineStr">
        <is>
          <t>Short-term Borrowings</t>
        </is>
      </c>
      <c r="C105" s="17" t="inlineStr">
        <is>
          <t>Deposits</t>
        </is>
      </c>
      <c r="D105" s="17" t="inlineStr">
        <is>
          <t>STB_DEPOSITS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7</t>
        </is>
      </c>
      <c r="B106" s="17" t="inlineStr">
        <is>
          <t>Short-term Borrowings</t>
        </is>
      </c>
      <c r="C106" s="17" t="inlineStr">
        <is>
          <t>Other short-term borrowings</t>
        </is>
      </c>
      <c r="D106" s="17" t="inlineStr">
        <is>
          <t>STB_OTHER</t>
        </is>
      </c>
      <c r="E106" s="121" t="n">
        <v>0</v>
      </c>
      <c r="F106" s="121" t="n">
        <v>0</v>
      </c>
      <c r="G106" s="59" t="str"/>
    </row>
    <row r="107">
      <c r="A107" s="65" t="inlineStr">
        <is>
          <t>7</t>
        </is>
      </c>
      <c r="B107" s="65" t="inlineStr">
        <is>
          <t>Short-term Borrowings</t>
        </is>
      </c>
      <c r="C107" s="65" t="inlineStr">
        <is>
          <t>Total — Short-term Borrowings</t>
        </is>
      </c>
      <c r="D107" s="65" t="inlineStr">
        <is>
          <t>__TOTAL__</t>
        </is>
      </c>
      <c r="E107" s="122">
        <f>SUM(E102:E106)</f>
        <v/>
      </c>
      <c r="F107" s="122">
        <f>SUM(F102:F106)</f>
        <v/>
      </c>
      <c r="G107" s="65" t="str"/>
    </row>
    <row r="108">
      <c r="A108" s="17" t="inlineStr">
        <is>
          <t>8</t>
        </is>
      </c>
      <c r="B108" s="17" t="inlineStr">
        <is>
          <t>Trade Payables</t>
        </is>
      </c>
      <c r="C108" s="17" t="inlineStr">
        <is>
          <t>MSME dues</t>
        </is>
      </c>
      <c r="D108" s="17" t="inlineStr">
        <is>
          <t>TP_MSME</t>
        </is>
      </c>
      <c r="E108" s="121" t="n">
        <v>0</v>
      </c>
      <c r="F108" s="121" t="n">
        <v>0</v>
      </c>
      <c r="G108" s="59" t="str"/>
    </row>
    <row r="109">
      <c r="A109" s="17" t="inlineStr">
        <is>
          <t>8</t>
        </is>
      </c>
      <c r="B109" s="17" t="inlineStr">
        <is>
          <t>Trade Payables</t>
        </is>
      </c>
      <c r="C109" s="17" t="inlineStr">
        <is>
          <t>Other trade payables</t>
        </is>
      </c>
      <c r="D109" s="17" t="inlineStr">
        <is>
          <t>TP_OTHER</t>
        </is>
      </c>
      <c r="E109" s="121" t="n">
        <v>0</v>
      </c>
      <c r="F109" s="121" t="n">
        <v>0</v>
      </c>
      <c r="G109" s="59" t="str"/>
    </row>
    <row r="110">
      <c r="A110" s="17" t="inlineStr">
        <is>
          <t>8</t>
        </is>
      </c>
      <c r="B110" s="17" t="inlineStr">
        <is>
          <t>Trade Payables</t>
        </is>
      </c>
      <c r="C110" s="17" t="inlineStr">
        <is>
          <t>Disputed MSME dues</t>
        </is>
      </c>
      <c r="D110" s="17" t="inlineStr">
        <is>
          <t>TP_DISP_MSME</t>
        </is>
      </c>
      <c r="E110" s="121" t="n">
        <v>0</v>
      </c>
      <c r="F110" s="121" t="n">
        <v>0</v>
      </c>
      <c r="G110" s="59" t="str"/>
    </row>
    <row r="111">
      <c r="A111" s="17" t="inlineStr">
        <is>
          <t>8</t>
        </is>
      </c>
      <c r="B111" s="17" t="inlineStr">
        <is>
          <t>Trade Payables</t>
        </is>
      </c>
      <c r="C111" s="17" t="inlineStr">
        <is>
          <t>Disputed other dues</t>
        </is>
      </c>
      <c r="D111" s="17" t="inlineStr">
        <is>
          <t>TP_DISP_OTHER</t>
        </is>
      </c>
      <c r="E111" s="121" t="n">
        <v>0</v>
      </c>
      <c r="F111" s="121" t="n">
        <v>0</v>
      </c>
      <c r="G111" s="59" t="str"/>
    </row>
    <row r="112">
      <c r="A112" s="65" t="inlineStr">
        <is>
          <t>8</t>
        </is>
      </c>
      <c r="B112" s="65" t="inlineStr">
        <is>
          <t>Trade Payables</t>
        </is>
      </c>
      <c r="C112" s="65" t="inlineStr">
        <is>
          <t>Total — Trade Payables</t>
        </is>
      </c>
      <c r="D112" s="65" t="inlineStr">
        <is>
          <t>__TOTAL__</t>
        </is>
      </c>
      <c r="E112" s="122">
        <f>SUM(E108:E111)</f>
        <v/>
      </c>
      <c r="F112" s="122">
        <f>SUM(F108:F111)</f>
        <v/>
      </c>
      <c r="G112" s="65" t="str"/>
    </row>
    <row r="113">
      <c r="A113" s="17" t="inlineStr">
        <is>
          <t>9</t>
        </is>
      </c>
      <c r="B113" s="17" t="inlineStr">
        <is>
          <t>Other Current Liabilities</t>
        </is>
      </c>
      <c r="C113" s="17" t="inlineStr">
        <is>
          <t>Current maturities of long-term debt</t>
        </is>
      </c>
      <c r="D113" s="17" t="inlineStr">
        <is>
          <t>OCL_CMLTD</t>
        </is>
      </c>
      <c r="E113" s="121" t="n">
        <v>0</v>
      </c>
      <c r="F113" s="121" t="n">
        <v>0</v>
      </c>
      <c r="G113" s="59" t="str"/>
    </row>
    <row r="114">
      <c r="A114" s="17" t="inlineStr">
        <is>
          <t>9</t>
        </is>
      </c>
      <c r="B114" s="17" t="inlineStr">
        <is>
          <t>Other Current Liabilities</t>
        </is>
      </c>
      <c r="C114" s="17" t="inlineStr">
        <is>
          <t>Current maturities of finance lease</t>
        </is>
      </c>
      <c r="D114" s="17" t="inlineStr">
        <is>
          <t>OCL_LEASE</t>
        </is>
      </c>
      <c r="E114" s="121" t="n">
        <v>0</v>
      </c>
      <c r="F114" s="121" t="n">
        <v>0</v>
      </c>
      <c r="G114" s="59" t="str"/>
    </row>
    <row r="115">
      <c r="A115" s="17" t="inlineStr">
        <is>
          <t>9</t>
        </is>
      </c>
      <c r="B115" s="17" t="inlineStr">
        <is>
          <t>Other Current Liabilities</t>
        </is>
      </c>
      <c r="C115" s="17" t="inlineStr">
        <is>
          <t>Interest accrued but not due</t>
        </is>
      </c>
      <c r="D115" s="17" t="inlineStr">
        <is>
          <t>OCL_INT_NOTDUE</t>
        </is>
      </c>
      <c r="E115" s="121" t="n">
        <v>0</v>
      </c>
      <c r="F115" s="121" t="n">
        <v>0</v>
      </c>
      <c r="G115" s="59" t="str"/>
    </row>
    <row r="116">
      <c r="A116" s="17" t="inlineStr">
        <is>
          <t>9</t>
        </is>
      </c>
      <c r="B116" s="17" t="inlineStr">
        <is>
          <t>Other Current Liabilities</t>
        </is>
      </c>
      <c r="C116" s="17" t="inlineStr">
        <is>
          <t>Interest accrued and due</t>
        </is>
      </c>
      <c r="D116" s="17" t="inlineStr">
        <is>
          <t>OCL_INT_DUE</t>
        </is>
      </c>
      <c r="E116" s="121" t="n">
        <v>0</v>
      </c>
      <c r="F116" s="121" t="n">
        <v>0</v>
      </c>
      <c r="G116" s="59" t="str"/>
    </row>
    <row r="117">
      <c r="A117" s="17" t="inlineStr">
        <is>
          <t>9</t>
        </is>
      </c>
      <c r="B117" s="17" t="inlineStr">
        <is>
          <t>Other Current Liabilities</t>
        </is>
      </c>
      <c r="C117" s="17" t="inlineStr">
        <is>
          <t>Income received in advance</t>
        </is>
      </c>
      <c r="D117" s="17" t="inlineStr">
        <is>
          <t>OCL_ADV</t>
        </is>
      </c>
      <c r="E117" s="121" t="n">
        <v>0</v>
      </c>
      <c r="F117" s="121" t="n">
        <v>0</v>
      </c>
      <c r="G117" s="59" t="str"/>
    </row>
    <row r="118">
      <c r="A118" s="17" t="inlineStr">
        <is>
          <t>9</t>
        </is>
      </c>
      <c r="B118" s="17" t="inlineStr">
        <is>
          <t>Other Current Liabilities</t>
        </is>
      </c>
      <c r="C118" s="17" t="inlineStr">
        <is>
          <t>Unpaid dividends</t>
        </is>
      </c>
      <c r="D118" s="17" t="inlineStr">
        <is>
          <t>OCL_DIV</t>
        </is>
      </c>
      <c r="E118" s="121" t="n">
        <v>0</v>
      </c>
      <c r="F118" s="121" t="n">
        <v>0</v>
      </c>
      <c r="G118" s="59" t="str"/>
    </row>
    <row r="119">
      <c r="A119" s="17" t="inlineStr">
        <is>
          <t>9</t>
        </is>
      </c>
      <c r="B119" s="17" t="inlineStr">
        <is>
          <t>Other Current Liabilities</t>
        </is>
      </c>
      <c r="C119" s="17" t="inlineStr">
        <is>
          <t>Statutory dues</t>
        </is>
      </c>
      <c r="D119" s="17" t="inlineStr">
        <is>
          <t>OCL_STAT</t>
        </is>
      </c>
      <c r="E119" s="121" t="n">
        <v>0</v>
      </c>
      <c r="F119" s="121" t="n">
        <v>0</v>
      </c>
      <c r="G119" s="59" t="str"/>
    </row>
    <row r="120">
      <c r="A120" s="17" t="inlineStr">
        <is>
          <t>9</t>
        </is>
      </c>
      <c r="B120" s="17" t="inlineStr">
        <is>
          <t>Other Current Liabilities</t>
        </is>
      </c>
      <c r="C120" s="17" t="inlineStr">
        <is>
          <t>Other payables</t>
        </is>
      </c>
      <c r="D120" s="17" t="inlineStr">
        <is>
          <t>OCL_OTHER</t>
        </is>
      </c>
      <c r="E120" s="121" t="n">
        <v>0</v>
      </c>
      <c r="F120" s="121" t="n">
        <v>0</v>
      </c>
      <c r="G120" s="59" t="str"/>
    </row>
    <row r="121">
      <c r="A121" s="65" t="inlineStr">
        <is>
          <t>9</t>
        </is>
      </c>
      <c r="B121" s="65" t="inlineStr">
        <is>
          <t>Other Current Liabilities</t>
        </is>
      </c>
      <c r="C121" s="65" t="inlineStr">
        <is>
          <t>Total — Other Current Liabilities</t>
        </is>
      </c>
      <c r="D121" s="65" t="inlineStr">
        <is>
          <t>__TOTAL__</t>
        </is>
      </c>
      <c r="E121" s="122">
        <f>SUM(E113:E120)</f>
        <v/>
      </c>
      <c r="F121" s="122">
        <f>SUM(F113:F120)</f>
        <v/>
      </c>
      <c r="G121" s="65" t="str"/>
    </row>
    <row r="122">
      <c r="A122" s="17" t="inlineStr">
        <is>
          <t>10</t>
        </is>
      </c>
      <c r="B122" s="17" t="inlineStr">
        <is>
          <t>Short-term Provisions</t>
        </is>
      </c>
      <c r="C122" s="17" t="inlineStr">
        <is>
          <t>Employee benefit provisions</t>
        </is>
      </c>
      <c r="D122" s="17" t="inlineStr">
        <is>
          <t>STP_EMP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10</t>
        </is>
      </c>
      <c r="B123" s="17" t="inlineStr">
        <is>
          <t>Short-term Provisions</t>
        </is>
      </c>
      <c r="C123" s="17" t="inlineStr">
        <is>
          <t>Tax provisions</t>
        </is>
      </c>
      <c r="D123" s="17" t="inlineStr">
        <is>
          <t>STP_TAX</t>
        </is>
      </c>
      <c r="E123" s="121" t="n">
        <v>0</v>
      </c>
      <c r="F123" s="121" t="n">
        <v>0</v>
      </c>
      <c r="G123" s="59" t="str"/>
    </row>
    <row r="124">
      <c r="A124" s="17" t="inlineStr">
        <is>
          <t>10</t>
        </is>
      </c>
      <c r="B124" s="17" t="inlineStr">
        <is>
          <t>Short-term Provisions</t>
        </is>
      </c>
      <c r="C124" s="17" t="inlineStr">
        <is>
          <t>Other provisions</t>
        </is>
      </c>
      <c r="D124" s="17" t="inlineStr">
        <is>
          <t>STP_OTHER</t>
        </is>
      </c>
      <c r="E124" s="121" t="n">
        <v>0</v>
      </c>
      <c r="F124" s="121" t="n">
        <v>0</v>
      </c>
      <c r="G124" s="59" t="str"/>
    </row>
    <row r="125">
      <c r="A125" s="65" t="inlineStr">
        <is>
          <t>10</t>
        </is>
      </c>
      <c r="B125" s="65" t="inlineStr">
        <is>
          <t>Short-term Provisions</t>
        </is>
      </c>
      <c r="C125" s="65" t="inlineStr">
        <is>
          <t>Total — Short-term Provisions</t>
        </is>
      </c>
      <c r="D125" s="65" t="inlineStr">
        <is>
          <t>__TOTAL__</t>
        </is>
      </c>
      <c r="E125" s="122">
        <f>SUM(E122:E124)</f>
        <v/>
      </c>
      <c r="F125" s="122">
        <f>SUM(F122:F124)</f>
        <v/>
      </c>
      <c r="G125" s="65" t="str"/>
    </row>
    <row r="126">
      <c r="A126" s="17" t="inlineStr">
        <is>
          <t>11</t>
        </is>
      </c>
      <c r="B126" s="17" t="inlineStr">
        <is>
          <t>Property, Plant and Equipment / Intangibles / CWIP</t>
        </is>
      </c>
      <c r="C126" s="17" t="inlineStr">
        <is>
          <t>PPE - land</t>
        </is>
      </c>
      <c r="D126" s="17" t="inlineStr">
        <is>
          <t>PPE_LAND</t>
        </is>
      </c>
      <c r="E126" s="121" t="n">
        <v>0</v>
      </c>
      <c r="F126" s="121" t="n">
        <v>0</v>
      </c>
      <c r="G126" s="59" t="str"/>
    </row>
    <row r="127">
      <c r="A127" s="17" t="inlineStr">
        <is>
          <t>11</t>
        </is>
      </c>
      <c r="B127" s="17" t="inlineStr">
        <is>
          <t>Property, Plant and Equipment / Intangibles / CWIP</t>
        </is>
      </c>
      <c r="C127" s="17" t="inlineStr">
        <is>
          <t>PPE - buildings</t>
        </is>
      </c>
      <c r="D127" s="17" t="inlineStr">
        <is>
          <t>PPE_BUILD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11</t>
        </is>
      </c>
      <c r="B128" s="17" t="inlineStr">
        <is>
          <t>Property, Plant and Equipment / Intangibles / CWIP</t>
        </is>
      </c>
      <c r="C128" s="17" t="inlineStr">
        <is>
          <t>PPE - plant and equipment</t>
        </is>
      </c>
      <c r="D128" s="17" t="inlineStr">
        <is>
          <t>PPE_PLANT</t>
        </is>
      </c>
      <c r="E128" s="121" t="n">
        <v>0</v>
      </c>
      <c r="F128" s="121" t="n">
        <v>0</v>
      </c>
      <c r="G128" s="59" t="str"/>
    </row>
    <row r="129">
      <c r="A129" s="17" t="inlineStr">
        <is>
          <t>11</t>
        </is>
      </c>
      <c r="B129" s="17" t="inlineStr">
        <is>
          <t>Property, Plant and Equipment / Intangibles / CWIP</t>
        </is>
      </c>
      <c r="C129" s="17" t="inlineStr">
        <is>
          <t>PPE - furniture and fixtures</t>
        </is>
      </c>
      <c r="D129" s="17" t="inlineStr">
        <is>
          <t>PPE_FURN</t>
        </is>
      </c>
      <c r="E129" s="121" t="n">
        <v>0</v>
      </c>
      <c r="F129" s="121" t="n">
        <v>0</v>
      </c>
      <c r="G129" s="59" t="str"/>
    </row>
    <row r="130">
      <c r="A130" s="17" t="inlineStr">
        <is>
          <t>11</t>
        </is>
      </c>
      <c r="B130" s="17" t="inlineStr">
        <is>
          <t>Property, Plant and Equipment / Intangibles / CWIP</t>
        </is>
      </c>
      <c r="C130" s="17" t="inlineStr">
        <is>
          <t>PPE - vehicles</t>
        </is>
      </c>
      <c r="D130" s="17" t="inlineStr">
        <is>
          <t>PPE_VEH</t>
        </is>
      </c>
      <c r="E130" s="121" t="n">
        <v>0</v>
      </c>
      <c r="F130" s="121" t="n">
        <v>0</v>
      </c>
      <c r="G130" s="59" t="str"/>
    </row>
    <row r="131">
      <c r="A131" s="17" t="inlineStr">
        <is>
          <t>11</t>
        </is>
      </c>
      <c r="B131" s="17" t="inlineStr">
        <is>
          <t>Property, Plant and Equipment / Intangibles / CWIP</t>
        </is>
      </c>
      <c r="C131" s="17" t="inlineStr">
        <is>
          <t>PPE - office equipment</t>
        </is>
      </c>
      <c r="D131" s="17" t="inlineStr">
        <is>
          <t>PPE_OFFICE</t>
        </is>
      </c>
      <c r="E131" s="121" t="n">
        <v>0</v>
      </c>
      <c r="F131" s="121" t="n">
        <v>0</v>
      </c>
      <c r="G131" s="59" t="str"/>
    </row>
    <row r="132">
      <c r="A132" s="17" t="inlineStr">
        <is>
          <t>11</t>
        </is>
      </c>
      <c r="B132" s="17" t="inlineStr">
        <is>
          <t>Property, Plant and Equipment / Intangibles / CWIP</t>
        </is>
      </c>
      <c r="C132" s="17" t="inlineStr">
        <is>
          <t>Intangible assets</t>
        </is>
      </c>
      <c r="D132" s="17" t="inlineStr">
        <is>
          <t>INTANG</t>
        </is>
      </c>
      <c r="E132" s="121" t="n">
        <v>0</v>
      </c>
      <c r="F132" s="121" t="n">
        <v>0</v>
      </c>
      <c r="G132" s="59" t="str"/>
    </row>
    <row r="133">
      <c r="A133" s="17" t="inlineStr">
        <is>
          <t>11</t>
        </is>
      </c>
      <c r="B133" s="17" t="inlineStr">
        <is>
          <t>Property, Plant and Equipment / Intangibles / CWIP</t>
        </is>
      </c>
      <c r="C133" s="17" t="inlineStr">
        <is>
          <t>Capital work-in-progress</t>
        </is>
      </c>
      <c r="D133" s="17" t="inlineStr">
        <is>
          <t>CWIP</t>
        </is>
      </c>
      <c r="E133" s="121" t="n">
        <v>0</v>
      </c>
      <c r="F133" s="121" t="n">
        <v>0</v>
      </c>
      <c r="G133" s="59" t="str"/>
    </row>
    <row r="134">
      <c r="A134" s="17" t="inlineStr">
        <is>
          <t>11</t>
        </is>
      </c>
      <c r="B134" s="17" t="inlineStr">
        <is>
          <t>Property, Plant and Equipment / Intangibles / CWIP</t>
        </is>
      </c>
      <c r="C134" s="17" t="inlineStr">
        <is>
          <t>Intangible assets under development</t>
        </is>
      </c>
      <c r="D134" s="17" t="inlineStr">
        <is>
          <t>IAUD</t>
        </is>
      </c>
      <c r="E134" s="121" t="n">
        <v>0</v>
      </c>
      <c r="F134" s="121" t="n">
        <v>0</v>
      </c>
      <c r="G134" s="59" t="str"/>
    </row>
    <row r="135">
      <c r="A135" s="65" t="inlineStr">
        <is>
          <t>11</t>
        </is>
      </c>
      <c r="B135" s="65" t="inlineStr">
        <is>
          <t>Property, Plant and Equipment / Intangibles / CWIP</t>
        </is>
      </c>
      <c r="C135" s="65" t="inlineStr">
        <is>
          <t>Total — Property, Plant and Equipment / Intangibles / CWIP</t>
        </is>
      </c>
      <c r="D135" s="65" t="inlineStr">
        <is>
          <t>__TOTAL__</t>
        </is>
      </c>
      <c r="E135" s="122">
        <f>SUM(E126:E134)</f>
        <v/>
      </c>
      <c r="F135" s="122">
        <f>SUM(F126:F134)</f>
        <v/>
      </c>
      <c r="G135" s="65" t="str"/>
    </row>
    <row r="136">
      <c r="A136" s="17" t="inlineStr">
        <is>
          <t>12</t>
        </is>
      </c>
      <c r="B136" s="17" t="inlineStr">
        <is>
          <t>Non-current Investments</t>
        </is>
      </c>
      <c r="C136" s="17" t="inlineStr">
        <is>
          <t>Investment property</t>
        </is>
      </c>
      <c r="D136" s="17" t="inlineStr">
        <is>
          <t>NCI_PROP</t>
        </is>
      </c>
      <c r="E136" s="121" t="n">
        <v>0</v>
      </c>
      <c r="F136" s="121" t="n">
        <v>0</v>
      </c>
      <c r="G136" s="59" t="str"/>
    </row>
    <row r="137">
      <c r="A137" s="17" t="inlineStr">
        <is>
          <t>12</t>
        </is>
      </c>
      <c r="B137" s="17" t="inlineStr">
        <is>
          <t>Non-current Investments</t>
        </is>
      </c>
      <c r="C137" s="17" t="inlineStr">
        <is>
          <t>Equity instruments</t>
        </is>
      </c>
      <c r="D137" s="17" t="inlineStr">
        <is>
          <t>NCI_EQUITY</t>
        </is>
      </c>
      <c r="E137" s="121" t="n">
        <v>0</v>
      </c>
      <c r="F137" s="121" t="n">
        <v>0</v>
      </c>
      <c r="G137" s="59" t="str"/>
    </row>
    <row r="138">
      <c r="A138" s="17" t="inlineStr">
        <is>
          <t>12</t>
        </is>
      </c>
      <c r="B138" s="17" t="inlineStr">
        <is>
          <t>Non-current Investments</t>
        </is>
      </c>
      <c r="C138" s="17" t="inlineStr">
        <is>
          <t>Preference shares</t>
        </is>
      </c>
      <c r="D138" s="17" t="inlineStr">
        <is>
          <t>NCI_PREF</t>
        </is>
      </c>
      <c r="E138" s="121" t="n">
        <v>0</v>
      </c>
      <c r="F138" s="121" t="n">
        <v>0</v>
      </c>
      <c r="G138" s="59" t="str"/>
    </row>
    <row r="139">
      <c r="A139" s="17" t="inlineStr">
        <is>
          <t>12</t>
        </is>
      </c>
      <c r="B139" s="17" t="inlineStr">
        <is>
          <t>Non-current Investments</t>
        </is>
      </c>
      <c r="C139" s="17" t="inlineStr">
        <is>
          <t>Government / trust securities</t>
        </is>
      </c>
      <c r="D139" s="17" t="inlineStr">
        <is>
          <t>NCI_GOVT</t>
        </is>
      </c>
      <c r="E139" s="121" t="n">
        <v>0</v>
      </c>
      <c r="F139" s="121" t="n">
        <v>0</v>
      </c>
      <c r="G139" s="59" t="str"/>
    </row>
    <row r="140">
      <c r="A140" s="17" t="inlineStr">
        <is>
          <t>12</t>
        </is>
      </c>
      <c r="B140" s="17" t="inlineStr">
        <is>
          <t>Non-current Investments</t>
        </is>
      </c>
      <c r="C140" s="17" t="inlineStr">
        <is>
          <t>Debentures / bonds</t>
        </is>
      </c>
      <c r="D140" s="17" t="inlineStr">
        <is>
          <t>NCI_BONDS</t>
        </is>
      </c>
      <c r="E140" s="121" t="n">
        <v>0</v>
      </c>
      <c r="F140" s="121" t="n">
        <v>0</v>
      </c>
      <c r="G140" s="59" t="str"/>
    </row>
    <row r="141">
      <c r="A141" s="17" t="inlineStr">
        <is>
          <t>12</t>
        </is>
      </c>
      <c r="B141" s="17" t="inlineStr">
        <is>
          <t>Non-current Investments</t>
        </is>
      </c>
      <c r="C141" s="17" t="inlineStr">
        <is>
          <t>Mutual funds</t>
        </is>
      </c>
      <c r="D141" s="17" t="inlineStr">
        <is>
          <t>NCI_MF</t>
        </is>
      </c>
      <c r="E141" s="121" t="n">
        <v>0</v>
      </c>
      <c r="F141" s="121" t="n">
        <v>0</v>
      </c>
      <c r="G141" s="59" t="str"/>
    </row>
    <row r="142">
      <c r="A142" s="17" t="inlineStr">
        <is>
          <t>12</t>
        </is>
      </c>
      <c r="B142" s="17" t="inlineStr">
        <is>
          <t>Non-current Investments</t>
        </is>
      </c>
      <c r="C142" s="17" t="inlineStr">
        <is>
          <t>Partnership firms</t>
        </is>
      </c>
      <c r="D142" s="17" t="inlineStr">
        <is>
          <t>NCI_PARTNERSHIP</t>
        </is>
      </c>
      <c r="E142" s="121" t="n">
        <v>0</v>
      </c>
      <c r="F142" s="121" t="n">
        <v>0</v>
      </c>
      <c r="G142" s="59" t="str"/>
    </row>
    <row r="143">
      <c r="A143" s="17" t="inlineStr">
        <is>
          <t>12</t>
        </is>
      </c>
      <c r="B143" s="17" t="inlineStr">
        <is>
          <t>Non-current Investments</t>
        </is>
      </c>
      <c r="C143" s="17" t="inlineStr">
        <is>
          <t>Other non-current investments</t>
        </is>
      </c>
      <c r="D143" s="17" t="inlineStr">
        <is>
          <t>NCI_OTHER</t>
        </is>
      </c>
      <c r="E143" s="121" t="n">
        <v>0</v>
      </c>
      <c r="F143" s="121" t="n">
        <v>0</v>
      </c>
      <c r="G143" s="59" t="str"/>
    </row>
    <row r="144">
      <c r="A144" s="65" t="inlineStr">
        <is>
          <t>12</t>
        </is>
      </c>
      <c r="B144" s="65" t="inlineStr">
        <is>
          <t>Non-current Investments</t>
        </is>
      </c>
      <c r="C144" s="65" t="inlineStr">
        <is>
          <t>Total — Non-current Investments</t>
        </is>
      </c>
      <c r="D144" s="65" t="inlineStr">
        <is>
          <t>__TOTAL__</t>
        </is>
      </c>
      <c r="E144" s="122">
        <f>SUM(E136:E143)</f>
        <v/>
      </c>
      <c r="F144" s="122">
        <f>SUM(F136:F143)</f>
        <v/>
      </c>
      <c r="G144" s="65" t="str"/>
    </row>
    <row r="145">
      <c r="A145" s="17" t="inlineStr">
        <is>
          <t>13</t>
        </is>
      </c>
      <c r="B145" s="17" t="inlineStr">
        <is>
          <t>Long-term Loans and Advances</t>
        </is>
      </c>
      <c r="C145" s="17" t="inlineStr">
        <is>
          <t>Capital advances</t>
        </is>
      </c>
      <c r="D145" s="17" t="inlineStr">
        <is>
          <t>LTLA_CAP</t>
        </is>
      </c>
      <c r="E145" s="121" t="n">
        <v>0</v>
      </c>
      <c r="F145" s="121" t="n">
        <v>0</v>
      </c>
      <c r="G145" s="59" t="str"/>
    </row>
    <row r="146">
      <c r="A146" s="17" t="inlineStr">
        <is>
          <t>13</t>
        </is>
      </c>
      <c r="B146" s="17" t="inlineStr">
        <is>
          <t>Long-term Loans and Advances</t>
        </is>
      </c>
      <c r="C146" s="17" t="inlineStr">
        <is>
          <t>Security deposits</t>
        </is>
      </c>
      <c r="D146" s="17" t="inlineStr">
        <is>
          <t>LTLA_DEP</t>
        </is>
      </c>
      <c r="E146" s="121" t="n">
        <v>0</v>
      </c>
      <c r="F146" s="121" t="n">
        <v>0</v>
      </c>
      <c r="G146" s="59" t="str"/>
    </row>
    <row r="147">
      <c r="A147" s="17" t="inlineStr">
        <is>
          <t>13</t>
        </is>
      </c>
      <c r="B147" s="17" t="inlineStr">
        <is>
          <t>Long-term Loans and Advances</t>
        </is>
      </c>
      <c r="C147" s="17" t="inlineStr">
        <is>
          <t>Related-party loans / advances</t>
        </is>
      </c>
      <c r="D147" s="17" t="inlineStr">
        <is>
          <t>LTLA_REL</t>
        </is>
      </c>
      <c r="E147" s="121" t="n">
        <v>0</v>
      </c>
      <c r="F147" s="121" t="n">
        <v>0</v>
      </c>
      <c r="G147" s="59" t="str"/>
    </row>
    <row r="148">
      <c r="A148" s="17" t="inlineStr">
        <is>
          <t>13</t>
        </is>
      </c>
      <c r="B148" s="17" t="inlineStr">
        <is>
          <t>Long-term Loans and Advances</t>
        </is>
      </c>
      <c r="C148" s="17" t="inlineStr">
        <is>
          <t>Other loans and advances</t>
        </is>
      </c>
      <c r="D148" s="17" t="inlineStr">
        <is>
          <t>LTLA_OTHER</t>
        </is>
      </c>
      <c r="E148" s="121" t="n">
        <v>0</v>
      </c>
      <c r="F148" s="121" t="n">
        <v>0</v>
      </c>
      <c r="G148" s="59" t="str"/>
    </row>
    <row r="149">
      <c r="A149" s="17" t="inlineStr">
        <is>
          <t>13</t>
        </is>
      </c>
      <c r="B149" s="17" t="inlineStr">
        <is>
          <t>Long-term Loans and Advances</t>
        </is>
      </c>
      <c r="C149" s="17" t="inlineStr">
        <is>
          <t>Provision for doubtful advances</t>
        </is>
      </c>
      <c r="D149" s="17" t="inlineStr">
        <is>
          <t>LTLA_PROV</t>
        </is>
      </c>
      <c r="E149" s="121" t="n">
        <v>0</v>
      </c>
      <c r="F149" s="121" t="n">
        <v>0</v>
      </c>
      <c r="G149" s="59" t="str"/>
    </row>
    <row r="150">
      <c r="A150" s="65" t="inlineStr">
        <is>
          <t>13</t>
        </is>
      </c>
      <c r="B150" s="65" t="inlineStr">
        <is>
          <t>Long-term Loans and Advances</t>
        </is>
      </c>
      <c r="C150" s="65" t="inlineStr">
        <is>
          <t>Total — Long-term Loans and Advances</t>
        </is>
      </c>
      <c r="D150" s="65" t="inlineStr">
        <is>
          <t>__TOTAL__</t>
        </is>
      </c>
      <c r="E150" s="122">
        <f>SUM(E145:E149)</f>
        <v/>
      </c>
      <c r="F150" s="122">
        <f>SUM(F145:F149)</f>
        <v/>
      </c>
      <c r="G150" s="65" t="str"/>
    </row>
    <row r="151">
      <c r="A151" s="17" t="inlineStr">
        <is>
          <t>14</t>
        </is>
      </c>
      <c r="B151" s="17" t="inlineStr">
        <is>
          <t>Other Non-current Assets</t>
        </is>
      </c>
      <c r="C151" s="17" t="inlineStr">
        <is>
          <t>Long-term trade receivables</t>
        </is>
      </c>
      <c r="D151" s="17" t="inlineStr">
        <is>
          <t>ONCA_TR</t>
        </is>
      </c>
      <c r="E151" s="121" t="n">
        <v>0</v>
      </c>
      <c r="F151" s="121" t="n">
        <v>0</v>
      </c>
      <c r="G151" s="59" t="str"/>
    </row>
    <row r="152">
      <c r="A152" s="17" t="inlineStr">
        <is>
          <t>14</t>
        </is>
      </c>
      <c r="B152" s="17" t="inlineStr">
        <is>
          <t>Other Non-current Assets</t>
        </is>
      </c>
      <c r="C152" s="17" t="inlineStr">
        <is>
          <t>Bank deposits &gt; 12 months</t>
        </is>
      </c>
      <c r="D152" s="17" t="inlineStr">
        <is>
          <t>ONCA_BANK</t>
        </is>
      </c>
      <c r="E152" s="121" t="n">
        <v>0</v>
      </c>
      <c r="F152" s="121" t="n">
        <v>0</v>
      </c>
      <c r="G152" s="59" t="str"/>
    </row>
    <row r="153">
      <c r="A153" s="17" t="inlineStr">
        <is>
          <t>14</t>
        </is>
      </c>
      <c r="B153" s="17" t="inlineStr">
        <is>
          <t>Other Non-current Assets</t>
        </is>
      </c>
      <c r="C153" s="17" t="inlineStr">
        <is>
          <t>Other non-current assets</t>
        </is>
      </c>
      <c r="D153" s="17" t="inlineStr">
        <is>
          <t>ONCA_OTHER</t>
        </is>
      </c>
      <c r="E153" s="121" t="n">
        <v>0</v>
      </c>
      <c r="F153" s="121" t="n">
        <v>0</v>
      </c>
      <c r="G153" s="59" t="str"/>
    </row>
    <row r="154">
      <c r="A154" s="65" t="inlineStr">
        <is>
          <t>14</t>
        </is>
      </c>
      <c r="B154" s="65" t="inlineStr">
        <is>
          <t>Other Non-current Assets</t>
        </is>
      </c>
      <c r="C154" s="65" t="inlineStr">
        <is>
          <t>Total — Other Non-current Assets</t>
        </is>
      </c>
      <c r="D154" s="65" t="inlineStr">
        <is>
          <t>__TOTAL__</t>
        </is>
      </c>
      <c r="E154" s="122">
        <f>SUM(E151:E153)</f>
        <v/>
      </c>
      <c r="F154" s="122">
        <f>SUM(F151:F153)</f>
        <v/>
      </c>
      <c r="G154" s="65" t="str"/>
    </row>
    <row r="155">
      <c r="A155" s="17" t="inlineStr">
        <is>
          <t>15</t>
        </is>
      </c>
      <c r="B155" s="17" t="inlineStr">
        <is>
          <t>Current Investments</t>
        </is>
      </c>
      <c r="C155" s="17" t="inlineStr">
        <is>
          <t>Current investments - quoted</t>
        </is>
      </c>
      <c r="D155" s="17" t="inlineStr">
        <is>
          <t>CI_QUOTED</t>
        </is>
      </c>
      <c r="E155" s="121" t="n">
        <v>0</v>
      </c>
      <c r="F155" s="121" t="n">
        <v>0</v>
      </c>
      <c r="G155" s="59" t="str"/>
    </row>
    <row r="156">
      <c r="A156" s="17" t="inlineStr">
        <is>
          <t>15</t>
        </is>
      </c>
      <c r="B156" s="17" t="inlineStr">
        <is>
          <t>Current Investments</t>
        </is>
      </c>
      <c r="C156" s="17" t="inlineStr">
        <is>
          <t>Current investments - unquoted</t>
        </is>
      </c>
      <c r="D156" s="17" t="inlineStr">
        <is>
          <t>CI_UNQUOTED</t>
        </is>
      </c>
      <c r="E156" s="121" t="n">
        <v>0</v>
      </c>
      <c r="F156" s="121" t="n">
        <v>0</v>
      </c>
      <c r="G156" s="59" t="str"/>
    </row>
    <row r="157">
      <c r="A157" s="17" t="inlineStr">
        <is>
          <t>15</t>
        </is>
      </c>
      <c r="B157" s="17" t="inlineStr">
        <is>
          <t>Current Investments</t>
        </is>
      </c>
      <c r="C157" s="17" t="inlineStr">
        <is>
          <t>Provision for diminution</t>
        </is>
      </c>
      <c r="D157" s="17" t="inlineStr">
        <is>
          <t>CI_PROV</t>
        </is>
      </c>
      <c r="E157" s="121" t="n">
        <v>0</v>
      </c>
      <c r="F157" s="121" t="n">
        <v>0</v>
      </c>
      <c r="G157" s="59" t="str"/>
    </row>
    <row r="158">
      <c r="A158" s="65" t="inlineStr">
        <is>
          <t>15</t>
        </is>
      </c>
      <c r="B158" s="65" t="inlineStr">
        <is>
          <t>Current Investments</t>
        </is>
      </c>
      <c r="C158" s="65" t="inlineStr">
        <is>
          <t>Total — Current Investments</t>
        </is>
      </c>
      <c r="D158" s="65" t="inlineStr">
        <is>
          <t>__TOTAL__</t>
        </is>
      </c>
      <c r="E158" s="122">
        <f>SUM(E155:E157)</f>
        <v/>
      </c>
      <c r="F158" s="122">
        <f>SUM(F155:F157)</f>
        <v/>
      </c>
      <c r="G158" s="65" t="str"/>
    </row>
    <row r="159">
      <c r="A159" s="17" t="inlineStr">
        <is>
          <t>16</t>
        </is>
      </c>
      <c r="B159" s="17" t="inlineStr">
        <is>
          <t>Inventories</t>
        </is>
      </c>
      <c r="C159" s="17" t="inlineStr">
        <is>
          <t>Raw materials</t>
        </is>
      </c>
      <c r="D159" s="17" t="inlineStr">
        <is>
          <t>INV_RM</t>
        </is>
      </c>
      <c r="E159" s="121" t="n">
        <v>0</v>
      </c>
      <c r="F159" s="121" t="n">
        <v>0</v>
      </c>
      <c r="G159" s="59" t="str"/>
    </row>
    <row r="160">
      <c r="A160" s="17" t="inlineStr">
        <is>
          <t>16</t>
        </is>
      </c>
      <c r="B160" s="17" t="inlineStr">
        <is>
          <t>Inventories</t>
        </is>
      </c>
      <c r="C160" s="17" t="inlineStr">
        <is>
          <t>Work-in-progress</t>
        </is>
      </c>
      <c r="D160" s="17" t="inlineStr">
        <is>
          <t>INV_WIP</t>
        </is>
      </c>
      <c r="E160" s="121" t="n">
        <v>0</v>
      </c>
      <c r="F160" s="121" t="n">
        <v>0</v>
      </c>
      <c r="G160" s="59" t="str"/>
    </row>
    <row r="161">
      <c r="A161" s="17" t="inlineStr">
        <is>
          <t>16</t>
        </is>
      </c>
      <c r="B161" s="17" t="inlineStr">
        <is>
          <t>Inventories</t>
        </is>
      </c>
      <c r="C161" s="17" t="inlineStr">
        <is>
          <t>Finished goods</t>
        </is>
      </c>
      <c r="D161" s="17" t="inlineStr">
        <is>
          <t>INV_FG</t>
        </is>
      </c>
      <c r="E161" s="121" t="n">
        <v>0</v>
      </c>
      <c r="F161" s="121" t="n">
        <v>0</v>
      </c>
      <c r="G161" s="59" t="str"/>
    </row>
    <row r="162">
      <c r="A162" s="17" t="inlineStr">
        <is>
          <t>16</t>
        </is>
      </c>
      <c r="B162" s="17" t="inlineStr">
        <is>
          <t>Inventories</t>
        </is>
      </c>
      <c r="C162" s="17" t="inlineStr">
        <is>
          <t>Stock-in-trade</t>
        </is>
      </c>
      <c r="D162" s="17" t="inlineStr">
        <is>
          <t>INV_SIT</t>
        </is>
      </c>
      <c r="E162" s="121" t="n">
        <v>0</v>
      </c>
      <c r="F162" s="121" t="n">
        <v>0</v>
      </c>
      <c r="G162" s="59" t="str"/>
    </row>
    <row r="163">
      <c r="A163" s="17" t="inlineStr">
        <is>
          <t>16</t>
        </is>
      </c>
      <c r="B163" s="17" t="inlineStr">
        <is>
          <t>Inventories</t>
        </is>
      </c>
      <c r="C163" s="17" t="inlineStr">
        <is>
          <t>Stores and spares</t>
        </is>
      </c>
      <c r="D163" s="17" t="inlineStr">
        <is>
          <t>INV_STORES</t>
        </is>
      </c>
      <c r="E163" s="121" t="n">
        <v>0</v>
      </c>
      <c r="F163" s="121" t="n">
        <v>0</v>
      </c>
      <c r="G163" s="59" t="str"/>
    </row>
    <row r="164">
      <c r="A164" s="17" t="inlineStr">
        <is>
          <t>16</t>
        </is>
      </c>
      <c r="B164" s="17" t="inlineStr">
        <is>
          <t>Inventories</t>
        </is>
      </c>
      <c r="C164" s="17" t="inlineStr">
        <is>
          <t>Loose tools</t>
        </is>
      </c>
      <c r="D164" s="17" t="inlineStr">
        <is>
          <t>INV_TOOLS</t>
        </is>
      </c>
      <c r="E164" s="121" t="n">
        <v>0</v>
      </c>
      <c r="F164" s="121" t="n">
        <v>0</v>
      </c>
      <c r="G164" s="59" t="str"/>
    </row>
    <row r="165">
      <c r="A165" s="17" t="inlineStr">
        <is>
          <t>16</t>
        </is>
      </c>
      <c r="B165" s="17" t="inlineStr">
        <is>
          <t>Inventories</t>
        </is>
      </c>
      <c r="C165" s="17" t="inlineStr">
        <is>
          <t>Goods in transit</t>
        </is>
      </c>
      <c r="D165" s="17" t="inlineStr">
        <is>
          <t>INV_TRANSIT</t>
        </is>
      </c>
      <c r="E165" s="121" t="n">
        <v>0</v>
      </c>
      <c r="F165" s="121" t="n">
        <v>0</v>
      </c>
      <c r="G165" s="59" t="str"/>
    </row>
    <row r="166">
      <c r="A166" s="17" t="inlineStr">
        <is>
          <t>16</t>
        </is>
      </c>
      <c r="B166" s="17" t="inlineStr">
        <is>
          <t>Inventories</t>
        </is>
      </c>
      <c r="C166" s="17" t="inlineStr">
        <is>
          <t>Other inventories</t>
        </is>
      </c>
      <c r="D166" s="17" t="inlineStr">
        <is>
          <t>INV_OTHER</t>
        </is>
      </c>
      <c r="E166" s="121" t="n">
        <v>0</v>
      </c>
      <c r="F166" s="121" t="n">
        <v>0</v>
      </c>
      <c r="G166" s="59" t="str"/>
    </row>
    <row r="167">
      <c r="A167" s="65" t="inlineStr">
        <is>
          <t>16</t>
        </is>
      </c>
      <c r="B167" s="65" t="inlineStr">
        <is>
          <t>Inventories</t>
        </is>
      </c>
      <c r="C167" s="65" t="inlineStr">
        <is>
          <t>Total — Inventories</t>
        </is>
      </c>
      <c r="D167" s="65" t="inlineStr">
        <is>
          <t>__TOTAL__</t>
        </is>
      </c>
      <c r="E167" s="122">
        <f>SUM(E159:E166)</f>
        <v/>
      </c>
      <c r="F167" s="122">
        <f>SUM(F159:F166)</f>
        <v/>
      </c>
      <c r="G167" s="65" t="str"/>
    </row>
    <row r="168">
      <c r="A168" s="17" t="inlineStr">
        <is>
          <t>17</t>
        </is>
      </c>
      <c r="B168" s="17" t="inlineStr">
        <is>
          <t>Trade Receivables</t>
        </is>
      </c>
      <c r="C168" s="17" t="inlineStr">
        <is>
          <t>Undisputed - considered good</t>
        </is>
      </c>
      <c r="D168" s="17" t="inlineStr">
        <is>
          <t>TR_GOOD</t>
        </is>
      </c>
      <c r="E168" s="121" t="n">
        <v>0</v>
      </c>
      <c r="F168" s="121" t="n">
        <v>0</v>
      </c>
      <c r="G168" s="59" t="str"/>
    </row>
    <row r="169">
      <c r="A169" s="17" t="inlineStr">
        <is>
          <t>17</t>
        </is>
      </c>
      <c r="B169" s="17" t="inlineStr">
        <is>
          <t>Trade Receivables</t>
        </is>
      </c>
      <c r="C169" s="17" t="inlineStr">
        <is>
          <t>Undisputed - considered doubtful</t>
        </is>
      </c>
      <c r="D169" s="17" t="inlineStr">
        <is>
          <t>TR_DOUBT</t>
        </is>
      </c>
      <c r="E169" s="121" t="n">
        <v>0</v>
      </c>
      <c r="F169" s="121" t="n">
        <v>0</v>
      </c>
      <c r="G169" s="59" t="str"/>
    </row>
    <row r="170">
      <c r="A170" s="17" t="inlineStr">
        <is>
          <t>17</t>
        </is>
      </c>
      <c r="B170" s="17" t="inlineStr">
        <is>
          <t>Trade Receivables</t>
        </is>
      </c>
      <c r="C170" s="17" t="inlineStr">
        <is>
          <t>Disputed - considered good</t>
        </is>
      </c>
      <c r="D170" s="17" t="inlineStr">
        <is>
          <t>TR_DISP_GOOD</t>
        </is>
      </c>
      <c r="E170" s="121" t="n">
        <v>0</v>
      </c>
      <c r="F170" s="121" t="n">
        <v>0</v>
      </c>
      <c r="G170" s="59" t="str"/>
    </row>
    <row r="171">
      <c r="A171" s="17" t="inlineStr">
        <is>
          <t>17</t>
        </is>
      </c>
      <c r="B171" s="17" t="inlineStr">
        <is>
          <t>Trade Receivables</t>
        </is>
      </c>
      <c r="C171" s="17" t="inlineStr">
        <is>
          <t>Disputed - considered doubtful</t>
        </is>
      </c>
      <c r="D171" s="17" t="inlineStr">
        <is>
          <t>TR_DISP_DOUBT</t>
        </is>
      </c>
      <c r="E171" s="121" t="n">
        <v>0</v>
      </c>
      <c r="F171" s="121" t="n">
        <v>0</v>
      </c>
      <c r="G171" s="59" t="str"/>
    </row>
    <row r="172">
      <c r="A172" s="17" t="inlineStr">
        <is>
          <t>17</t>
        </is>
      </c>
      <c r="B172" s="17" t="inlineStr">
        <is>
          <t>Trade Receivables</t>
        </is>
      </c>
      <c r="C172" s="17" t="inlineStr">
        <is>
          <t>Allowance / provision</t>
        </is>
      </c>
      <c r="D172" s="17" t="inlineStr">
        <is>
          <t>TR_PROV</t>
        </is>
      </c>
      <c r="E172" s="121" t="n">
        <v>0</v>
      </c>
      <c r="F172" s="121" t="n">
        <v>0</v>
      </c>
      <c r="G172" s="59" t="str"/>
    </row>
    <row r="173">
      <c r="A173" s="65" t="inlineStr">
        <is>
          <t>17</t>
        </is>
      </c>
      <c r="B173" s="65" t="inlineStr">
        <is>
          <t>Trade Receivables</t>
        </is>
      </c>
      <c r="C173" s="65" t="inlineStr">
        <is>
          <t>Total — Trade Receivables</t>
        </is>
      </c>
      <c r="D173" s="65" t="inlineStr">
        <is>
          <t>__TOTAL__</t>
        </is>
      </c>
      <c r="E173" s="122">
        <f>SUM(E168:E172)</f>
        <v/>
      </c>
      <c r="F173" s="122">
        <f>SUM(F168:F172)</f>
        <v/>
      </c>
      <c r="G173" s="65" t="str"/>
    </row>
    <row r="174">
      <c r="A174" s="17" t="inlineStr">
        <is>
          <t>18</t>
        </is>
      </c>
      <c r="B174" s="17" t="inlineStr">
        <is>
          <t>Cash and Cash Equivalents</t>
        </is>
      </c>
      <c r="C174" s="17" t="inlineStr">
        <is>
          <t>Balances with banks</t>
        </is>
      </c>
      <c r="D174" s="17" t="inlineStr">
        <is>
          <t>CASH_BANK</t>
        </is>
      </c>
      <c r="E174" s="121" t="n">
        <v>0</v>
      </c>
      <c r="F174" s="121" t="n">
        <v>0</v>
      </c>
      <c r="G174" s="59" t="str"/>
    </row>
    <row r="175">
      <c r="A175" s="17" t="inlineStr">
        <is>
          <t>18</t>
        </is>
      </c>
      <c r="B175" s="17" t="inlineStr">
        <is>
          <t>Cash and Cash Equivalents</t>
        </is>
      </c>
      <c r="C175" s="17" t="inlineStr">
        <is>
          <t>Cash on hand</t>
        </is>
      </c>
      <c r="D175" s="17" t="inlineStr">
        <is>
          <t>CASH_HAND</t>
        </is>
      </c>
      <c r="E175" s="121" t="n">
        <v>0</v>
      </c>
      <c r="F175" s="121" t="n">
        <v>0</v>
      </c>
      <c r="G175" s="59" t="str"/>
    </row>
    <row r="176">
      <c r="A176" s="17" t="inlineStr">
        <is>
          <t>18</t>
        </is>
      </c>
      <c r="B176" s="17" t="inlineStr">
        <is>
          <t>Cash and Cash Equivalents</t>
        </is>
      </c>
      <c r="C176" s="17" t="inlineStr">
        <is>
          <t>Cheques / drafts on hand</t>
        </is>
      </c>
      <c r="D176" s="17" t="inlineStr">
        <is>
          <t>CASH_CHEQ</t>
        </is>
      </c>
      <c r="E176" s="121" t="n">
        <v>0</v>
      </c>
      <c r="F176" s="121" t="n">
        <v>0</v>
      </c>
      <c r="G176" s="59" t="str"/>
    </row>
    <row r="177">
      <c r="A177" s="17" t="inlineStr">
        <is>
          <t>18</t>
        </is>
      </c>
      <c r="B177" s="17" t="inlineStr">
        <is>
          <t>Cash and Cash Equivalents</t>
        </is>
      </c>
      <c r="C177" s="17" t="inlineStr">
        <is>
          <t>Other cash equivalents</t>
        </is>
      </c>
      <c r="D177" s="17" t="inlineStr">
        <is>
          <t>CASH_OTHER</t>
        </is>
      </c>
      <c r="E177" s="121" t="n">
        <v>0</v>
      </c>
      <c r="F177" s="121" t="n">
        <v>0</v>
      </c>
      <c r="G177" s="59" t="str"/>
    </row>
    <row r="178">
      <c r="A178" s="65" t="inlineStr">
        <is>
          <t>18</t>
        </is>
      </c>
      <c r="B178" s="65" t="inlineStr">
        <is>
          <t>Cash and Cash Equivalents</t>
        </is>
      </c>
      <c r="C178" s="65" t="inlineStr">
        <is>
          <t>Total — Cash and Cash Equivalents</t>
        </is>
      </c>
      <c r="D178" s="65" t="inlineStr">
        <is>
          <t>__TOTAL__</t>
        </is>
      </c>
      <c r="E178" s="122">
        <f>SUM(E174:E177)</f>
        <v/>
      </c>
      <c r="F178" s="122">
        <f>SUM(F174:F177)</f>
        <v/>
      </c>
      <c r="G178" s="65" t="str"/>
    </row>
    <row r="179">
      <c r="A179" s="17" t="inlineStr">
        <is>
          <t>19</t>
        </is>
      </c>
      <c r="B179" s="17" t="inlineStr">
        <is>
          <t>Short-term Loans and Advances</t>
        </is>
      </c>
      <c r="C179" s="17" t="inlineStr">
        <is>
          <t>Loans and advances to related parties</t>
        </is>
      </c>
      <c r="D179" s="17" t="inlineStr">
        <is>
          <t>STLA_REL</t>
        </is>
      </c>
      <c r="E179" s="121" t="n">
        <v>0</v>
      </c>
      <c r="F179" s="121" t="n">
        <v>0</v>
      </c>
      <c r="G179" s="59" t="str"/>
    </row>
    <row r="180">
      <c r="A180" s="17" t="inlineStr">
        <is>
          <t>19</t>
        </is>
      </c>
      <c r="B180" s="17" t="inlineStr">
        <is>
          <t>Short-term Loans and Advances</t>
        </is>
      </c>
      <c r="C180" s="17" t="inlineStr">
        <is>
          <t>Other short-term loans and advances</t>
        </is>
      </c>
      <c r="D180" s="17" t="inlineStr">
        <is>
          <t>STLA_OTHER</t>
        </is>
      </c>
      <c r="E180" s="121" t="n">
        <v>0</v>
      </c>
      <c r="F180" s="121" t="n">
        <v>0</v>
      </c>
      <c r="G180" s="59" t="str"/>
    </row>
    <row r="181">
      <c r="A181" s="17" t="inlineStr">
        <is>
          <t>19</t>
        </is>
      </c>
      <c r="B181" s="17" t="inlineStr">
        <is>
          <t>Short-term Loans and Advances</t>
        </is>
      </c>
      <c r="C181" s="17" t="inlineStr">
        <is>
          <t>Provision for doubtful advances</t>
        </is>
      </c>
      <c r="D181" s="17" t="inlineStr">
        <is>
          <t>STLA_PROV</t>
        </is>
      </c>
      <c r="E181" s="121" t="n">
        <v>0</v>
      </c>
      <c r="F181" s="121" t="n">
        <v>0</v>
      </c>
      <c r="G181" s="59" t="str"/>
    </row>
    <row r="182">
      <c r="A182" s="65" t="inlineStr">
        <is>
          <t>19</t>
        </is>
      </c>
      <c r="B182" s="65" t="inlineStr">
        <is>
          <t>Short-term Loans and Advances</t>
        </is>
      </c>
      <c r="C182" s="65" t="inlineStr">
        <is>
          <t>Total — Short-term Loans and Advances</t>
        </is>
      </c>
      <c r="D182" s="65" t="inlineStr">
        <is>
          <t>__TOTAL__</t>
        </is>
      </c>
      <c r="E182" s="122">
        <f>SUM(E179:E181)</f>
        <v/>
      </c>
      <c r="F182" s="122">
        <f>SUM(F179:F181)</f>
        <v/>
      </c>
      <c r="G182" s="65" t="str"/>
    </row>
    <row r="183">
      <c r="A183" s="17" t="inlineStr">
        <is>
          <t>20</t>
        </is>
      </c>
      <c r="B183" s="17" t="inlineStr">
        <is>
          <t>Other Current Assets</t>
        </is>
      </c>
      <c r="C183" s="17" t="inlineStr">
        <is>
          <t>Interest accrued</t>
        </is>
      </c>
      <c r="D183" s="17" t="inlineStr">
        <is>
          <t>OCA_INT</t>
        </is>
      </c>
      <c r="E183" s="121" t="n">
        <v>0</v>
      </c>
      <c r="F183" s="121" t="n">
        <v>0</v>
      </c>
      <c r="G183" s="59" t="str"/>
    </row>
    <row r="184">
      <c r="A184" s="17" t="inlineStr">
        <is>
          <t>20</t>
        </is>
      </c>
      <c r="B184" s="17" t="inlineStr">
        <is>
          <t>Other Current Assets</t>
        </is>
      </c>
      <c r="C184" s="17" t="inlineStr">
        <is>
          <t>Prepaid expenses</t>
        </is>
      </c>
      <c r="D184" s="17" t="inlineStr">
        <is>
          <t>OCA_PREPAID</t>
        </is>
      </c>
      <c r="E184" s="121" t="n">
        <v>0</v>
      </c>
      <c r="F184" s="121" t="n">
        <v>0</v>
      </c>
      <c r="G184" s="59" t="str"/>
    </row>
    <row r="185">
      <c r="A185" s="17" t="inlineStr">
        <is>
          <t>20</t>
        </is>
      </c>
      <c r="B185" s="17" t="inlineStr">
        <is>
          <t>Other Current Assets</t>
        </is>
      </c>
      <c r="C185" s="17" t="inlineStr">
        <is>
          <t>GST / tax receivables</t>
        </is>
      </c>
      <c r="D185" s="17" t="inlineStr">
        <is>
          <t>OCA_TAX</t>
        </is>
      </c>
      <c r="E185" s="121" t="n">
        <v>0</v>
      </c>
      <c r="F185" s="121" t="n">
        <v>0</v>
      </c>
      <c r="G185" s="59" t="str"/>
    </row>
    <row r="186">
      <c r="A186" s="17" t="inlineStr">
        <is>
          <t>20</t>
        </is>
      </c>
      <c r="B186" s="17" t="inlineStr">
        <is>
          <t>Other Current Assets</t>
        </is>
      </c>
      <c r="C186" s="17" t="inlineStr">
        <is>
          <t>Other current assets</t>
        </is>
      </c>
      <c r="D186" s="17" t="inlineStr">
        <is>
          <t>OCA_OTHER</t>
        </is>
      </c>
      <c r="E186" s="121" t="n">
        <v>0</v>
      </c>
      <c r="F186" s="121" t="n">
        <v>0</v>
      </c>
      <c r="G186" s="59" t="str"/>
    </row>
    <row r="187">
      <c r="A187" s="65" t="inlineStr">
        <is>
          <t>20</t>
        </is>
      </c>
      <c r="B187" s="65" t="inlineStr">
        <is>
          <t>Other Current Assets</t>
        </is>
      </c>
      <c r="C187" s="65" t="inlineStr">
        <is>
          <t>Total — Other Current Assets</t>
        </is>
      </c>
      <c r="D187" s="65" t="inlineStr">
        <is>
          <t>__TOTAL__</t>
        </is>
      </c>
      <c r="E187" s="122">
        <f>SUM(E183:E186)</f>
        <v/>
      </c>
      <c r="F187" s="122">
        <f>SUM(F183:F186)</f>
        <v/>
      </c>
      <c r="G187" s="65" t="str"/>
    </row>
    <row r="188">
      <c r="A188" s="17" t="inlineStr">
        <is>
          <t>21</t>
        </is>
      </c>
      <c r="B188" s="17" t="inlineStr">
        <is>
          <t>Revenue from Operations</t>
        </is>
      </c>
      <c r="C188" s="17" t="inlineStr">
        <is>
          <t>Sale of products</t>
        </is>
      </c>
      <c r="D188" s="17" t="inlineStr">
        <is>
          <t>REV_PRODUCTS</t>
        </is>
      </c>
      <c r="E188" s="121" t="n">
        <v>0</v>
      </c>
      <c r="F188" s="121" t="n">
        <v>0</v>
      </c>
      <c r="G188" s="59" t="str"/>
    </row>
    <row r="189">
      <c r="A189" s="17" t="inlineStr">
        <is>
          <t>21</t>
        </is>
      </c>
      <c r="B189" s="17" t="inlineStr">
        <is>
          <t>Revenue from Operations</t>
        </is>
      </c>
      <c r="C189" s="17" t="inlineStr">
        <is>
          <t>Sale of services</t>
        </is>
      </c>
      <c r="D189" s="17" t="inlineStr">
        <is>
          <t>REV_SERVICES</t>
        </is>
      </c>
      <c r="E189" s="121" t="n">
        <v>0</v>
      </c>
      <c r="F189" s="121" t="n">
        <v>0</v>
      </c>
      <c r="G189" s="59" t="str"/>
    </row>
    <row r="190">
      <c r="A190" s="17" t="inlineStr">
        <is>
          <t>21</t>
        </is>
      </c>
      <c r="B190" s="17" t="inlineStr">
        <is>
          <t>Revenue from Operations</t>
        </is>
      </c>
      <c r="C190" s="17" t="inlineStr">
        <is>
          <t>Other operating revenue</t>
        </is>
      </c>
      <c r="D190" s="17" t="inlineStr">
        <is>
          <t>REV_OTHER</t>
        </is>
      </c>
      <c r="E190" s="121" t="n">
        <v>0</v>
      </c>
      <c r="F190" s="121" t="n">
        <v>0</v>
      </c>
      <c r="G190" s="59" t="str"/>
    </row>
    <row r="191">
      <c r="A191" s="17" t="inlineStr">
        <is>
          <t>21</t>
        </is>
      </c>
      <c r="B191" s="17" t="inlineStr">
        <is>
          <t>Revenue from Operations</t>
        </is>
      </c>
      <c r="C191" s="17" t="inlineStr">
        <is>
          <t>Less: excise / similar levies</t>
        </is>
      </c>
      <c r="D191" s="17" t="inlineStr">
        <is>
          <t>REV_LEVY</t>
        </is>
      </c>
      <c r="E191" s="121" t="n">
        <v>0</v>
      </c>
      <c r="F191" s="121" t="n">
        <v>0</v>
      </c>
      <c r="G191" s="59" t="str"/>
    </row>
    <row r="192">
      <c r="A192" s="65" t="inlineStr">
        <is>
          <t>21</t>
        </is>
      </c>
      <c r="B192" s="65" t="inlineStr">
        <is>
          <t>Revenue from Operations</t>
        </is>
      </c>
      <c r="C192" s="65" t="inlineStr">
        <is>
          <t>Total — Revenue from Operations</t>
        </is>
      </c>
      <c r="D192" s="65" t="inlineStr">
        <is>
          <t>__TOTAL__</t>
        </is>
      </c>
      <c r="E192" s="122">
        <f>SUM(E188:E191)</f>
        <v/>
      </c>
      <c r="F192" s="122">
        <f>SUM(F188:F191)</f>
        <v/>
      </c>
      <c r="G192" s="65" t="str"/>
    </row>
    <row r="193">
      <c r="A193" s="17" t="inlineStr">
        <is>
          <t>22</t>
        </is>
      </c>
      <c r="B193" s="17" t="inlineStr">
        <is>
          <t>Other Income</t>
        </is>
      </c>
      <c r="C193" s="17" t="inlineStr">
        <is>
          <t>Interest income</t>
        </is>
      </c>
      <c r="D193" s="17" t="inlineStr">
        <is>
          <t>OI_INTEREST</t>
        </is>
      </c>
      <c r="E193" s="121" t="n">
        <v>0</v>
      </c>
      <c r="F193" s="121" t="n">
        <v>0</v>
      </c>
      <c r="G193" s="59" t="str"/>
    </row>
    <row r="194">
      <c r="A194" s="17" t="inlineStr">
        <is>
          <t>22</t>
        </is>
      </c>
      <c r="B194" s="17" t="inlineStr">
        <is>
          <t>Other Income</t>
        </is>
      </c>
      <c r="C194" s="17" t="inlineStr">
        <is>
          <t>Dividend income</t>
        </is>
      </c>
      <c r="D194" s="17" t="inlineStr">
        <is>
          <t>OI_DIV</t>
        </is>
      </c>
      <c r="E194" s="121" t="n">
        <v>0</v>
      </c>
      <c r="F194" s="121" t="n">
        <v>0</v>
      </c>
      <c r="G194" s="59" t="str"/>
    </row>
    <row r="195">
      <c r="A195" s="17" t="inlineStr">
        <is>
          <t>22</t>
        </is>
      </c>
      <c r="B195" s="17" t="inlineStr">
        <is>
          <t>Other Income</t>
        </is>
      </c>
      <c r="C195" s="17" t="inlineStr">
        <is>
          <t>Profit on sale of assets / investments</t>
        </is>
      </c>
      <c r="D195" s="17" t="inlineStr">
        <is>
          <t>OI_PROFITSALE</t>
        </is>
      </c>
      <c r="E195" s="121" t="n">
        <v>0</v>
      </c>
      <c r="F195" s="121" t="n">
        <v>0</v>
      </c>
      <c r="G195" s="59" t="str"/>
    </row>
    <row r="196">
      <c r="A196" s="17" t="inlineStr">
        <is>
          <t>22</t>
        </is>
      </c>
      <c r="B196" s="17" t="inlineStr">
        <is>
          <t>Other Income</t>
        </is>
      </c>
      <c r="C196" s="17" t="inlineStr">
        <is>
          <t>Other non-operating income</t>
        </is>
      </c>
      <c r="D196" s="17" t="inlineStr">
        <is>
          <t>OI_OTHER</t>
        </is>
      </c>
      <c r="E196" s="121" t="n">
        <v>0</v>
      </c>
      <c r="F196" s="121" t="n">
        <v>0</v>
      </c>
      <c r="G196" s="59" t="str"/>
    </row>
    <row r="197">
      <c r="A197" s="65" t="inlineStr">
        <is>
          <t>22</t>
        </is>
      </c>
      <c r="B197" s="65" t="inlineStr">
        <is>
          <t>Other Income</t>
        </is>
      </c>
      <c r="C197" s="65" t="inlineStr">
        <is>
          <t>Total — Other Income</t>
        </is>
      </c>
      <c r="D197" s="65" t="inlineStr">
        <is>
          <t>__TOTAL__</t>
        </is>
      </c>
      <c r="E197" s="122">
        <f>SUM(E193:E196)</f>
        <v/>
      </c>
      <c r="F197" s="122">
        <f>SUM(F193:F196)</f>
        <v/>
      </c>
      <c r="G197" s="65" t="str"/>
    </row>
    <row r="198">
      <c r="A198" s="17" t="inlineStr">
        <is>
          <t>23</t>
        </is>
      </c>
      <c r="B198" s="17" t="inlineStr">
        <is>
          <t>Cost of Materials Consumed</t>
        </is>
      </c>
      <c r="C198" s="17" t="inlineStr">
        <is>
          <t>Opening raw materials</t>
        </is>
      </c>
      <c r="D198" s="17" t="inlineStr">
        <is>
          <t>CMC_OPEN</t>
        </is>
      </c>
      <c r="E198" s="121" t="n">
        <v>0</v>
      </c>
      <c r="F198" s="121" t="n">
        <v>0</v>
      </c>
      <c r="G198" s="59" t="str"/>
    </row>
    <row r="199">
      <c r="A199" s="17" t="inlineStr">
        <is>
          <t>23</t>
        </is>
      </c>
      <c r="B199" s="17" t="inlineStr">
        <is>
          <t>Cost of Materials Consumed</t>
        </is>
      </c>
      <c r="C199" s="17" t="inlineStr">
        <is>
          <t>Purchases / inward</t>
        </is>
      </c>
      <c r="D199" s="17" t="inlineStr">
        <is>
          <t>CMC_PUR</t>
        </is>
      </c>
      <c r="E199" s="121" t="n">
        <v>0</v>
      </c>
      <c r="F199" s="121" t="n">
        <v>0</v>
      </c>
      <c r="G199" s="59" t="str"/>
    </row>
    <row r="200">
      <c r="A200" s="17" t="inlineStr">
        <is>
          <t>23</t>
        </is>
      </c>
      <c r="B200" s="17" t="inlineStr">
        <is>
          <t>Cost of Materials Consumed</t>
        </is>
      </c>
      <c r="C200" s="17" t="inlineStr">
        <is>
          <t>Closing raw materials</t>
        </is>
      </c>
      <c r="D200" s="17" t="inlineStr">
        <is>
          <t>CMC_CLOSE</t>
        </is>
      </c>
      <c r="E200" s="121" t="n">
        <v>0</v>
      </c>
      <c r="F200" s="121" t="n">
        <v>0</v>
      </c>
      <c r="G200" s="59" t="str"/>
    </row>
    <row r="201">
      <c r="A201" s="17" t="inlineStr">
        <is>
          <t>23</t>
        </is>
      </c>
      <c r="B201" s="17" t="inlineStr">
        <is>
          <t>Cost of Materials Consumed</t>
        </is>
      </c>
      <c r="C201" s="17" t="inlineStr">
        <is>
          <t>Other material consumption</t>
        </is>
      </c>
      <c r="D201" s="17" t="inlineStr">
        <is>
          <t>CMC_OTHER</t>
        </is>
      </c>
      <c r="E201" s="121" t="n">
        <v>0</v>
      </c>
      <c r="F201" s="121" t="n">
        <v>0</v>
      </c>
      <c r="G201" s="59" t="str"/>
    </row>
    <row r="202">
      <c r="A202" s="65" t="inlineStr">
        <is>
          <t>23</t>
        </is>
      </c>
      <c r="B202" s="65" t="inlineStr">
        <is>
          <t>Cost of Materials Consumed</t>
        </is>
      </c>
      <c r="C202" s="65" t="inlineStr">
        <is>
          <t>Total — Cost of Materials Consumed</t>
        </is>
      </c>
      <c r="D202" s="65" t="inlineStr">
        <is>
          <t>__TOTAL__</t>
        </is>
      </c>
      <c r="E202" s="122">
        <f>SUM(E198:E201)</f>
        <v/>
      </c>
      <c r="F202" s="122">
        <f>SUM(F198:F201)</f>
        <v/>
      </c>
      <c r="G202" s="65" t="str"/>
    </row>
    <row r="203">
      <c r="A203" s="17" t="inlineStr">
        <is>
          <t>24</t>
        </is>
      </c>
      <c r="B203" s="17" t="inlineStr">
        <is>
          <t>Purchases of Stock-in-Trade</t>
        </is>
      </c>
      <c r="C203" s="17" t="inlineStr">
        <is>
          <t>Purchases of stock-in-trade</t>
        </is>
      </c>
      <c r="D203" s="17" t="inlineStr">
        <is>
          <t>PUR_SIT</t>
        </is>
      </c>
      <c r="E203" s="121" t="n">
        <v>0</v>
      </c>
      <c r="F203" s="121" t="n">
        <v>0</v>
      </c>
      <c r="G203" s="59" t="str"/>
    </row>
    <row r="204">
      <c r="A204" s="65" t="inlineStr">
        <is>
          <t>24</t>
        </is>
      </c>
      <c r="B204" s="65" t="inlineStr">
        <is>
          <t>Purchases of Stock-in-Trade</t>
        </is>
      </c>
      <c r="C204" s="65" t="inlineStr">
        <is>
          <t>Total — Purchases of Stock-in-Trade</t>
        </is>
      </c>
      <c r="D204" s="65" t="inlineStr">
        <is>
          <t>__TOTAL__</t>
        </is>
      </c>
      <c r="E204" s="122">
        <f>SUM(E203:E203)</f>
        <v/>
      </c>
      <c r="F204" s="122">
        <f>SUM(F203:F203)</f>
        <v/>
      </c>
      <c r="G204" s="65" t="str"/>
    </row>
    <row r="205">
      <c r="A205" s="17" t="inlineStr">
        <is>
          <t>25</t>
        </is>
      </c>
      <c r="B205" s="17" t="inlineStr">
        <is>
          <t>Changes in Inventories</t>
        </is>
      </c>
      <c r="C205" s="17" t="inlineStr">
        <is>
          <t>Opening finished goods / WIP / SIT</t>
        </is>
      </c>
      <c r="D205" s="17" t="inlineStr">
        <is>
          <t>CHG_OPEN</t>
        </is>
      </c>
      <c r="E205" s="121" t="n">
        <v>0</v>
      </c>
      <c r="F205" s="121" t="n">
        <v>0</v>
      </c>
      <c r="G205" s="59" t="str"/>
    </row>
    <row r="206">
      <c r="A206" s="17" t="inlineStr">
        <is>
          <t>25</t>
        </is>
      </c>
      <c r="B206" s="17" t="inlineStr">
        <is>
          <t>Changes in Inventories</t>
        </is>
      </c>
      <c r="C206" s="17" t="inlineStr">
        <is>
          <t>Closing finished goods / WIP / SIT</t>
        </is>
      </c>
      <c r="D206" s="17" t="inlineStr">
        <is>
          <t>CHG_CLOSE</t>
        </is>
      </c>
      <c r="E206" s="121" t="n">
        <v>0</v>
      </c>
      <c r="F206" s="121" t="n">
        <v>0</v>
      </c>
      <c r="G206" s="59" t="str"/>
    </row>
    <row r="207">
      <c r="A207" s="65" t="inlineStr">
        <is>
          <t>25</t>
        </is>
      </c>
      <c r="B207" s="65" t="inlineStr">
        <is>
          <t>Changes in Inventories</t>
        </is>
      </c>
      <c r="C207" s="65" t="inlineStr">
        <is>
          <t>Total — Changes in Inventories</t>
        </is>
      </c>
      <c r="D207" s="65" t="inlineStr">
        <is>
          <t>__TOTAL__</t>
        </is>
      </c>
      <c r="E207" s="122">
        <f>SUM(E205:E206)</f>
        <v/>
      </c>
      <c r="F207" s="122">
        <f>SUM(F205:F206)</f>
        <v/>
      </c>
      <c r="G207" s="65" t="str"/>
    </row>
    <row r="208">
      <c r="A208" s="17" t="inlineStr">
        <is>
          <t>26</t>
        </is>
      </c>
      <c r="B208" s="17" t="inlineStr">
        <is>
          <t>Employee Benefits Expense</t>
        </is>
      </c>
      <c r="C208" s="17" t="inlineStr">
        <is>
          <t>Salaries and wages</t>
        </is>
      </c>
      <c r="D208" s="17" t="inlineStr">
        <is>
          <t>EMP_SAL</t>
        </is>
      </c>
      <c r="E208" s="121" t="n">
        <v>0</v>
      </c>
      <c r="F208" s="121" t="n">
        <v>0</v>
      </c>
      <c r="G208" s="59" t="str"/>
    </row>
    <row r="209">
      <c r="A209" s="17" t="inlineStr">
        <is>
          <t>26</t>
        </is>
      </c>
      <c r="B209" s="17" t="inlineStr">
        <is>
          <t>Employee Benefits Expense</t>
        </is>
      </c>
      <c r="C209" s="17" t="inlineStr">
        <is>
          <t>Contribution to funds</t>
        </is>
      </c>
      <c r="D209" s="17" t="inlineStr">
        <is>
          <t>EMP_FUNDS</t>
        </is>
      </c>
      <c r="E209" s="121" t="n">
        <v>0</v>
      </c>
      <c r="F209" s="121" t="n">
        <v>0</v>
      </c>
      <c r="G209" s="59" t="str"/>
    </row>
    <row r="210">
      <c r="A210" s="17" t="inlineStr">
        <is>
          <t>26</t>
        </is>
      </c>
      <c r="B210" s="17" t="inlineStr">
        <is>
          <t>Employee Benefits Expense</t>
        </is>
      </c>
      <c r="C210" s="17" t="inlineStr">
        <is>
          <t>Staff welfare</t>
        </is>
      </c>
      <c r="D210" s="17" t="inlineStr">
        <is>
          <t>EMP_WELFARE</t>
        </is>
      </c>
      <c r="E210" s="121" t="n">
        <v>0</v>
      </c>
      <c r="F210" s="121" t="n">
        <v>0</v>
      </c>
      <c r="G210" s="59" t="str"/>
    </row>
    <row r="211">
      <c r="A211" s="17" t="inlineStr">
        <is>
          <t>26</t>
        </is>
      </c>
      <c r="B211" s="17" t="inlineStr">
        <is>
          <t>Employee Benefits Expense</t>
        </is>
      </c>
      <c r="C211" s="17" t="inlineStr">
        <is>
          <t>Other employee benefits</t>
        </is>
      </c>
      <c r="D211" s="17" t="inlineStr">
        <is>
          <t>EMP_OTHER</t>
        </is>
      </c>
      <c r="E211" s="121" t="n">
        <v>0</v>
      </c>
      <c r="F211" s="121" t="n">
        <v>0</v>
      </c>
      <c r="G211" s="59" t="str"/>
    </row>
    <row r="212">
      <c r="A212" s="65" t="inlineStr">
        <is>
          <t>26</t>
        </is>
      </c>
      <c r="B212" s="65" t="inlineStr">
        <is>
          <t>Employee Benefits Expense</t>
        </is>
      </c>
      <c r="C212" s="65" t="inlineStr">
        <is>
          <t>Total — Employee Benefits Expense</t>
        </is>
      </c>
      <c r="D212" s="65" t="inlineStr">
        <is>
          <t>__TOTAL__</t>
        </is>
      </c>
      <c r="E212" s="122">
        <f>SUM(E208:E211)</f>
        <v/>
      </c>
      <c r="F212" s="122">
        <f>SUM(F208:F211)</f>
        <v/>
      </c>
      <c r="G212" s="65" t="str"/>
    </row>
    <row r="213">
      <c r="A213" s="17" t="inlineStr">
        <is>
          <t>27</t>
        </is>
      </c>
      <c r="B213" s="17" t="inlineStr">
        <is>
          <t>Finance Costs</t>
        </is>
      </c>
      <c r="C213" s="17" t="inlineStr">
        <is>
          <t>Interest expense</t>
        </is>
      </c>
      <c r="D213" s="17" t="inlineStr">
        <is>
          <t>FIN_INT</t>
        </is>
      </c>
      <c r="E213" s="121" t="n">
        <v>0</v>
      </c>
      <c r="F213" s="121" t="n">
        <v>0</v>
      </c>
      <c r="G213" s="59" t="str"/>
    </row>
    <row r="214">
      <c r="A214" s="17" t="inlineStr">
        <is>
          <t>27</t>
        </is>
      </c>
      <c r="B214" s="17" t="inlineStr">
        <is>
          <t>Finance Costs</t>
        </is>
      </c>
      <c r="C214" s="17" t="inlineStr">
        <is>
          <t>Other borrowing costs</t>
        </is>
      </c>
      <c r="D214" s="17" t="inlineStr">
        <is>
          <t>FIN_OTHER</t>
        </is>
      </c>
      <c r="E214" s="121" t="n">
        <v>0</v>
      </c>
      <c r="F214" s="121" t="n">
        <v>0</v>
      </c>
      <c r="G214" s="59" t="str"/>
    </row>
    <row r="215">
      <c r="A215" s="17" t="inlineStr">
        <is>
          <t>27</t>
        </is>
      </c>
      <c r="B215" s="17" t="inlineStr">
        <is>
          <t>Finance Costs</t>
        </is>
      </c>
      <c r="C215" s="17" t="inlineStr">
        <is>
          <t>Exchange differences regarded as finance costs</t>
        </is>
      </c>
      <c r="D215" s="17" t="inlineStr">
        <is>
          <t>FIN_FX</t>
        </is>
      </c>
      <c r="E215" s="121" t="n">
        <v>0</v>
      </c>
      <c r="F215" s="121" t="n">
        <v>0</v>
      </c>
      <c r="G215" s="59" t="str"/>
    </row>
    <row r="216">
      <c r="A216" s="65" t="inlineStr">
        <is>
          <t>27</t>
        </is>
      </c>
      <c r="B216" s="65" t="inlineStr">
        <is>
          <t>Finance Costs</t>
        </is>
      </c>
      <c r="C216" s="65" t="inlineStr">
        <is>
          <t>Total — Finance Costs</t>
        </is>
      </c>
      <c r="D216" s="65" t="inlineStr">
        <is>
          <t>__TOTAL__</t>
        </is>
      </c>
      <c r="E216" s="122">
        <f>SUM(E213:E215)</f>
        <v/>
      </c>
      <c r="F216" s="122">
        <f>SUM(F213:F215)</f>
        <v/>
      </c>
      <c r="G216" s="65" t="str"/>
    </row>
    <row r="217">
      <c r="A217" s="17" t="inlineStr">
        <is>
          <t>28</t>
        </is>
      </c>
      <c r="B217" s="17" t="inlineStr">
        <is>
          <t>Depreciation and Amortisation</t>
        </is>
      </c>
      <c r="C217" s="17" t="inlineStr">
        <is>
          <t>Depreciation</t>
        </is>
      </c>
      <c r="D217" s="17" t="inlineStr">
        <is>
          <t>DEP</t>
        </is>
      </c>
      <c r="E217" s="121" t="n">
        <v>0</v>
      </c>
      <c r="F217" s="121" t="n">
        <v>0</v>
      </c>
      <c r="G217" s="59" t="str"/>
    </row>
    <row r="218">
      <c r="A218" s="17" t="inlineStr">
        <is>
          <t>28</t>
        </is>
      </c>
      <c r="B218" s="17" t="inlineStr">
        <is>
          <t>Depreciation and Amortisation</t>
        </is>
      </c>
      <c r="C218" s="17" t="inlineStr">
        <is>
          <t>Amortisation</t>
        </is>
      </c>
      <c r="D218" s="17" t="inlineStr">
        <is>
          <t>AMORT</t>
        </is>
      </c>
      <c r="E218" s="121" t="n">
        <v>0</v>
      </c>
      <c r="F218" s="121" t="n">
        <v>0</v>
      </c>
      <c r="G218" s="59" t="str"/>
    </row>
    <row r="219">
      <c r="A219" s="65" t="inlineStr">
        <is>
          <t>28</t>
        </is>
      </c>
      <c r="B219" s="65" t="inlineStr">
        <is>
          <t>Depreciation and Amortisation</t>
        </is>
      </c>
      <c r="C219" s="65" t="inlineStr">
        <is>
          <t>Total — Depreciation and Amortisation</t>
        </is>
      </c>
      <c r="D219" s="65" t="inlineStr">
        <is>
          <t>__TOTAL__</t>
        </is>
      </c>
      <c r="E219" s="122">
        <f>SUM(E217:E218)</f>
        <v/>
      </c>
      <c r="F219" s="122">
        <f>SUM(F217:F218)</f>
        <v/>
      </c>
      <c r="G219" s="65" t="str"/>
    </row>
    <row r="220">
      <c r="A220" s="17" t="inlineStr">
        <is>
          <t>29</t>
        </is>
      </c>
      <c r="B220" s="17" t="inlineStr">
        <is>
          <t>Other Expenses</t>
        </is>
      </c>
      <c r="C220" s="17" t="inlineStr">
        <is>
          <t>Power and fuel</t>
        </is>
      </c>
      <c r="D220" s="17" t="inlineStr">
        <is>
          <t>OE_POWER</t>
        </is>
      </c>
      <c r="E220" s="121" t="n">
        <v>0</v>
      </c>
      <c r="F220" s="121" t="n">
        <v>0</v>
      </c>
      <c r="G220" s="59" t="str"/>
    </row>
    <row r="221">
      <c r="A221" s="17" t="inlineStr">
        <is>
          <t>29</t>
        </is>
      </c>
      <c r="B221" s="17" t="inlineStr">
        <is>
          <t>Other Expenses</t>
        </is>
      </c>
      <c r="C221" s="17" t="inlineStr">
        <is>
          <t>Rent</t>
        </is>
      </c>
      <c r="D221" s="17" t="inlineStr">
        <is>
          <t>OE_RENT</t>
        </is>
      </c>
      <c r="E221" s="121" t="n">
        <v>0</v>
      </c>
      <c r="F221" s="121" t="n">
        <v>0</v>
      </c>
      <c r="G221" s="59" t="str"/>
    </row>
    <row r="222">
      <c r="A222" s="17" t="inlineStr">
        <is>
          <t>29</t>
        </is>
      </c>
      <c r="B222" s="17" t="inlineStr">
        <is>
          <t>Other Expenses</t>
        </is>
      </c>
      <c r="C222" s="17" t="inlineStr">
        <is>
          <t>Repairs and maintenance</t>
        </is>
      </c>
      <c r="D222" s="17" t="inlineStr">
        <is>
          <t>OE_REPAIR</t>
        </is>
      </c>
      <c r="E222" s="121" t="n">
        <v>0</v>
      </c>
      <c r="F222" s="121" t="n">
        <v>0</v>
      </c>
      <c r="G222" s="59" t="str"/>
    </row>
    <row r="223">
      <c r="A223" s="17" t="inlineStr">
        <is>
          <t>29</t>
        </is>
      </c>
      <c r="B223" s="17" t="inlineStr">
        <is>
          <t>Other Expenses</t>
        </is>
      </c>
      <c r="C223" s="17" t="inlineStr">
        <is>
          <t>Insurance</t>
        </is>
      </c>
      <c r="D223" s="17" t="inlineStr">
        <is>
          <t>OE_INS</t>
        </is>
      </c>
      <c r="E223" s="121" t="n">
        <v>0</v>
      </c>
      <c r="F223" s="121" t="n">
        <v>0</v>
      </c>
      <c r="G223" s="59" t="str"/>
    </row>
    <row r="224">
      <c r="A224" s="17" t="inlineStr">
        <is>
          <t>29</t>
        </is>
      </c>
      <c r="B224" s="17" t="inlineStr">
        <is>
          <t>Other Expenses</t>
        </is>
      </c>
      <c r="C224" s="17" t="inlineStr">
        <is>
          <t>Rates and taxes</t>
        </is>
      </c>
      <c r="D224" s="17" t="inlineStr">
        <is>
          <t>OE_RATES</t>
        </is>
      </c>
      <c r="E224" s="121" t="n">
        <v>0</v>
      </c>
      <c r="F224" s="121" t="n">
        <v>0</v>
      </c>
      <c r="G224" s="59" t="str"/>
    </row>
    <row r="225">
      <c r="A225" s="17" t="inlineStr">
        <is>
          <t>29</t>
        </is>
      </c>
      <c r="B225" s="17" t="inlineStr">
        <is>
          <t>Other Expenses</t>
        </is>
      </c>
      <c r="C225" s="17" t="inlineStr">
        <is>
          <t>Professional / legal</t>
        </is>
      </c>
      <c r="D225" s="17" t="inlineStr">
        <is>
          <t>OE_PROF</t>
        </is>
      </c>
      <c r="E225" s="121" t="n">
        <v>0</v>
      </c>
      <c r="F225" s="121" t="n">
        <v>0</v>
      </c>
      <c r="G225" s="59" t="str"/>
    </row>
    <row r="226">
      <c r="A226" s="17" t="inlineStr">
        <is>
          <t>29</t>
        </is>
      </c>
      <c r="B226" s="17" t="inlineStr">
        <is>
          <t>Other Expenses</t>
        </is>
      </c>
      <c r="C226" s="17" t="inlineStr">
        <is>
          <t>Auditor remuneration</t>
        </is>
      </c>
      <c r="D226" s="17" t="inlineStr">
        <is>
          <t>OE_AUD</t>
        </is>
      </c>
      <c r="E226" s="121" t="n">
        <v>0</v>
      </c>
      <c r="F226" s="121" t="n">
        <v>0</v>
      </c>
      <c r="G226" s="59" t="str"/>
    </row>
    <row r="227">
      <c r="A227" s="17" t="inlineStr">
        <is>
          <t>29</t>
        </is>
      </c>
      <c r="B227" s="17" t="inlineStr">
        <is>
          <t>Other Expenses</t>
        </is>
      </c>
      <c r="C227" s="17" t="inlineStr">
        <is>
          <t>Selling / distribution</t>
        </is>
      </c>
      <c r="D227" s="17" t="inlineStr">
        <is>
          <t>OE_SELL</t>
        </is>
      </c>
      <c r="E227" s="121" t="n">
        <v>0</v>
      </c>
      <c r="F227" s="121" t="n">
        <v>0</v>
      </c>
      <c r="G227" s="59" t="str"/>
    </row>
    <row r="228">
      <c r="A228" s="17" t="inlineStr">
        <is>
          <t>29</t>
        </is>
      </c>
      <c r="B228" s="17" t="inlineStr">
        <is>
          <t>Other Expenses</t>
        </is>
      </c>
      <c r="C228" s="17" t="inlineStr">
        <is>
          <t>Administrative expenses</t>
        </is>
      </c>
      <c r="D228" s="17" t="inlineStr">
        <is>
          <t>OE_ADMIN</t>
        </is>
      </c>
      <c r="E228" s="121" t="n">
        <v>0</v>
      </c>
      <c r="F228" s="121" t="n">
        <v>0</v>
      </c>
      <c r="G228" s="59" t="str"/>
    </row>
    <row r="229">
      <c r="A229" s="17" t="inlineStr">
        <is>
          <t>29</t>
        </is>
      </c>
      <c r="B229" s="17" t="inlineStr">
        <is>
          <t>Other Expenses</t>
        </is>
      </c>
      <c r="C229" s="17" t="inlineStr">
        <is>
          <t>Other expenses</t>
        </is>
      </c>
      <c r="D229" s="17" t="inlineStr">
        <is>
          <t>OE_OTHER</t>
        </is>
      </c>
      <c r="E229" s="121" t="n">
        <v>0</v>
      </c>
      <c r="F229" s="121" t="n">
        <v>0</v>
      </c>
      <c r="G229" s="59" t="str"/>
    </row>
    <row r="230">
      <c r="A230" s="65" t="inlineStr">
        <is>
          <t>29</t>
        </is>
      </c>
      <c r="B230" s="65" t="inlineStr">
        <is>
          <t>Other Expenses</t>
        </is>
      </c>
      <c r="C230" s="65" t="inlineStr">
        <is>
          <t>Total — Other Expenses</t>
        </is>
      </c>
      <c r="D230" s="65" t="inlineStr">
        <is>
          <t>__TOTAL__</t>
        </is>
      </c>
      <c r="E230" s="122">
        <f>SUM(E220:E229)</f>
        <v/>
      </c>
      <c r="F230" s="122">
        <f>SUM(F220:F229)</f>
        <v/>
      </c>
      <c r="G230" s="65" t="str"/>
    </row>
    <row r="231">
      <c r="A231" s="17" t="inlineStr">
        <is>
          <t>30</t>
        </is>
      </c>
      <c r="B231" s="17" t="inlineStr">
        <is>
          <t>Additional Regulatory Information</t>
        </is>
      </c>
      <c r="C231" s="17" t="inlineStr">
        <is>
          <t>Title deeds not held in name of company</t>
        </is>
      </c>
      <c r="D231" s="17" t="inlineStr">
        <is>
          <t>REG_TITLE</t>
        </is>
      </c>
      <c r="E231" s="121" t="n">
        <v>0</v>
      </c>
      <c r="F231" s="121" t="n">
        <v>0</v>
      </c>
      <c r="G231" s="59" t="str"/>
    </row>
    <row r="232">
      <c r="A232" s="17" t="inlineStr">
        <is>
          <t>30</t>
        </is>
      </c>
      <c r="B232" s="17" t="inlineStr">
        <is>
          <t>Additional Regulatory Information</t>
        </is>
      </c>
      <c r="C232" s="17" t="inlineStr">
        <is>
          <t>CWIP ageing / completion schedule</t>
        </is>
      </c>
      <c r="D232" s="17" t="inlineStr">
        <is>
          <t>REG_CWIP</t>
        </is>
      </c>
      <c r="E232" s="121" t="n">
        <v>0</v>
      </c>
      <c r="F232" s="121" t="n">
        <v>0</v>
      </c>
      <c r="G232" s="59" t="str"/>
    </row>
    <row r="233">
      <c r="A233" s="17" t="inlineStr">
        <is>
          <t>30</t>
        </is>
      </c>
      <c r="B233" s="17" t="inlineStr">
        <is>
          <t>Additional Regulatory Information</t>
        </is>
      </c>
      <c r="C233" s="17" t="inlineStr">
        <is>
          <t>Intangible assets under development ageing</t>
        </is>
      </c>
      <c r="D233" s="17" t="inlineStr">
        <is>
          <t>REG_IAUD</t>
        </is>
      </c>
      <c r="E233" s="121" t="n">
        <v>0</v>
      </c>
      <c r="F233" s="121" t="n">
        <v>0</v>
      </c>
      <c r="G233" s="59" t="str"/>
    </row>
    <row r="234">
      <c r="A234" s="17" t="inlineStr">
        <is>
          <t>30</t>
        </is>
      </c>
      <c r="B234" s="17" t="inlineStr">
        <is>
          <t>Additional Regulatory Information</t>
        </is>
      </c>
      <c r="C234" s="17" t="inlineStr">
        <is>
          <t>Benami property proceedings</t>
        </is>
      </c>
      <c r="D234" s="17" t="inlineStr">
        <is>
          <t>REG_BENAMI</t>
        </is>
      </c>
      <c r="E234" s="121" t="n">
        <v>0</v>
      </c>
      <c r="F234" s="121" t="n">
        <v>0</v>
      </c>
      <c r="G234" s="59" t="str"/>
    </row>
    <row r="235">
      <c r="A235" s="17" t="inlineStr">
        <is>
          <t>30</t>
        </is>
      </c>
      <c r="B235" s="17" t="inlineStr">
        <is>
          <t>Additional Regulatory Information</t>
        </is>
      </c>
      <c r="C235" s="17" t="inlineStr">
        <is>
          <t>Borrowings secured against current assets</t>
        </is>
      </c>
      <c r="D235" s="17" t="inlineStr">
        <is>
          <t>REG_CA_BORR</t>
        </is>
      </c>
      <c r="E235" s="121" t="n">
        <v>0</v>
      </c>
      <c r="F235" s="121" t="n">
        <v>0</v>
      </c>
      <c r="G235" s="59" t="str"/>
    </row>
    <row r="236">
      <c r="A236" s="17" t="inlineStr">
        <is>
          <t>30</t>
        </is>
      </c>
      <c r="B236" s="17" t="inlineStr">
        <is>
          <t>Additional Regulatory Information</t>
        </is>
      </c>
      <c r="C236" s="17" t="inlineStr">
        <is>
          <t>Wilful defaulter disclosure</t>
        </is>
      </c>
      <c r="D236" s="17" t="inlineStr">
        <is>
          <t>REG_WD</t>
        </is>
      </c>
      <c r="E236" s="121" t="n">
        <v>0</v>
      </c>
      <c r="F236" s="121" t="n">
        <v>0</v>
      </c>
      <c r="G236" s="59" t="str"/>
    </row>
    <row r="237">
      <c r="A237" s="17" t="inlineStr">
        <is>
          <t>30</t>
        </is>
      </c>
      <c r="B237" s="17" t="inlineStr">
        <is>
          <t>Additional Regulatory Information</t>
        </is>
      </c>
      <c r="C237" s="17" t="inlineStr">
        <is>
          <t>Relationship with struck-off companies</t>
        </is>
      </c>
      <c r="D237" s="17" t="inlineStr">
        <is>
          <t>REG_STRUCK</t>
        </is>
      </c>
      <c r="E237" s="121" t="n">
        <v>0</v>
      </c>
      <c r="F237" s="121" t="n">
        <v>0</v>
      </c>
      <c r="G237" s="59" t="str"/>
    </row>
    <row r="238">
      <c r="A238" s="17" t="inlineStr">
        <is>
          <t>30</t>
        </is>
      </c>
      <c r="B238" s="17" t="inlineStr">
        <is>
          <t>Additional Regulatory Information</t>
        </is>
      </c>
      <c r="C238" s="17" t="inlineStr">
        <is>
          <t>Ratios</t>
        </is>
      </c>
      <c r="D238" s="17" t="inlineStr">
        <is>
          <t>REG_RATIOS</t>
        </is>
      </c>
      <c r="E238" s="121" t="n">
        <v>0</v>
      </c>
      <c r="F238" s="121" t="n">
        <v>0</v>
      </c>
      <c r="G238" s="59" t="str"/>
    </row>
    <row r="239">
      <c r="A239" s="17" t="inlineStr">
        <is>
          <t>30</t>
        </is>
      </c>
      <c r="B239" s="17" t="inlineStr">
        <is>
          <t>Additional Regulatory Information</t>
        </is>
      </c>
      <c r="C239" s="17" t="inlineStr">
        <is>
          <t>Undisclosed income</t>
        </is>
      </c>
      <c r="D239" s="17" t="inlineStr">
        <is>
          <t>REG_UNDISC</t>
        </is>
      </c>
      <c r="E239" s="121" t="n">
        <v>0</v>
      </c>
      <c r="F239" s="121" t="n">
        <v>0</v>
      </c>
      <c r="G239" s="59" t="str"/>
    </row>
    <row r="240">
      <c r="A240" s="17" t="inlineStr">
        <is>
          <t>30</t>
        </is>
      </c>
      <c r="B240" s="17" t="inlineStr">
        <is>
          <t>Additional Regulatory Information</t>
        </is>
      </c>
      <c r="C240" s="17" t="inlineStr">
        <is>
          <t>Crypto / virtual currency</t>
        </is>
      </c>
      <c r="D240" s="17" t="inlineStr">
        <is>
          <t>REG_CRYPTO</t>
        </is>
      </c>
      <c r="E240" s="121" t="n">
        <v>0</v>
      </c>
      <c r="F240" s="121" t="n">
        <v>0</v>
      </c>
      <c r="G240" s="59" t="str"/>
    </row>
    <row r="241">
      <c r="A241" s="65" t="inlineStr">
        <is>
          <t>30</t>
        </is>
      </c>
      <c r="B241" s="65" t="inlineStr">
        <is>
          <t>Additional Regulatory Information</t>
        </is>
      </c>
      <c r="C241" s="65" t="inlineStr">
        <is>
          <t>Total — Additional Regulatory Information</t>
        </is>
      </c>
      <c r="D241" s="65" t="inlineStr">
        <is>
          <t>__TOTAL__</t>
        </is>
      </c>
      <c r="E241" s="122">
        <f>SUM(E231:E240)</f>
        <v/>
      </c>
      <c r="F241" s="122">
        <f>SUM(F231:F240)</f>
        <v/>
      </c>
      <c r="G241" s="65" t="str"/>
    </row>
    <row r="242">
      <c r="A242" s="17" t="n"/>
      <c r="B242" s="17" t="n"/>
      <c r="C242" s="17" t="n"/>
      <c r="D242" s="17" t="n"/>
      <c r="E242" s="17" t="n"/>
      <c r="F242" s="17" t="n"/>
      <c r="G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</row>
    <row r="244" ht="26" customHeight="1" s="82">
      <c r="A244" s="79" t="inlineStr">
        <is>
          <t>Validation</t>
        </is>
      </c>
      <c r="B244" s="1" t="n"/>
      <c r="C244" s="1" t="n"/>
      <c r="D244" s="1" t="n"/>
      <c r="E244" s="17" t="n"/>
      <c r="F244" s="17" t="n"/>
      <c r="G244" s="17" t="n"/>
    </row>
    <row r="245">
      <c r="A245" s="14" t="inlineStr">
        <is>
          <t>Check</t>
        </is>
      </c>
      <c r="B245" s="14" t="inlineStr">
        <is>
          <t>Current Period</t>
        </is>
      </c>
      <c r="C245" s="14" t="inlineStr">
        <is>
          <t>Previous Period</t>
        </is>
      </c>
      <c r="D245" s="14" t="inlineStr">
        <is>
          <t>Result</t>
        </is>
      </c>
      <c r="E245" s="17" t="n"/>
      <c r="F245" s="17" t="n"/>
      <c r="G245" s="17" t="n"/>
    </row>
    <row r="246">
      <c r="A246" s="17" t="inlineStr">
        <is>
          <t>Balance Sheet difference</t>
        </is>
      </c>
      <c r="B246" s="17">
        <f>C39-C24</f>
        <v/>
      </c>
      <c r="C246" s="17">
        <f>D39-D24</f>
        <v/>
      </c>
      <c r="D246" s="17">
        <f>IF(AND(ABS(B246)&lt;1,ABS(C246)&lt;1),"PASS","CHECK")</f>
        <v/>
      </c>
      <c r="E246" s="17" t="n"/>
      <c r="F246" s="17" t="n"/>
      <c r="G246" s="17" t="n"/>
    </row>
    <row r="247">
      <c r="A247" s="17" t="inlineStr">
        <is>
          <t>Notes / disclosures</t>
        </is>
      </c>
      <c r="B247" s="17" t="inlineStr">
        <is>
          <t>Review</t>
        </is>
      </c>
      <c r="C247" s="17" t="inlineStr">
        <is>
          <t>Review</t>
        </is>
      </c>
      <c r="D247" s="17" t="inlineStr">
        <is>
          <t>Review</t>
        </is>
      </c>
      <c r="E247" s="17" t="n"/>
      <c r="F247" s="17" t="n"/>
      <c r="G247" s="17" t="n"/>
    </row>
    <row r="248">
      <c r="A248" s="17" t="inlineStr">
        <is>
          <t>Profile readiness</t>
        </is>
      </c>
      <c r="B248" s="17" t="str"/>
      <c r="C248" s="17" t="str"/>
      <c r="D248" s="17">
        <f>IF(D246="PASS","READY FOR REVIEW","NOT READY")</f>
        <v/>
      </c>
      <c r="E248" s="17" t="n"/>
      <c r="F248" s="17" t="n"/>
      <c r="G248" s="17" t="n"/>
    </row>
    <row r="249"/>
    <row r="250"/>
    <row r="251"/>
    <row r="252">
      <c r="A252" s="101" t="inlineStr">
        <is>
          <t>Signatures / Certification</t>
        </is>
      </c>
      <c r="B252" s="101" t="str"/>
      <c r="C252" s="101" t="str"/>
      <c r="D252" s="101" t="str"/>
      <c r="E252" s="101" t="str"/>
      <c r="F252" s="101" t="str"/>
    </row>
    <row r="253">
      <c r="A253" s="112" t="inlineStr">
        <is>
          <t>Entity Signatory</t>
        </is>
      </c>
      <c r="B253" s="104">
        <f>'AAH Basic Info'!B13</f>
        <v/>
      </c>
      <c r="C253" s="115" t="inlineStr">
        <is>
          <t>Designation</t>
        </is>
      </c>
      <c r="D253" s="104">
        <f>'AAH Basic Info'!B14</f>
        <v/>
      </c>
      <c r="E253" s="115" t="inlineStr">
        <is>
          <t>DIN</t>
        </is>
      </c>
      <c r="F253" s="105">
        <f>'AAH Basic Info'!B15</f>
        <v/>
      </c>
    </row>
    <row r="254">
      <c r="A254" s="113" t="inlineStr">
        <is>
          <t>Signing Date</t>
        </is>
      </c>
      <c r="B254" s="107">
        <f>'AAH Basic Info'!B16</f>
        <v/>
      </c>
      <c r="C254" s="116" t="inlineStr">
        <is>
          <t>Place</t>
        </is>
      </c>
      <c r="D254" s="107">
        <f>'AAH Basic Info'!B17</f>
        <v/>
      </c>
      <c r="E254" s="116" t="str"/>
      <c r="F254" s="108" t="str"/>
    </row>
    <row r="255">
      <c r="A255" s="113" t="inlineStr">
        <is>
          <t>Audit Firm</t>
        </is>
      </c>
      <c r="B255" s="107">
        <f>'AAH Basic Info'!B18</f>
        <v/>
      </c>
      <c r="C255" s="116" t="inlineStr">
        <is>
          <t>FRN</t>
        </is>
      </c>
      <c r="D255" s="107">
        <f>'AAH Basic Info'!B19</f>
        <v/>
      </c>
      <c r="E255" s="116" t="str"/>
      <c r="F255" s="108" t="str"/>
    </row>
    <row r="256">
      <c r="A256" s="113" t="inlineStr">
        <is>
          <t>Signing CA</t>
        </is>
      </c>
      <c r="B256" s="107">
        <f>'AAH Basic Info'!B20</f>
        <v/>
      </c>
      <c r="C256" s="116" t="inlineStr">
        <is>
          <t>Designation</t>
        </is>
      </c>
      <c r="D256" s="107">
        <f>'AAH Basic Info'!B21</f>
        <v/>
      </c>
      <c r="E256" s="116" t="inlineStr">
        <is>
          <t>Membership No.</t>
        </is>
      </c>
      <c r="F256" s="108">
        <f>'AAH Basic Info'!B22</f>
        <v/>
      </c>
    </row>
    <row r="257">
      <c r="A257" s="114" t="inlineStr">
        <is>
          <t>Audit Place</t>
        </is>
      </c>
      <c r="B257" s="110">
        <f>'AAH Basic Info'!B23</f>
        <v/>
      </c>
      <c r="C257" s="117" t="inlineStr">
        <is>
          <t>Signing Date</t>
        </is>
      </c>
      <c r="D257" s="110">
        <f>'AAH Basic Info'!B30</f>
        <v/>
      </c>
      <c r="E257" s="117" t="str"/>
      <c r="F257" s="111" t="str"/>
    </row>
  </sheetData>
  <mergeCells count="6">
    <mergeCell ref="A1:G1"/>
    <mergeCell ref="A6:D6"/>
    <mergeCell ref="A67:G67"/>
    <mergeCell ref="A244:D244"/>
    <mergeCell ref="A2:G2"/>
    <mergeCell ref="A42:D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Company — Ind AS — Schedule III Division II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MCA | Official source: https://www.mca.gov.in/Ministry/pdf/ScheduleIIIAmendmentNotification_24032021.pdf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ASSETS</t>
        </is>
      </c>
      <c r="B8" s="42" t="str"/>
      <c r="C8" s="118" t="n"/>
      <c r="D8" s="118" t="n"/>
      <c r="E8" s="17" t="n"/>
      <c r="F8" s="17" t="n"/>
      <c r="G8" s="17" t="n"/>
    </row>
    <row r="9">
      <c r="A9" s="61" t="inlineStr">
        <is>
          <t>1. Non-current Assets</t>
        </is>
      </c>
      <c r="B9" s="61" t="str"/>
      <c r="C9" s="119" t="n"/>
      <c r="D9" s="119" t="n"/>
      <c r="E9" s="17" t="n"/>
      <c r="F9" s="17" t="n"/>
      <c r="G9" s="17" t="n"/>
    </row>
    <row r="10">
      <c r="A10" s="17" t="inlineStr">
        <is>
          <t>Property, Plant and Equipment</t>
        </is>
      </c>
      <c r="B10" s="17" t="inlineStr">
        <is>
          <t>1</t>
        </is>
      </c>
      <c r="C10" s="120">
        <f>E83</f>
        <v/>
      </c>
      <c r="D10" s="120">
        <f>F83</f>
        <v/>
      </c>
      <c r="E10" s="17" t="n"/>
      <c r="F10" s="17" t="n"/>
      <c r="G10" s="17" t="n"/>
    </row>
    <row r="11">
      <c r="A11" s="17" t="inlineStr">
        <is>
          <t>Capital Work-in-Progress</t>
        </is>
      </c>
      <c r="B11" s="17" t="inlineStr">
        <is>
          <t>2</t>
        </is>
      </c>
      <c r="C11" s="120">
        <f>E85</f>
        <v/>
      </c>
      <c r="D11" s="120">
        <f>F85</f>
        <v/>
      </c>
      <c r="E11" s="17" t="n"/>
      <c r="F11" s="17" t="n"/>
      <c r="G11" s="17" t="n"/>
    </row>
    <row r="12">
      <c r="A12" s="17" t="inlineStr">
        <is>
          <t>Investment Property</t>
        </is>
      </c>
      <c r="B12" s="17" t="inlineStr">
        <is>
          <t>3</t>
        </is>
      </c>
      <c r="C12" s="120">
        <f>E87</f>
        <v/>
      </c>
      <c r="D12" s="120">
        <f>F87</f>
        <v/>
      </c>
      <c r="E12" s="17" t="n"/>
      <c r="F12" s="17" t="n"/>
      <c r="G12" s="17" t="n"/>
    </row>
    <row r="13">
      <c r="A13" s="17" t="inlineStr">
        <is>
          <t>Goodwill</t>
        </is>
      </c>
      <c r="B13" s="17" t="inlineStr">
        <is>
          <t>4</t>
        </is>
      </c>
      <c r="C13" s="120">
        <f>E89</f>
        <v/>
      </c>
      <c r="D13" s="120">
        <f>F89</f>
        <v/>
      </c>
      <c r="E13" s="17" t="n"/>
      <c r="F13" s="17" t="n"/>
      <c r="G13" s="17" t="n"/>
    </row>
    <row r="14">
      <c r="A14" s="17" t="inlineStr">
        <is>
          <t>Other Intangible Assets</t>
        </is>
      </c>
      <c r="B14" s="17" t="inlineStr">
        <is>
          <t>5</t>
        </is>
      </c>
      <c r="C14" s="120">
        <f>E91</f>
        <v/>
      </c>
      <c r="D14" s="120">
        <f>F91</f>
        <v/>
      </c>
      <c r="E14" s="17" t="n"/>
      <c r="F14" s="17" t="n"/>
      <c r="G14" s="17" t="n"/>
    </row>
    <row r="15">
      <c r="A15" s="17" t="inlineStr">
        <is>
          <t>Intangible Assets under Development</t>
        </is>
      </c>
      <c r="B15" s="17" t="inlineStr">
        <is>
          <t>6</t>
        </is>
      </c>
      <c r="C15" s="120">
        <f>E93</f>
        <v/>
      </c>
      <c r="D15" s="120">
        <f>F93</f>
        <v/>
      </c>
      <c r="E15" s="17" t="n"/>
      <c r="F15" s="17" t="n"/>
      <c r="G15" s="17" t="n"/>
    </row>
    <row r="16">
      <c r="A16" s="17" t="inlineStr">
        <is>
          <t>Biological Assets other than Bearer Plants</t>
        </is>
      </c>
      <c r="B16" s="17" t="inlineStr">
        <is>
          <t>7</t>
        </is>
      </c>
      <c r="C16" s="120">
        <f>E95</f>
        <v/>
      </c>
      <c r="D16" s="120">
        <f>F95</f>
        <v/>
      </c>
      <c r="E16" s="17" t="n"/>
      <c r="F16" s="17" t="n"/>
      <c r="G16" s="17" t="n"/>
    </row>
    <row r="17">
      <c r="A17" s="17" t="inlineStr">
        <is>
          <t>Financial Assets - Investments</t>
        </is>
      </c>
      <c r="B17" s="17" t="inlineStr">
        <is>
          <t>8</t>
        </is>
      </c>
      <c r="C17" s="120">
        <f>E99</f>
        <v/>
      </c>
      <c r="D17" s="120">
        <f>F99</f>
        <v/>
      </c>
      <c r="E17" s="17" t="n"/>
      <c r="F17" s="17" t="n"/>
      <c r="G17" s="17" t="n"/>
    </row>
    <row r="18">
      <c r="A18" s="17" t="inlineStr">
        <is>
          <t>Financial Assets - Trade Receivables</t>
        </is>
      </c>
      <c r="B18" s="17" t="inlineStr">
        <is>
          <t>9</t>
        </is>
      </c>
      <c r="C18" s="120">
        <f>E102</f>
        <v/>
      </c>
      <c r="D18" s="120">
        <f>F102</f>
        <v/>
      </c>
      <c r="E18" s="17" t="n"/>
      <c r="F18" s="17" t="n"/>
      <c r="G18" s="17" t="n"/>
    </row>
    <row r="19">
      <c r="A19" s="17" t="inlineStr">
        <is>
          <t>Financial Assets - Loans</t>
        </is>
      </c>
      <c r="B19" s="17" t="inlineStr">
        <is>
          <t>10</t>
        </is>
      </c>
      <c r="C19" s="120">
        <f>E104</f>
        <v/>
      </c>
      <c r="D19" s="120">
        <f>F104</f>
        <v/>
      </c>
      <c r="E19" s="17" t="n"/>
      <c r="F19" s="17" t="n"/>
      <c r="G19" s="17" t="n"/>
    </row>
    <row r="20">
      <c r="A20" s="17" t="inlineStr">
        <is>
          <t>Other Financial Assets</t>
        </is>
      </c>
      <c r="B20" s="17" t="inlineStr">
        <is>
          <t>11</t>
        </is>
      </c>
      <c r="C20" s="120">
        <f>E106</f>
        <v/>
      </c>
      <c r="D20" s="120">
        <f>F106</f>
        <v/>
      </c>
      <c r="E20" s="17" t="n"/>
      <c r="F20" s="17" t="n"/>
      <c r="G20" s="17" t="n"/>
    </row>
    <row r="21">
      <c r="A21" s="17" t="inlineStr">
        <is>
          <t>Deferred Tax Assets (Net)</t>
        </is>
      </c>
      <c r="B21" s="17" t="inlineStr">
        <is>
          <t>12</t>
        </is>
      </c>
      <c r="C21" s="120">
        <f>E107</f>
        <v/>
      </c>
      <c r="D21" s="120">
        <f>F107</f>
        <v/>
      </c>
      <c r="E21" s="17" t="n"/>
      <c r="F21" s="17" t="n"/>
      <c r="G21" s="17" t="n"/>
    </row>
    <row r="22">
      <c r="A22" s="17" t="inlineStr">
        <is>
          <t>Other Non-current Assets</t>
        </is>
      </c>
      <c r="B22" s="17" t="inlineStr">
        <is>
          <t>13</t>
        </is>
      </c>
      <c r="C22" s="120">
        <f>E111</f>
        <v/>
      </c>
      <c r="D22" s="120">
        <f>F111</f>
        <v/>
      </c>
      <c r="E22" s="17" t="n"/>
      <c r="F22" s="17" t="n"/>
      <c r="G22" s="17" t="n"/>
    </row>
    <row r="23">
      <c r="A23" s="61" t="inlineStr">
        <is>
          <t>2. Current Assets</t>
        </is>
      </c>
      <c r="B23" s="61" t="str"/>
      <c r="C23" s="119" t="n"/>
      <c r="D23" s="119" t="n"/>
      <c r="E23" s="17" t="n"/>
      <c r="F23" s="17" t="n"/>
      <c r="G23" s="17" t="n"/>
    </row>
    <row r="24">
      <c r="A24" s="17" t="inlineStr">
        <is>
          <t>Inventories</t>
        </is>
      </c>
      <c r="B24" s="17" t="inlineStr">
        <is>
          <t>14</t>
        </is>
      </c>
      <c r="C24" s="120">
        <f>E117</f>
        <v/>
      </c>
      <c r="D24" s="120">
        <f>F117</f>
        <v/>
      </c>
      <c r="E24" s="17" t="n"/>
      <c r="F24" s="17" t="n"/>
      <c r="G24" s="17" t="n"/>
    </row>
    <row r="25">
      <c r="A25" s="17" t="inlineStr">
        <is>
          <t>Financial Assets - Investments</t>
        </is>
      </c>
      <c r="B25" s="17" t="inlineStr">
        <is>
          <t>8</t>
        </is>
      </c>
      <c r="C25" s="120">
        <f>E99</f>
        <v/>
      </c>
      <c r="D25" s="120">
        <f>F99</f>
        <v/>
      </c>
      <c r="E25" s="17" t="n"/>
      <c r="F25" s="17" t="n"/>
      <c r="G25" s="17" t="n"/>
    </row>
    <row r="26">
      <c r="A26" s="17" t="inlineStr">
        <is>
          <t>Financial Assets - Trade Receivables</t>
        </is>
      </c>
      <c r="B26" s="17" t="inlineStr">
        <is>
          <t>9</t>
        </is>
      </c>
      <c r="C26" s="120">
        <f>E102</f>
        <v/>
      </c>
      <c r="D26" s="120">
        <f>F102</f>
        <v/>
      </c>
      <c r="E26" s="17" t="n"/>
      <c r="F26" s="17" t="n"/>
      <c r="G26" s="17" t="n"/>
    </row>
    <row r="27">
      <c r="A27" s="17" t="inlineStr">
        <is>
          <t>Cash and Cash Equivalents</t>
        </is>
      </c>
      <c r="B27" s="17" t="inlineStr">
        <is>
          <t>16</t>
        </is>
      </c>
      <c r="C27" s="120">
        <f>E124</f>
        <v/>
      </c>
      <c r="D27" s="120">
        <f>F124</f>
        <v/>
      </c>
      <c r="E27" s="17" t="n"/>
      <c r="F27" s="17" t="n"/>
      <c r="G27" s="17" t="n"/>
    </row>
    <row r="28">
      <c r="A28" s="17" t="inlineStr">
        <is>
          <t>Bank Balances other than Cash Equivalents</t>
        </is>
      </c>
      <c r="B28" s="17" t="inlineStr">
        <is>
          <t>17</t>
        </is>
      </c>
      <c r="C28" s="120">
        <f>E126</f>
        <v/>
      </c>
      <c r="D28" s="120">
        <f>F126</f>
        <v/>
      </c>
      <c r="E28" s="17" t="n"/>
      <c r="F28" s="17" t="n"/>
      <c r="G28" s="17" t="n"/>
    </row>
    <row r="29">
      <c r="A29" s="17" t="inlineStr">
        <is>
          <t>Financial Assets - Loans</t>
        </is>
      </c>
      <c r="B29" s="17" t="inlineStr">
        <is>
          <t>10</t>
        </is>
      </c>
      <c r="C29" s="120">
        <f>E104</f>
        <v/>
      </c>
      <c r="D29" s="120">
        <f>F104</f>
        <v/>
      </c>
      <c r="E29" s="17" t="n"/>
      <c r="F29" s="17" t="n"/>
      <c r="G29" s="17" t="n"/>
    </row>
    <row r="30">
      <c r="A30" s="17" t="inlineStr">
        <is>
          <t>Other Financial Assets</t>
        </is>
      </c>
      <c r="B30" s="17" t="inlineStr">
        <is>
          <t>11</t>
        </is>
      </c>
      <c r="C30" s="120">
        <f>E106</f>
        <v/>
      </c>
      <c r="D30" s="120">
        <f>F106</f>
        <v/>
      </c>
      <c r="E30" s="17" t="n"/>
      <c r="F30" s="17" t="n"/>
      <c r="G30" s="17" t="n"/>
    </row>
    <row r="31">
      <c r="A31" s="17" t="inlineStr">
        <is>
          <t>Current Tax Assets (Net)</t>
        </is>
      </c>
      <c r="B31" s="17" t="inlineStr">
        <is>
          <t>15</t>
        </is>
      </c>
      <c r="C31" s="120">
        <f>E118</f>
        <v/>
      </c>
      <c r="D31" s="120">
        <f>F118</f>
        <v/>
      </c>
      <c r="E31" s="17" t="n"/>
      <c r="F31" s="17" t="n"/>
      <c r="G31" s="17" t="n"/>
    </row>
    <row r="32">
      <c r="A32" s="17" t="inlineStr">
        <is>
          <t>Other Current Assets</t>
        </is>
      </c>
      <c r="B32" s="17" t="inlineStr">
        <is>
          <t>18</t>
        </is>
      </c>
      <c r="C32" s="120">
        <f>E128</f>
        <v/>
      </c>
      <c r="D32" s="120">
        <f>F128</f>
        <v/>
      </c>
      <c r="E32" s="17" t="n"/>
      <c r="F32" s="17" t="n"/>
      <c r="G32" s="17" t="n"/>
    </row>
    <row r="33">
      <c r="A33" s="65" t="inlineStr">
        <is>
          <t>TOTAL ASSETS</t>
        </is>
      </c>
      <c r="B33" s="65" t="str"/>
      <c r="C33" s="122">
        <f>SUM(C10,C11,C12,C13,C14,C15,C16,C17,C18,C19,C20,C21,C22,C24,C25,C26,C27,C28,C29,C30,C31,C32)</f>
        <v/>
      </c>
      <c r="D33" s="122">
        <f>SUM(D10,D11,D12,D13,D14,D15,D16,D17,D18,D19,D20,D21,D22,D24,D25,D26,D27,D28,D29,D30,D31,D32)</f>
        <v/>
      </c>
      <c r="E33" s="17" t="n"/>
      <c r="F33" s="17" t="n"/>
      <c r="G33" s="17" t="n"/>
    </row>
    <row r="34">
      <c r="A34" s="42" t="inlineStr">
        <is>
          <t>EQUITY AND LIABILITIES</t>
        </is>
      </c>
      <c r="B34" s="42" t="str"/>
      <c r="C34" s="118" t="n"/>
      <c r="D34" s="118" t="n"/>
      <c r="E34" s="17" t="n"/>
      <c r="F34" s="17" t="n"/>
      <c r="G34" s="17" t="n"/>
    </row>
    <row r="35">
      <c r="A35" s="61" t="inlineStr">
        <is>
          <t>Equity</t>
        </is>
      </c>
      <c r="B35" s="61" t="str"/>
      <c r="C35" s="119" t="n"/>
      <c r="D35" s="119" t="n"/>
      <c r="E35" s="17" t="n"/>
      <c r="F35" s="17" t="n"/>
      <c r="G35" s="17" t="n"/>
    </row>
    <row r="36">
      <c r="A36" s="17" t="inlineStr">
        <is>
          <t>Equity Share Capital</t>
        </is>
      </c>
      <c r="B36" s="17" t="inlineStr">
        <is>
          <t>19</t>
        </is>
      </c>
      <c r="C36" s="120">
        <f>E130</f>
        <v/>
      </c>
      <c r="D36" s="120">
        <f>F130</f>
        <v/>
      </c>
      <c r="E36" s="17" t="n"/>
      <c r="F36" s="17" t="n"/>
      <c r="G36" s="17" t="n"/>
    </row>
    <row r="37">
      <c r="A37" s="17" t="inlineStr">
        <is>
          <t>Other Equity</t>
        </is>
      </c>
      <c r="B37" s="17" t="inlineStr">
        <is>
          <t>20</t>
        </is>
      </c>
      <c r="C37" s="120">
        <f>E135</f>
        <v/>
      </c>
      <c r="D37" s="120">
        <f>F135</f>
        <v/>
      </c>
      <c r="E37" s="17" t="n"/>
      <c r="F37" s="17" t="n"/>
      <c r="G37" s="17" t="n"/>
    </row>
    <row r="38">
      <c r="A38" s="61" t="inlineStr">
        <is>
          <t>Non-current Liabilities</t>
        </is>
      </c>
      <c r="B38" s="61" t="str"/>
      <c r="C38" s="119" t="n"/>
      <c r="D38" s="119" t="n"/>
      <c r="E38" s="17" t="n"/>
      <c r="F38" s="17" t="n"/>
      <c r="G38" s="17" t="n"/>
    </row>
    <row r="39">
      <c r="A39" s="17" t="inlineStr">
        <is>
          <t>Financial Liabilities - Borrowings</t>
        </is>
      </c>
      <c r="B39" s="17" t="inlineStr">
        <is>
          <t>21</t>
        </is>
      </c>
      <c r="C39" s="120">
        <f>E137</f>
        <v/>
      </c>
      <c r="D39" s="120">
        <f>F137</f>
        <v/>
      </c>
      <c r="E39" s="17" t="n"/>
      <c r="F39" s="17" t="n"/>
      <c r="G39" s="17" t="n"/>
    </row>
    <row r="40">
      <c r="A40" s="17" t="inlineStr">
        <is>
          <t>Trade Payables</t>
        </is>
      </c>
      <c r="B40" s="17" t="inlineStr">
        <is>
          <t>22</t>
        </is>
      </c>
      <c r="C40" s="120">
        <f>E140</f>
        <v/>
      </c>
      <c r="D40" s="120">
        <f>F140</f>
        <v/>
      </c>
      <c r="E40" s="17" t="n"/>
      <c r="F40" s="17" t="n"/>
      <c r="G40" s="17" t="n"/>
    </row>
    <row r="41">
      <c r="A41" s="17" t="inlineStr">
        <is>
          <t>Other Financial Liabilities</t>
        </is>
      </c>
      <c r="B41" s="17" t="inlineStr">
        <is>
          <t>23</t>
        </is>
      </c>
      <c r="C41" s="120">
        <f>E142</f>
        <v/>
      </c>
      <c r="D41" s="120">
        <f>F142</f>
        <v/>
      </c>
      <c r="E41" s="17" t="n"/>
      <c r="F41" s="17" t="n"/>
      <c r="G41" s="17" t="n"/>
    </row>
    <row r="42">
      <c r="A42" s="17" t="inlineStr">
        <is>
          <t>Provisions</t>
        </is>
      </c>
      <c r="B42" s="17" t="inlineStr">
        <is>
          <t>24</t>
        </is>
      </c>
      <c r="C42" s="120">
        <f>E145</f>
        <v/>
      </c>
      <c r="D42" s="120">
        <f>F145</f>
        <v/>
      </c>
      <c r="E42" s="17" t="n"/>
      <c r="F42" s="17" t="n"/>
      <c r="G42" s="17" t="n"/>
    </row>
    <row r="43">
      <c r="A43" s="17" t="inlineStr">
        <is>
          <t>Deferred Tax Liabilities (Net)</t>
        </is>
      </c>
      <c r="B43" s="17" t="inlineStr">
        <is>
          <t>12</t>
        </is>
      </c>
      <c r="C43" s="120">
        <f>E108</f>
        <v/>
      </c>
      <c r="D43" s="120">
        <f>F108</f>
        <v/>
      </c>
      <c r="E43" s="17" t="n"/>
      <c r="F43" s="17" t="n"/>
      <c r="G43" s="17" t="n"/>
    </row>
    <row r="44">
      <c r="A44" s="17" t="inlineStr">
        <is>
          <t>Other Non-current Liabilities</t>
        </is>
      </c>
      <c r="B44" s="17" t="inlineStr">
        <is>
          <t>25</t>
        </is>
      </c>
      <c r="C44" s="120">
        <f>E149</f>
        <v/>
      </c>
      <c r="D44" s="120">
        <f>F149</f>
        <v/>
      </c>
      <c r="E44" s="17" t="n"/>
      <c r="F44" s="17" t="n"/>
      <c r="G44" s="17" t="n"/>
    </row>
    <row r="45">
      <c r="A45" s="61" t="inlineStr">
        <is>
          <t>Current Liabilities</t>
        </is>
      </c>
      <c r="B45" s="61" t="str"/>
      <c r="C45" s="119" t="n"/>
      <c r="D45" s="119" t="n"/>
      <c r="E45" s="17" t="n"/>
      <c r="F45" s="17" t="n"/>
      <c r="G45" s="17" t="n"/>
    </row>
    <row r="46">
      <c r="A46" s="17" t="inlineStr">
        <is>
          <t>Financial Liabilities - Borrowings</t>
        </is>
      </c>
      <c r="B46" s="17" t="inlineStr">
        <is>
          <t>21</t>
        </is>
      </c>
      <c r="C46" s="120">
        <f>E137</f>
        <v/>
      </c>
      <c r="D46" s="120">
        <f>F137</f>
        <v/>
      </c>
      <c r="E46" s="17" t="n"/>
      <c r="F46" s="17" t="n"/>
      <c r="G46" s="17" t="n"/>
    </row>
    <row r="47">
      <c r="A47" s="17" t="inlineStr">
        <is>
          <t>Trade Payables</t>
        </is>
      </c>
      <c r="B47" s="17" t="inlineStr">
        <is>
          <t>22</t>
        </is>
      </c>
      <c r="C47" s="120">
        <f>E140</f>
        <v/>
      </c>
      <c r="D47" s="120">
        <f>F140</f>
        <v/>
      </c>
      <c r="E47" s="17" t="n"/>
      <c r="F47" s="17" t="n"/>
      <c r="G47" s="17" t="n"/>
    </row>
    <row r="48">
      <c r="A48" s="17" t="inlineStr">
        <is>
          <t>Other Financial Liabilities</t>
        </is>
      </c>
      <c r="B48" s="17" t="inlineStr">
        <is>
          <t>23</t>
        </is>
      </c>
      <c r="C48" s="120">
        <f>E142</f>
        <v/>
      </c>
      <c r="D48" s="120">
        <f>F142</f>
        <v/>
      </c>
      <c r="E48" s="17" t="n"/>
      <c r="F48" s="17" t="n"/>
      <c r="G48" s="17" t="n"/>
    </row>
    <row r="49">
      <c r="A49" s="17" t="inlineStr">
        <is>
          <t>Other Current Liabilities</t>
        </is>
      </c>
      <c r="B49" s="17" t="inlineStr">
        <is>
          <t>25</t>
        </is>
      </c>
      <c r="C49" s="120">
        <f>E149</f>
        <v/>
      </c>
      <c r="D49" s="120">
        <f>F149</f>
        <v/>
      </c>
      <c r="E49" s="17" t="n"/>
      <c r="F49" s="17" t="n"/>
      <c r="G49" s="17" t="n"/>
    </row>
    <row r="50">
      <c r="A50" s="17" t="inlineStr">
        <is>
          <t>Provisions</t>
        </is>
      </c>
      <c r="B50" s="17" t="inlineStr">
        <is>
          <t>24</t>
        </is>
      </c>
      <c r="C50" s="120">
        <f>E145</f>
        <v/>
      </c>
      <c r="D50" s="120">
        <f>F145</f>
        <v/>
      </c>
      <c r="E50" s="17" t="n"/>
      <c r="F50" s="17" t="n"/>
      <c r="G50" s="17" t="n"/>
    </row>
    <row r="51">
      <c r="A51" s="17" t="inlineStr">
        <is>
          <t>Current Tax Liabilities (Net)</t>
        </is>
      </c>
      <c r="B51" s="17" t="inlineStr">
        <is>
          <t>15</t>
        </is>
      </c>
      <c r="C51" s="120">
        <f>E119</f>
        <v/>
      </c>
      <c r="D51" s="120">
        <f>F119</f>
        <v/>
      </c>
      <c r="E51" s="17" t="n"/>
      <c r="F51" s="17" t="n"/>
      <c r="G51" s="17" t="n"/>
    </row>
    <row r="52">
      <c r="A52" s="65" t="inlineStr">
        <is>
          <t>TOTAL EQUITY AND LIABILITIES</t>
        </is>
      </c>
      <c r="B52" s="65" t="str"/>
      <c r="C52" s="122">
        <f>SUM(C36,C37,C39,C40,C41,C42,C43,C44,C46,C47,C48,C49,C50,C51)</f>
        <v/>
      </c>
      <c r="D52" s="122">
        <f>SUM(D36,D37,D39,D40,D41,D42,D43,D44,D46,D47,D48,D49,D50,D51)</f>
        <v/>
      </c>
      <c r="E52" s="17" t="n"/>
      <c r="F52" s="17" t="n"/>
      <c r="G52" s="17" t="n"/>
    </row>
    <row r="53">
      <c r="A53" s="17" t="n"/>
      <c r="B53" s="17" t="n"/>
      <c r="C53" s="120" t="n"/>
      <c r="D53" s="120" t="n"/>
      <c r="E53" s="17" t="n"/>
      <c r="F53" s="17" t="n"/>
      <c r="G53" s="17" t="n"/>
    </row>
    <row r="54">
      <c r="A54" s="17" t="n"/>
      <c r="B54" s="17" t="n"/>
      <c r="C54" s="120" t="n"/>
      <c r="D54" s="120" t="n"/>
      <c r="E54" s="17" t="n"/>
      <c r="F54" s="17" t="n"/>
      <c r="G54" s="17" t="n"/>
    </row>
    <row r="55">
      <c r="A55" s="71" t="inlineStr">
        <is>
          <t>Statement of Profit &amp; Loss / Income &amp; Expenditure / Revenue Account</t>
        </is>
      </c>
      <c r="B55" s="1" t="n"/>
      <c r="C55" s="1" t="n"/>
      <c r="D55" s="1" t="n"/>
      <c r="E55" s="17" t="n"/>
      <c r="F55" s="17" t="n"/>
      <c r="G55" s="17" t="n"/>
    </row>
    <row r="56">
      <c r="A56" s="14" t="inlineStr">
        <is>
          <t>Particulars</t>
        </is>
      </c>
      <c r="B56" s="14" t="inlineStr">
        <is>
          <t>Note No.</t>
        </is>
      </c>
      <c r="C56" s="123" t="inlineStr">
        <is>
          <t>Current Reporting Period</t>
        </is>
      </c>
      <c r="D56" s="123" t="inlineStr">
        <is>
          <t>Previous Reporting Period</t>
        </is>
      </c>
      <c r="E56" s="17" t="n"/>
      <c r="F56" s="17" t="n"/>
      <c r="G56" s="17" t="n"/>
    </row>
    <row r="57">
      <c r="A57" s="17" t="inlineStr">
        <is>
          <t>Revenue from Operations</t>
        </is>
      </c>
      <c r="B57" s="17" t="inlineStr">
        <is>
          <t>26</t>
        </is>
      </c>
      <c r="C57" s="120">
        <f>E153</f>
        <v/>
      </c>
      <c r="D57" s="120">
        <f>F153</f>
        <v/>
      </c>
      <c r="E57" s="17" t="n"/>
      <c r="F57" s="17" t="n"/>
      <c r="G57" s="17" t="n"/>
    </row>
    <row r="58">
      <c r="A58" s="17" t="inlineStr">
        <is>
          <t>Other Income</t>
        </is>
      </c>
      <c r="B58" s="17" t="inlineStr">
        <is>
          <t>27</t>
        </is>
      </c>
      <c r="C58" s="120">
        <f>E157</f>
        <v/>
      </c>
      <c r="D58" s="120">
        <f>F157</f>
        <v/>
      </c>
      <c r="E58" s="17" t="n"/>
      <c r="F58" s="17" t="n"/>
      <c r="G58" s="17" t="n"/>
    </row>
    <row r="59">
      <c r="A59" s="65" t="inlineStr">
        <is>
          <t>TOTAL INCOME</t>
        </is>
      </c>
      <c r="B59" s="65" t="str"/>
      <c r="C59" s="122">
        <f>SUM(C57,C58)</f>
        <v/>
      </c>
      <c r="D59" s="122">
        <f>SUM(D57,D58)</f>
        <v/>
      </c>
      <c r="E59" s="17" t="n"/>
      <c r="F59" s="17" t="n"/>
      <c r="G59" s="17" t="n"/>
    </row>
    <row r="60">
      <c r="A60" s="42" t="inlineStr">
        <is>
          <t>EXPENSES</t>
        </is>
      </c>
      <c r="B60" s="42" t="str"/>
      <c r="C60" s="118" t="n"/>
      <c r="D60" s="118" t="n"/>
      <c r="E60" s="17" t="n"/>
      <c r="F60" s="17" t="n"/>
      <c r="G60" s="17" t="n"/>
    </row>
    <row r="61">
      <c r="A61" s="17" t="inlineStr">
        <is>
          <t>Cost of Materials Consumed</t>
        </is>
      </c>
      <c r="B61" s="17" t="inlineStr">
        <is>
          <t>28</t>
        </is>
      </c>
      <c r="C61" s="120">
        <f>E159</f>
        <v/>
      </c>
      <c r="D61" s="120">
        <f>F159</f>
        <v/>
      </c>
      <c r="E61" s="17" t="n"/>
      <c r="F61" s="17" t="n"/>
      <c r="G61" s="17" t="n"/>
    </row>
    <row r="62">
      <c r="A62" s="17" t="inlineStr">
        <is>
          <t>Purchases of Stock-in-Trade</t>
        </is>
      </c>
      <c r="B62" s="17" t="inlineStr">
        <is>
          <t>29</t>
        </is>
      </c>
      <c r="C62" s="120">
        <f>E161</f>
        <v/>
      </c>
      <c r="D62" s="120">
        <f>F161</f>
        <v/>
      </c>
      <c r="E62" s="17" t="n"/>
      <c r="F62" s="17" t="n"/>
      <c r="G62" s="17" t="n"/>
    </row>
    <row r="63">
      <c r="A63" s="17" t="inlineStr">
        <is>
          <t>Changes in Inventories</t>
        </is>
      </c>
      <c r="B63" s="17" t="inlineStr">
        <is>
          <t>30</t>
        </is>
      </c>
      <c r="C63" s="120">
        <f>E163</f>
        <v/>
      </c>
      <c r="D63" s="120">
        <f>F163</f>
        <v/>
      </c>
      <c r="E63" s="17" t="n"/>
      <c r="F63" s="17" t="n"/>
      <c r="G63" s="17" t="n"/>
    </row>
    <row r="64">
      <c r="A64" s="17" t="inlineStr">
        <is>
          <t>Employee Benefits Expense</t>
        </is>
      </c>
      <c r="B64" s="17" t="inlineStr">
        <is>
          <t>31</t>
        </is>
      </c>
      <c r="C64" s="120">
        <f>E165</f>
        <v/>
      </c>
      <c r="D64" s="120">
        <f>F165</f>
        <v/>
      </c>
      <c r="E64" s="17" t="n"/>
      <c r="F64" s="17" t="n"/>
      <c r="G64" s="17" t="n"/>
    </row>
    <row r="65">
      <c r="A65" s="17" t="inlineStr">
        <is>
          <t>Finance Costs</t>
        </is>
      </c>
      <c r="B65" s="17" t="inlineStr">
        <is>
          <t>32</t>
        </is>
      </c>
      <c r="C65" s="120">
        <f>E167</f>
        <v/>
      </c>
      <c r="D65" s="120">
        <f>F167</f>
        <v/>
      </c>
      <c r="E65" s="17" t="n"/>
      <c r="F65" s="17" t="n"/>
      <c r="G65" s="17" t="n"/>
    </row>
    <row r="66">
      <c r="A66" s="17" t="inlineStr">
        <is>
          <t>Depreciation and Amortisation</t>
        </is>
      </c>
      <c r="B66" s="17" t="inlineStr">
        <is>
          <t>33</t>
        </is>
      </c>
      <c r="C66" s="120">
        <f>E170</f>
        <v/>
      </c>
      <c r="D66" s="120">
        <f>F170</f>
        <v/>
      </c>
      <c r="E66" s="17" t="n"/>
      <c r="F66" s="17" t="n"/>
      <c r="G66" s="17" t="n"/>
    </row>
    <row r="67">
      <c r="A67" s="17" t="inlineStr">
        <is>
          <t>Other Expenses</t>
        </is>
      </c>
      <c r="B67" s="17" t="inlineStr">
        <is>
          <t>34</t>
        </is>
      </c>
      <c r="C67" s="120">
        <f>E172</f>
        <v/>
      </c>
      <c r="D67" s="120">
        <f>F172</f>
        <v/>
      </c>
      <c r="E67" s="17" t="n"/>
      <c r="F67" s="17" t="n"/>
      <c r="G67" s="17" t="n"/>
    </row>
    <row r="68">
      <c r="A68" s="65" t="inlineStr">
        <is>
          <t>TOTAL EXPENSES</t>
        </is>
      </c>
      <c r="B68" s="65" t="str"/>
      <c r="C68" s="122">
        <f>SUM(C61,C62,C63,C64,C65,C66,C67)</f>
        <v/>
      </c>
      <c r="D68" s="122">
        <f>SUM(D61,D62,D63,D64,D65,D66,D67)</f>
        <v/>
      </c>
      <c r="E68" s="17" t="n"/>
      <c r="F68" s="17" t="n"/>
      <c r="G68" s="17" t="n"/>
    </row>
    <row r="69">
      <c r="A69" s="65" t="inlineStr">
        <is>
          <t>Profit Before Tax</t>
        </is>
      </c>
      <c r="B69" s="65" t="str"/>
      <c r="C69" s="122">
        <f>C59-C68</f>
        <v/>
      </c>
      <c r="D69" s="122">
        <f>D59-D68</f>
        <v/>
      </c>
      <c r="E69" s="17" t="n"/>
      <c r="F69" s="17" t="n"/>
      <c r="G69" s="17" t="n"/>
    </row>
    <row r="70">
      <c r="A70" s="17" t="inlineStr">
        <is>
          <t>Current Tax</t>
        </is>
      </c>
      <c r="B70" s="17" t="inlineStr">
        <is>
          <t>—</t>
        </is>
      </c>
      <c r="C70" s="121" t="n"/>
      <c r="D70" s="121" t="n"/>
      <c r="E70" s="17" t="n"/>
      <c r="F70" s="17" t="n"/>
      <c r="G70" s="17" t="n"/>
    </row>
    <row r="71">
      <c r="A71" s="17" t="inlineStr">
        <is>
          <t>Deferred Tax</t>
        </is>
      </c>
      <c r="B71" s="17" t="inlineStr">
        <is>
          <t>—</t>
        </is>
      </c>
      <c r="C71" s="121" t="n"/>
      <c r="D71" s="121" t="n"/>
      <c r="E71" s="17" t="n"/>
      <c r="F71" s="17" t="n"/>
      <c r="G71" s="17" t="n"/>
    </row>
    <row r="72">
      <c r="A72" s="65" t="inlineStr">
        <is>
          <t>Profit for the Period</t>
        </is>
      </c>
      <c r="B72" s="65" t="str"/>
      <c r="C72" s="122">
        <f>C69-SUM(C70,C71)</f>
        <v/>
      </c>
      <c r="D72" s="122">
        <f>D69-SUM(D70,D71)</f>
        <v/>
      </c>
      <c r="E72" s="17" t="n"/>
      <c r="F72" s="17" t="n"/>
      <c r="G72" s="17" t="n"/>
    </row>
    <row r="73">
      <c r="A73" s="17" t="inlineStr">
        <is>
          <t>Other Comprehensive Income</t>
        </is>
      </c>
      <c r="B73" s="17" t="inlineStr">
        <is>
          <t>35</t>
        </is>
      </c>
      <c r="C73" s="120">
        <f>E176</f>
        <v/>
      </c>
      <c r="D73" s="120">
        <f>F176</f>
        <v/>
      </c>
      <c r="E73" s="17" t="n"/>
      <c r="F73" s="17" t="n"/>
      <c r="G73" s="17" t="n"/>
    </row>
    <row r="74">
      <c r="A74" s="65" t="inlineStr">
        <is>
          <t>Total Comprehensive Income</t>
        </is>
      </c>
      <c r="B74" s="65" t="str"/>
      <c r="C74" s="122">
        <f>C72+SUM(C73)</f>
        <v/>
      </c>
      <c r="D74" s="122">
        <f>D72+SUM(D73)</f>
        <v/>
      </c>
      <c r="E74" s="17" t="n"/>
      <c r="F74" s="17" t="n"/>
      <c r="G74" s="17" t="n"/>
    </row>
    <row r="75">
      <c r="A75" s="17" t="n"/>
      <c r="B75" s="17" t="n"/>
      <c r="C75" s="17" t="n"/>
      <c r="D75" s="17" t="n"/>
      <c r="E75" s="17" t="n"/>
      <c r="F75" s="17" t="n"/>
      <c r="G75" s="17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 ht="26" customHeight="1" s="82">
      <c r="A77" s="79" t="inlineStr">
        <is>
          <t>Notes / Schedules — linked source for face statements</t>
        </is>
      </c>
      <c r="B77" s="1" t="n"/>
      <c r="C77" s="1" t="n"/>
      <c r="D77" s="1" t="n"/>
      <c r="E77" s="1" t="n"/>
      <c r="F77" s="1" t="n"/>
      <c r="G77" s="1" t="n"/>
    </row>
    <row r="78">
      <c r="A78" s="14" t="inlineStr">
        <is>
          <t>Note</t>
        </is>
      </c>
      <c r="B78" s="14" t="inlineStr">
        <is>
          <t>Note Title</t>
        </is>
      </c>
      <c r="C78" s="14" t="inlineStr">
        <is>
          <t>Statutory Line Item</t>
        </is>
      </c>
      <c r="D78" s="14" t="inlineStr">
        <is>
          <t>AAH Mapping Key</t>
        </is>
      </c>
      <c r="E78" s="14" t="inlineStr">
        <is>
          <t>Current Period</t>
        </is>
      </c>
      <c r="F78" s="14" t="inlineStr">
        <is>
          <t>Previous Period</t>
        </is>
      </c>
      <c r="G78" s="14" t="inlineStr">
        <is>
          <t>Disclosure / Remarks</t>
        </is>
      </c>
    </row>
    <row r="79">
      <c r="A79" s="17" t="inlineStr">
        <is>
          <t>1</t>
        </is>
      </c>
      <c r="B79" s="17" t="inlineStr">
        <is>
          <t>Property, Plant and Equipment</t>
        </is>
      </c>
      <c r="C79" s="17" t="inlineStr">
        <is>
          <t>Land</t>
        </is>
      </c>
      <c r="D79" s="17" t="inlineStr">
        <is>
          <t>PPE_LAND</t>
        </is>
      </c>
      <c r="E79" s="121" t="n">
        <v>0</v>
      </c>
      <c r="F79" s="121" t="n">
        <v>0</v>
      </c>
      <c r="G79" s="59" t="str"/>
    </row>
    <row r="80">
      <c r="A80" s="17" t="inlineStr">
        <is>
          <t>1</t>
        </is>
      </c>
      <c r="B80" s="17" t="inlineStr">
        <is>
          <t>Property, Plant and Equipment</t>
        </is>
      </c>
      <c r="C80" s="17" t="inlineStr">
        <is>
          <t>Buildings</t>
        </is>
      </c>
      <c r="D80" s="17" t="inlineStr">
        <is>
          <t>PPE_BUILD</t>
        </is>
      </c>
      <c r="E80" s="121" t="n">
        <v>0</v>
      </c>
      <c r="F80" s="121" t="n">
        <v>0</v>
      </c>
      <c r="G80" s="59" t="str"/>
    </row>
    <row r="81">
      <c r="A81" s="17" t="inlineStr">
        <is>
          <t>1</t>
        </is>
      </c>
      <c r="B81" s="17" t="inlineStr">
        <is>
          <t>Property, Plant and Equipment</t>
        </is>
      </c>
      <c r="C81" s="17" t="inlineStr">
        <is>
          <t>Plant and equipment</t>
        </is>
      </c>
      <c r="D81" s="17" t="inlineStr">
        <is>
          <t>PPE_PLANT</t>
        </is>
      </c>
      <c r="E81" s="121" t="n">
        <v>0</v>
      </c>
      <c r="F81" s="121" t="n">
        <v>0</v>
      </c>
      <c r="G81" s="59" t="str"/>
    </row>
    <row r="82">
      <c r="A82" s="17" t="inlineStr">
        <is>
          <t>1</t>
        </is>
      </c>
      <c r="B82" s="17" t="inlineStr">
        <is>
          <t>Property, Plant and Equipment</t>
        </is>
      </c>
      <c r="C82" s="17" t="inlineStr">
        <is>
          <t>Other PPE</t>
        </is>
      </c>
      <c r="D82" s="17" t="inlineStr">
        <is>
          <t>PPE_OTHER</t>
        </is>
      </c>
      <c r="E82" s="121" t="n">
        <v>0</v>
      </c>
      <c r="F82" s="121" t="n">
        <v>0</v>
      </c>
      <c r="G82" s="59" t="str"/>
    </row>
    <row r="83">
      <c r="A83" s="65" t="inlineStr">
        <is>
          <t>1</t>
        </is>
      </c>
      <c r="B83" s="65" t="inlineStr">
        <is>
          <t>Property, Plant and Equipment</t>
        </is>
      </c>
      <c r="C83" s="65" t="inlineStr">
        <is>
          <t>Total — Property, Plant and Equipment</t>
        </is>
      </c>
      <c r="D83" s="65" t="inlineStr">
        <is>
          <t>__TOTAL__</t>
        </is>
      </c>
      <c r="E83" s="122">
        <f>SUM(E79:E82)</f>
        <v/>
      </c>
      <c r="F83" s="122">
        <f>SUM(F79:F82)</f>
        <v/>
      </c>
      <c r="G83" s="65" t="str"/>
    </row>
    <row r="84">
      <c r="A84" s="17" t="inlineStr">
        <is>
          <t>2</t>
        </is>
      </c>
      <c r="B84" s="17" t="inlineStr">
        <is>
          <t>Capital Work-in-Progress</t>
        </is>
      </c>
      <c r="C84" s="17" t="inlineStr">
        <is>
          <t>CWIP</t>
        </is>
      </c>
      <c r="D84" s="17" t="inlineStr">
        <is>
          <t>CWIP</t>
        </is>
      </c>
      <c r="E84" s="121" t="n">
        <v>0</v>
      </c>
      <c r="F84" s="121" t="n">
        <v>0</v>
      </c>
      <c r="G84" s="59" t="str"/>
    </row>
    <row r="85">
      <c r="A85" s="65" t="inlineStr">
        <is>
          <t>2</t>
        </is>
      </c>
      <c r="B85" s="65" t="inlineStr">
        <is>
          <t>Capital Work-in-Progress</t>
        </is>
      </c>
      <c r="C85" s="65" t="inlineStr">
        <is>
          <t>Total — Capital Work-in-Progress</t>
        </is>
      </c>
      <c r="D85" s="65" t="inlineStr">
        <is>
          <t>__TOTAL__</t>
        </is>
      </c>
      <c r="E85" s="122">
        <f>SUM(E84:E84)</f>
        <v/>
      </c>
      <c r="F85" s="122">
        <f>SUM(F84:F84)</f>
        <v/>
      </c>
      <c r="G85" s="65" t="str"/>
    </row>
    <row r="86">
      <c r="A86" s="17" t="inlineStr">
        <is>
          <t>3</t>
        </is>
      </c>
      <c r="B86" s="17" t="inlineStr">
        <is>
          <t>Investment Property</t>
        </is>
      </c>
      <c r="C86" s="17" t="inlineStr">
        <is>
          <t>Investment property</t>
        </is>
      </c>
      <c r="D86" s="17" t="inlineStr">
        <is>
          <t>INVPROP</t>
        </is>
      </c>
      <c r="E86" s="121" t="n">
        <v>0</v>
      </c>
      <c r="F86" s="121" t="n">
        <v>0</v>
      </c>
      <c r="G86" s="59" t="str"/>
    </row>
    <row r="87">
      <c r="A87" s="65" t="inlineStr">
        <is>
          <t>3</t>
        </is>
      </c>
      <c r="B87" s="65" t="inlineStr">
        <is>
          <t>Investment Property</t>
        </is>
      </c>
      <c r="C87" s="65" t="inlineStr">
        <is>
          <t>Total — Investment Property</t>
        </is>
      </c>
      <c r="D87" s="65" t="inlineStr">
        <is>
          <t>__TOTAL__</t>
        </is>
      </c>
      <c r="E87" s="122">
        <f>SUM(E86:E86)</f>
        <v/>
      </c>
      <c r="F87" s="122">
        <f>SUM(F86:F86)</f>
        <v/>
      </c>
      <c r="G87" s="65" t="str"/>
    </row>
    <row r="88">
      <c r="A88" s="17" t="inlineStr">
        <is>
          <t>4</t>
        </is>
      </c>
      <c r="B88" s="17" t="inlineStr">
        <is>
          <t>Goodwill</t>
        </is>
      </c>
      <c r="C88" s="17" t="inlineStr">
        <is>
          <t>Goodwill</t>
        </is>
      </c>
      <c r="D88" s="17" t="inlineStr">
        <is>
          <t>GOODWILL</t>
        </is>
      </c>
      <c r="E88" s="121" t="n">
        <v>0</v>
      </c>
      <c r="F88" s="121" t="n">
        <v>0</v>
      </c>
      <c r="G88" s="59" t="str"/>
    </row>
    <row r="89">
      <c r="A89" s="65" t="inlineStr">
        <is>
          <t>4</t>
        </is>
      </c>
      <c r="B89" s="65" t="inlineStr">
        <is>
          <t>Goodwill</t>
        </is>
      </c>
      <c r="C89" s="65" t="inlineStr">
        <is>
          <t>Total — Goodwill</t>
        </is>
      </c>
      <c r="D89" s="65" t="inlineStr">
        <is>
          <t>__TOTAL__</t>
        </is>
      </c>
      <c r="E89" s="122">
        <f>SUM(E88:E88)</f>
        <v/>
      </c>
      <c r="F89" s="122">
        <f>SUM(F88:F88)</f>
        <v/>
      </c>
      <c r="G89" s="65" t="str"/>
    </row>
    <row r="90">
      <c r="A90" s="17" t="inlineStr">
        <is>
          <t>5</t>
        </is>
      </c>
      <c r="B90" s="17" t="inlineStr">
        <is>
          <t>Other Intangible Assets</t>
        </is>
      </c>
      <c r="C90" s="17" t="inlineStr">
        <is>
          <t>Intangible assets</t>
        </is>
      </c>
      <c r="D90" s="17" t="inlineStr">
        <is>
          <t>INTANG</t>
        </is>
      </c>
      <c r="E90" s="121" t="n">
        <v>0</v>
      </c>
      <c r="F90" s="121" t="n">
        <v>0</v>
      </c>
      <c r="G90" s="59" t="str"/>
    </row>
    <row r="91">
      <c r="A91" s="65" t="inlineStr">
        <is>
          <t>5</t>
        </is>
      </c>
      <c r="B91" s="65" t="inlineStr">
        <is>
          <t>Other Intangible Assets</t>
        </is>
      </c>
      <c r="C91" s="65" t="inlineStr">
        <is>
          <t>Total — Other Intangible Assets</t>
        </is>
      </c>
      <c r="D91" s="65" t="inlineStr">
        <is>
          <t>__TOTAL__</t>
        </is>
      </c>
      <c r="E91" s="122">
        <f>SUM(E90:E90)</f>
        <v/>
      </c>
      <c r="F91" s="122">
        <f>SUM(F90:F90)</f>
        <v/>
      </c>
      <c r="G91" s="65" t="str"/>
    </row>
    <row r="92">
      <c r="A92" s="17" t="inlineStr">
        <is>
          <t>6</t>
        </is>
      </c>
      <c r="B92" s="17" t="inlineStr">
        <is>
          <t>Intangible Assets under Development</t>
        </is>
      </c>
      <c r="C92" s="17" t="inlineStr">
        <is>
          <t>IAUD</t>
        </is>
      </c>
      <c r="D92" s="17" t="inlineStr">
        <is>
          <t>IAUD</t>
        </is>
      </c>
      <c r="E92" s="121" t="n">
        <v>0</v>
      </c>
      <c r="F92" s="121" t="n">
        <v>0</v>
      </c>
      <c r="G92" s="59" t="str"/>
    </row>
    <row r="93">
      <c r="A93" s="65" t="inlineStr">
        <is>
          <t>6</t>
        </is>
      </c>
      <c r="B93" s="65" t="inlineStr">
        <is>
          <t>Intangible Assets under Development</t>
        </is>
      </c>
      <c r="C93" s="65" t="inlineStr">
        <is>
          <t>Total — Intangible Assets under Development</t>
        </is>
      </c>
      <c r="D93" s="65" t="inlineStr">
        <is>
          <t>__TOTAL__</t>
        </is>
      </c>
      <c r="E93" s="122">
        <f>SUM(E92:E92)</f>
        <v/>
      </c>
      <c r="F93" s="122">
        <f>SUM(F92:F92)</f>
        <v/>
      </c>
      <c r="G93" s="65" t="str"/>
    </row>
    <row r="94">
      <c r="A94" s="17" t="inlineStr">
        <is>
          <t>7</t>
        </is>
      </c>
      <c r="B94" s="17" t="inlineStr">
        <is>
          <t>Biological Assets other than Bearer Plants</t>
        </is>
      </c>
      <c r="C94" s="17" t="inlineStr">
        <is>
          <t>Biological assets</t>
        </is>
      </c>
      <c r="D94" s="17" t="inlineStr">
        <is>
          <t>BIOASSET</t>
        </is>
      </c>
      <c r="E94" s="121" t="n">
        <v>0</v>
      </c>
      <c r="F94" s="121" t="n">
        <v>0</v>
      </c>
      <c r="G94" s="59" t="str"/>
    </row>
    <row r="95">
      <c r="A95" s="65" t="inlineStr">
        <is>
          <t>7</t>
        </is>
      </c>
      <c r="B95" s="65" t="inlineStr">
        <is>
          <t>Biological Assets other than Bearer Plants</t>
        </is>
      </c>
      <c r="C95" s="65" t="inlineStr">
        <is>
          <t>Total — Biological Assets other than Bearer Plants</t>
        </is>
      </c>
      <c r="D95" s="65" t="inlineStr">
        <is>
          <t>__TOTAL__</t>
        </is>
      </c>
      <c r="E95" s="122">
        <f>SUM(E94:E94)</f>
        <v/>
      </c>
      <c r="F95" s="122">
        <f>SUM(F94:F94)</f>
        <v/>
      </c>
      <c r="G95" s="65" t="str"/>
    </row>
    <row r="96">
      <c r="A96" s="17" t="inlineStr">
        <is>
          <t>8</t>
        </is>
      </c>
      <c r="B96" s="17" t="inlineStr">
        <is>
          <t>Financial Assets - Investments</t>
        </is>
      </c>
      <c r="C96" s="17" t="inlineStr">
        <is>
          <t>Equity instruments</t>
        </is>
      </c>
      <c r="D96" s="17" t="inlineStr">
        <is>
          <t>FININV_EQUITY</t>
        </is>
      </c>
      <c r="E96" s="121" t="n">
        <v>0</v>
      </c>
      <c r="F96" s="121" t="n">
        <v>0</v>
      </c>
      <c r="G96" s="59" t="str"/>
    </row>
    <row r="97">
      <c r="A97" s="17" t="inlineStr">
        <is>
          <t>8</t>
        </is>
      </c>
      <c r="B97" s="17" t="inlineStr">
        <is>
          <t>Financial Assets - Investments</t>
        </is>
      </c>
      <c r="C97" s="17" t="inlineStr">
        <is>
          <t>Debt instruments</t>
        </is>
      </c>
      <c r="D97" s="17" t="inlineStr">
        <is>
          <t>FININV_DEBT</t>
        </is>
      </c>
      <c r="E97" s="121" t="n">
        <v>0</v>
      </c>
      <c r="F97" s="121" t="n">
        <v>0</v>
      </c>
      <c r="G97" s="59" t="str"/>
    </row>
    <row r="98">
      <c r="A98" s="17" t="inlineStr">
        <is>
          <t>8</t>
        </is>
      </c>
      <c r="B98" s="17" t="inlineStr">
        <is>
          <t>Financial Assets - Investments</t>
        </is>
      </c>
      <c r="C98" s="17" t="inlineStr">
        <is>
          <t>Other investments</t>
        </is>
      </c>
      <c r="D98" s="17" t="inlineStr">
        <is>
          <t>FININV_OTHER</t>
        </is>
      </c>
      <c r="E98" s="121" t="n">
        <v>0</v>
      </c>
      <c r="F98" s="121" t="n">
        <v>0</v>
      </c>
      <c r="G98" s="59" t="str"/>
    </row>
    <row r="99">
      <c r="A99" s="65" t="inlineStr">
        <is>
          <t>8</t>
        </is>
      </c>
      <c r="B99" s="65" t="inlineStr">
        <is>
          <t>Financial Assets - Investments</t>
        </is>
      </c>
      <c r="C99" s="65" t="inlineStr">
        <is>
          <t>Total — Financial Assets - Investments</t>
        </is>
      </c>
      <c r="D99" s="65" t="inlineStr">
        <is>
          <t>__TOTAL__</t>
        </is>
      </c>
      <c r="E99" s="122">
        <f>SUM(E96:E98)</f>
        <v/>
      </c>
      <c r="F99" s="122">
        <f>SUM(F96:F98)</f>
        <v/>
      </c>
      <c r="G99" s="65" t="str"/>
    </row>
    <row r="100">
      <c r="A100" s="17" t="inlineStr">
        <is>
          <t>9</t>
        </is>
      </c>
      <c r="B100" s="17" t="inlineStr">
        <is>
          <t>Financial Assets - Trade Receivables</t>
        </is>
      </c>
      <c r="C100" s="17" t="inlineStr">
        <is>
          <t>Trade receivables</t>
        </is>
      </c>
      <c r="D100" s="17" t="inlineStr">
        <is>
          <t>FA_TR</t>
        </is>
      </c>
      <c r="E100" s="121" t="n">
        <v>0</v>
      </c>
      <c r="F100" s="121" t="n">
        <v>0</v>
      </c>
      <c r="G100" s="59" t="str"/>
    </row>
    <row r="101">
      <c r="A101" s="17" t="inlineStr">
        <is>
          <t>9</t>
        </is>
      </c>
      <c r="B101" s="17" t="inlineStr">
        <is>
          <t>Financial Assets - Trade Receivables</t>
        </is>
      </c>
      <c r="C101" s="17" t="inlineStr">
        <is>
          <t>Allowance</t>
        </is>
      </c>
      <c r="D101" s="17" t="inlineStr">
        <is>
          <t>FA_TR_ALLOW</t>
        </is>
      </c>
      <c r="E101" s="121" t="n">
        <v>0</v>
      </c>
      <c r="F101" s="121" t="n">
        <v>0</v>
      </c>
      <c r="G101" s="59" t="str"/>
    </row>
    <row r="102">
      <c r="A102" s="65" t="inlineStr">
        <is>
          <t>9</t>
        </is>
      </c>
      <c r="B102" s="65" t="inlineStr">
        <is>
          <t>Financial Assets - Trade Receivables</t>
        </is>
      </c>
      <c r="C102" s="65" t="inlineStr">
        <is>
          <t>Total — Financial Assets - Trade Receivables</t>
        </is>
      </c>
      <c r="D102" s="65" t="inlineStr">
        <is>
          <t>__TOTAL__</t>
        </is>
      </c>
      <c r="E102" s="122">
        <f>SUM(E100:E101)</f>
        <v/>
      </c>
      <c r="F102" s="122">
        <f>SUM(F100:F101)</f>
        <v/>
      </c>
      <c r="G102" s="65" t="str"/>
    </row>
    <row r="103">
      <c r="A103" s="17" t="inlineStr">
        <is>
          <t>10</t>
        </is>
      </c>
      <c r="B103" s="17" t="inlineStr">
        <is>
          <t>Financial Assets - Loans</t>
        </is>
      </c>
      <c r="C103" s="17" t="inlineStr">
        <is>
          <t>Loans</t>
        </is>
      </c>
      <c r="D103" s="17" t="inlineStr">
        <is>
          <t>FA_LOANS</t>
        </is>
      </c>
      <c r="E103" s="121" t="n">
        <v>0</v>
      </c>
      <c r="F103" s="121" t="n">
        <v>0</v>
      </c>
      <c r="G103" s="59" t="str"/>
    </row>
    <row r="104">
      <c r="A104" s="65" t="inlineStr">
        <is>
          <t>10</t>
        </is>
      </c>
      <c r="B104" s="65" t="inlineStr">
        <is>
          <t>Financial Assets - Loans</t>
        </is>
      </c>
      <c r="C104" s="65" t="inlineStr">
        <is>
          <t>Total — Financial Assets - Loans</t>
        </is>
      </c>
      <c r="D104" s="65" t="inlineStr">
        <is>
          <t>__TOTAL__</t>
        </is>
      </c>
      <c r="E104" s="122">
        <f>SUM(E103:E103)</f>
        <v/>
      </c>
      <c r="F104" s="122">
        <f>SUM(F103:F103)</f>
        <v/>
      </c>
      <c r="G104" s="65" t="str"/>
    </row>
    <row r="105">
      <c r="A105" s="17" t="inlineStr">
        <is>
          <t>11</t>
        </is>
      </c>
      <c r="B105" s="17" t="inlineStr">
        <is>
          <t>Other Financial Assets</t>
        </is>
      </c>
      <c r="C105" s="17" t="inlineStr">
        <is>
          <t>Other financial assets</t>
        </is>
      </c>
      <c r="D105" s="17" t="inlineStr">
        <is>
          <t>FA_OTHER</t>
        </is>
      </c>
      <c r="E105" s="121" t="n">
        <v>0</v>
      </c>
      <c r="F105" s="121" t="n">
        <v>0</v>
      </c>
      <c r="G105" s="59" t="str"/>
    </row>
    <row r="106">
      <c r="A106" s="65" t="inlineStr">
        <is>
          <t>11</t>
        </is>
      </c>
      <c r="B106" s="65" t="inlineStr">
        <is>
          <t>Other Financial Assets</t>
        </is>
      </c>
      <c r="C106" s="65" t="inlineStr">
        <is>
          <t>Total — Other Financial Assets</t>
        </is>
      </c>
      <c r="D106" s="65" t="inlineStr">
        <is>
          <t>__TOTAL__</t>
        </is>
      </c>
      <c r="E106" s="122">
        <f>SUM(E105:E105)</f>
        <v/>
      </c>
      <c r="F106" s="122">
        <f>SUM(F105:F105)</f>
        <v/>
      </c>
      <c r="G106" s="65" t="str"/>
    </row>
    <row r="107">
      <c r="A107" s="17" t="inlineStr">
        <is>
          <t>12</t>
        </is>
      </c>
      <c r="B107" s="17" t="inlineStr">
        <is>
          <t>Deferred Tax Assets / Liabilities</t>
        </is>
      </c>
      <c r="C107" s="17" t="inlineStr">
        <is>
          <t>Deferred tax asset</t>
        </is>
      </c>
      <c r="D107" s="17" t="inlineStr">
        <is>
          <t>DTA</t>
        </is>
      </c>
      <c r="E107" s="121" t="n">
        <v>0</v>
      </c>
      <c r="F107" s="121" t="n">
        <v>0</v>
      </c>
      <c r="G107" s="59" t="str"/>
    </row>
    <row r="108">
      <c r="A108" s="17" t="inlineStr">
        <is>
          <t>12</t>
        </is>
      </c>
      <c r="B108" s="17" t="inlineStr">
        <is>
          <t>Deferred Tax Assets / Liabilities</t>
        </is>
      </c>
      <c r="C108" s="17" t="inlineStr">
        <is>
          <t>Deferred tax liability</t>
        </is>
      </c>
      <c r="D108" s="17" t="inlineStr">
        <is>
          <t>DTL</t>
        </is>
      </c>
      <c r="E108" s="121" t="n">
        <v>0</v>
      </c>
      <c r="F108" s="121" t="n">
        <v>0</v>
      </c>
      <c r="G108" s="59" t="str"/>
    </row>
    <row r="109">
      <c r="A109" s="65" t="inlineStr">
        <is>
          <t>12</t>
        </is>
      </c>
      <c r="B109" s="65" t="inlineStr">
        <is>
          <t>Deferred Tax Assets / Liabilities</t>
        </is>
      </c>
      <c r="C109" s="65" t="inlineStr">
        <is>
          <t>Total — Deferred Tax Assets / Liabilities</t>
        </is>
      </c>
      <c r="D109" s="65" t="inlineStr">
        <is>
          <t>__TOTAL__</t>
        </is>
      </c>
      <c r="E109" s="122">
        <f>SUM(E107:E108)</f>
        <v/>
      </c>
      <c r="F109" s="122">
        <f>SUM(F107:F108)</f>
        <v/>
      </c>
      <c r="G109" s="65" t="str"/>
    </row>
    <row r="110">
      <c r="A110" s="17" t="inlineStr">
        <is>
          <t>13</t>
        </is>
      </c>
      <c r="B110" s="17" t="inlineStr">
        <is>
          <t>Other Non-current Assets</t>
        </is>
      </c>
      <c r="C110" s="17" t="inlineStr">
        <is>
          <t>Other non-current assets</t>
        </is>
      </c>
      <c r="D110" s="17" t="inlineStr">
        <is>
          <t>ONCA</t>
        </is>
      </c>
      <c r="E110" s="121" t="n">
        <v>0</v>
      </c>
      <c r="F110" s="121" t="n">
        <v>0</v>
      </c>
      <c r="G110" s="59" t="str"/>
    </row>
    <row r="111">
      <c r="A111" s="65" t="inlineStr">
        <is>
          <t>13</t>
        </is>
      </c>
      <c r="B111" s="65" t="inlineStr">
        <is>
          <t>Other Non-current Assets</t>
        </is>
      </c>
      <c r="C111" s="65" t="inlineStr">
        <is>
          <t>Total — Other Non-current Assets</t>
        </is>
      </c>
      <c r="D111" s="65" t="inlineStr">
        <is>
          <t>__TOTAL__</t>
        </is>
      </c>
      <c r="E111" s="122">
        <f>SUM(E110:E110)</f>
        <v/>
      </c>
      <c r="F111" s="122">
        <f>SUM(F110:F110)</f>
        <v/>
      </c>
      <c r="G111" s="65" t="str"/>
    </row>
    <row r="112">
      <c r="A112" s="17" t="inlineStr">
        <is>
          <t>14</t>
        </is>
      </c>
      <c r="B112" s="17" t="inlineStr">
        <is>
          <t>Inventories</t>
        </is>
      </c>
      <c r="C112" s="17" t="inlineStr">
        <is>
          <t>Raw materials</t>
        </is>
      </c>
      <c r="D112" s="17" t="inlineStr">
        <is>
          <t>INV_RM</t>
        </is>
      </c>
      <c r="E112" s="121" t="n">
        <v>0</v>
      </c>
      <c r="F112" s="121" t="n">
        <v>0</v>
      </c>
      <c r="G112" s="59" t="str"/>
    </row>
    <row r="113">
      <c r="A113" s="17" t="inlineStr">
        <is>
          <t>14</t>
        </is>
      </c>
      <c r="B113" s="17" t="inlineStr">
        <is>
          <t>Inventories</t>
        </is>
      </c>
      <c r="C113" s="17" t="inlineStr">
        <is>
          <t>WIP</t>
        </is>
      </c>
      <c r="D113" s="17" t="inlineStr">
        <is>
          <t>INV_WIP</t>
        </is>
      </c>
      <c r="E113" s="121" t="n">
        <v>0</v>
      </c>
      <c r="F113" s="121" t="n">
        <v>0</v>
      </c>
      <c r="G113" s="59" t="str"/>
    </row>
    <row r="114">
      <c r="A114" s="17" t="inlineStr">
        <is>
          <t>14</t>
        </is>
      </c>
      <c r="B114" s="17" t="inlineStr">
        <is>
          <t>Inventories</t>
        </is>
      </c>
      <c r="C114" s="17" t="inlineStr">
        <is>
          <t>Finished goods</t>
        </is>
      </c>
      <c r="D114" s="17" t="inlineStr">
        <is>
          <t>INV_FG</t>
        </is>
      </c>
      <c r="E114" s="121" t="n">
        <v>0</v>
      </c>
      <c r="F114" s="121" t="n">
        <v>0</v>
      </c>
      <c r="G114" s="59" t="str"/>
    </row>
    <row r="115">
      <c r="A115" s="17" t="inlineStr">
        <is>
          <t>14</t>
        </is>
      </c>
      <c r="B115" s="17" t="inlineStr">
        <is>
          <t>Inventories</t>
        </is>
      </c>
      <c r="C115" s="17" t="inlineStr">
        <is>
          <t>Stock-in-trade</t>
        </is>
      </c>
      <c r="D115" s="17" t="inlineStr">
        <is>
          <t>INV_SIT</t>
        </is>
      </c>
      <c r="E115" s="121" t="n">
        <v>0</v>
      </c>
      <c r="F115" s="121" t="n">
        <v>0</v>
      </c>
      <c r="G115" s="59" t="str"/>
    </row>
    <row r="116">
      <c r="A116" s="17" t="inlineStr">
        <is>
          <t>14</t>
        </is>
      </c>
      <c r="B116" s="17" t="inlineStr">
        <is>
          <t>Inventories</t>
        </is>
      </c>
      <c r="C116" s="17" t="inlineStr">
        <is>
          <t>Other inventories</t>
        </is>
      </c>
      <c r="D116" s="17" t="inlineStr">
        <is>
          <t>INV_OTHER</t>
        </is>
      </c>
      <c r="E116" s="121" t="n">
        <v>0</v>
      </c>
      <c r="F116" s="121" t="n">
        <v>0</v>
      </c>
      <c r="G116" s="59" t="str"/>
    </row>
    <row r="117">
      <c r="A117" s="65" t="inlineStr">
        <is>
          <t>14</t>
        </is>
      </c>
      <c r="B117" s="65" t="inlineStr">
        <is>
          <t>Inventories</t>
        </is>
      </c>
      <c r="C117" s="65" t="inlineStr">
        <is>
          <t>Total — Inventories</t>
        </is>
      </c>
      <c r="D117" s="65" t="inlineStr">
        <is>
          <t>__TOTAL__</t>
        </is>
      </c>
      <c r="E117" s="122">
        <f>SUM(E112:E116)</f>
        <v/>
      </c>
      <c r="F117" s="122">
        <f>SUM(F112:F116)</f>
        <v/>
      </c>
      <c r="G117" s="65" t="str"/>
    </row>
    <row r="118">
      <c r="A118" s="17" t="inlineStr">
        <is>
          <t>15</t>
        </is>
      </c>
      <c r="B118" s="17" t="inlineStr">
        <is>
          <t>Current Tax Assets / Liabilities</t>
        </is>
      </c>
      <c r="C118" s="17" t="inlineStr">
        <is>
          <t>Current tax asset</t>
        </is>
      </c>
      <c r="D118" s="17" t="inlineStr">
        <is>
          <t>CTA</t>
        </is>
      </c>
      <c r="E118" s="121" t="n">
        <v>0</v>
      </c>
      <c r="F118" s="121" t="n">
        <v>0</v>
      </c>
      <c r="G118" s="59" t="str"/>
    </row>
    <row r="119">
      <c r="A119" s="17" t="inlineStr">
        <is>
          <t>15</t>
        </is>
      </c>
      <c r="B119" s="17" t="inlineStr">
        <is>
          <t>Current Tax Assets / Liabilities</t>
        </is>
      </c>
      <c r="C119" s="17" t="inlineStr">
        <is>
          <t>Current tax liability</t>
        </is>
      </c>
      <c r="D119" s="17" t="inlineStr">
        <is>
          <t>CTL</t>
        </is>
      </c>
      <c r="E119" s="121" t="n">
        <v>0</v>
      </c>
      <c r="F119" s="121" t="n">
        <v>0</v>
      </c>
      <c r="G119" s="59" t="str"/>
    </row>
    <row r="120">
      <c r="A120" s="65" t="inlineStr">
        <is>
          <t>15</t>
        </is>
      </c>
      <c r="B120" s="65" t="inlineStr">
        <is>
          <t>Current Tax Assets / Liabilities</t>
        </is>
      </c>
      <c r="C120" s="65" t="inlineStr">
        <is>
          <t>Total — Current Tax Assets / Liabilities</t>
        </is>
      </c>
      <c r="D120" s="65" t="inlineStr">
        <is>
          <t>__TOTAL__</t>
        </is>
      </c>
      <c r="E120" s="122">
        <f>SUM(E118:E119)</f>
        <v/>
      </c>
      <c r="F120" s="122">
        <f>SUM(F118:F119)</f>
        <v/>
      </c>
      <c r="G120" s="65" t="str"/>
    </row>
    <row r="121">
      <c r="A121" s="17" t="inlineStr">
        <is>
          <t>16</t>
        </is>
      </c>
      <c r="B121" s="17" t="inlineStr">
        <is>
          <t>Cash and Cash Equivalents</t>
        </is>
      </c>
      <c r="C121" s="17" t="inlineStr">
        <is>
          <t>Bank balances</t>
        </is>
      </c>
      <c r="D121" s="17" t="inlineStr">
        <is>
          <t>CASH_BANK</t>
        </is>
      </c>
      <c r="E121" s="121" t="n">
        <v>0</v>
      </c>
      <c r="F121" s="121" t="n">
        <v>0</v>
      </c>
      <c r="G121" s="59" t="str"/>
    </row>
    <row r="122">
      <c r="A122" s="17" t="inlineStr">
        <is>
          <t>16</t>
        </is>
      </c>
      <c r="B122" s="17" t="inlineStr">
        <is>
          <t>Cash and Cash Equivalents</t>
        </is>
      </c>
      <c r="C122" s="17" t="inlineStr">
        <is>
          <t>Cash on hand</t>
        </is>
      </c>
      <c r="D122" s="17" t="inlineStr">
        <is>
          <t>CASH_HAND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16</t>
        </is>
      </c>
      <c r="B123" s="17" t="inlineStr">
        <is>
          <t>Cash and Cash Equivalents</t>
        </is>
      </c>
      <c r="C123" s="17" t="inlineStr">
        <is>
          <t>Other cash equivalents</t>
        </is>
      </c>
      <c r="D123" s="17" t="inlineStr">
        <is>
          <t>CASH_OTHER</t>
        </is>
      </c>
      <c r="E123" s="121" t="n">
        <v>0</v>
      </c>
      <c r="F123" s="121" t="n">
        <v>0</v>
      </c>
      <c r="G123" s="59" t="str"/>
    </row>
    <row r="124">
      <c r="A124" s="65" t="inlineStr">
        <is>
          <t>16</t>
        </is>
      </c>
      <c r="B124" s="65" t="inlineStr">
        <is>
          <t>Cash and Cash Equivalents</t>
        </is>
      </c>
      <c r="C124" s="65" t="inlineStr">
        <is>
          <t>Total — Cash and Cash Equivalents</t>
        </is>
      </c>
      <c r="D124" s="65" t="inlineStr">
        <is>
          <t>__TOTAL__</t>
        </is>
      </c>
      <c r="E124" s="122">
        <f>SUM(E121:E123)</f>
        <v/>
      </c>
      <c r="F124" s="122">
        <f>SUM(F121:F123)</f>
        <v/>
      </c>
      <c r="G124" s="65" t="str"/>
    </row>
    <row r="125">
      <c r="A125" s="17" t="inlineStr">
        <is>
          <t>17</t>
        </is>
      </c>
      <c r="B125" s="17" t="inlineStr">
        <is>
          <t>Bank Balances other than Cash Equivalents</t>
        </is>
      </c>
      <c r="C125" s="17" t="inlineStr">
        <is>
          <t>Other bank balances</t>
        </is>
      </c>
      <c r="D125" s="17" t="inlineStr">
        <is>
          <t>BANK_OTHER</t>
        </is>
      </c>
      <c r="E125" s="121" t="n">
        <v>0</v>
      </c>
      <c r="F125" s="121" t="n">
        <v>0</v>
      </c>
      <c r="G125" s="59" t="str"/>
    </row>
    <row r="126">
      <c r="A126" s="65" t="inlineStr">
        <is>
          <t>17</t>
        </is>
      </c>
      <c r="B126" s="65" t="inlineStr">
        <is>
          <t>Bank Balances other than Cash Equivalents</t>
        </is>
      </c>
      <c r="C126" s="65" t="inlineStr">
        <is>
          <t>Total — Bank Balances other than Cash Equivalents</t>
        </is>
      </c>
      <c r="D126" s="65" t="inlineStr">
        <is>
          <t>__TOTAL__</t>
        </is>
      </c>
      <c r="E126" s="122">
        <f>SUM(E125:E125)</f>
        <v/>
      </c>
      <c r="F126" s="122">
        <f>SUM(F125:F125)</f>
        <v/>
      </c>
      <c r="G126" s="65" t="str"/>
    </row>
    <row r="127">
      <c r="A127" s="17" t="inlineStr">
        <is>
          <t>18</t>
        </is>
      </c>
      <c r="B127" s="17" t="inlineStr">
        <is>
          <t>Other Current Assets</t>
        </is>
      </c>
      <c r="C127" s="17" t="inlineStr">
        <is>
          <t>Other current assets</t>
        </is>
      </c>
      <c r="D127" s="17" t="inlineStr">
        <is>
          <t>OCA</t>
        </is>
      </c>
      <c r="E127" s="121" t="n">
        <v>0</v>
      </c>
      <c r="F127" s="121" t="n">
        <v>0</v>
      </c>
      <c r="G127" s="59" t="str"/>
    </row>
    <row r="128">
      <c r="A128" s="65" t="inlineStr">
        <is>
          <t>18</t>
        </is>
      </c>
      <c r="B128" s="65" t="inlineStr">
        <is>
          <t>Other Current Assets</t>
        </is>
      </c>
      <c r="C128" s="65" t="inlineStr">
        <is>
          <t>Total — Other Current Assets</t>
        </is>
      </c>
      <c r="D128" s="65" t="inlineStr">
        <is>
          <t>__TOTAL__</t>
        </is>
      </c>
      <c r="E128" s="122">
        <f>SUM(E127:E127)</f>
        <v/>
      </c>
      <c r="F128" s="122">
        <f>SUM(F127:F127)</f>
        <v/>
      </c>
      <c r="G128" s="65" t="str"/>
    </row>
    <row r="129">
      <c r="A129" s="17" t="inlineStr">
        <is>
          <t>19</t>
        </is>
      </c>
      <c r="B129" s="17" t="inlineStr">
        <is>
          <t>Equity Share Capital</t>
        </is>
      </c>
      <c r="C129" s="17" t="inlineStr">
        <is>
          <t>Equity share capital</t>
        </is>
      </c>
      <c r="D129" s="17" t="inlineStr">
        <is>
          <t>EQ_CAP</t>
        </is>
      </c>
      <c r="E129" s="121" t="n">
        <v>0</v>
      </c>
      <c r="F129" s="121" t="n">
        <v>0</v>
      </c>
      <c r="G129" s="59" t="str"/>
    </row>
    <row r="130">
      <c r="A130" s="65" t="inlineStr">
        <is>
          <t>19</t>
        </is>
      </c>
      <c r="B130" s="65" t="inlineStr">
        <is>
          <t>Equity Share Capital</t>
        </is>
      </c>
      <c r="C130" s="65" t="inlineStr">
        <is>
          <t>Total — Equity Share Capital</t>
        </is>
      </c>
      <c r="D130" s="65" t="inlineStr">
        <is>
          <t>__TOTAL__</t>
        </is>
      </c>
      <c r="E130" s="122">
        <f>SUM(E129:E129)</f>
        <v/>
      </c>
      <c r="F130" s="122">
        <f>SUM(F129:F129)</f>
        <v/>
      </c>
      <c r="G130" s="65" t="str"/>
    </row>
    <row r="131">
      <c r="A131" s="17" t="inlineStr">
        <is>
          <t>20</t>
        </is>
      </c>
      <c r="B131" s="17" t="inlineStr">
        <is>
          <t>Other Equity</t>
        </is>
      </c>
      <c r="C131" s="17" t="inlineStr">
        <is>
          <t>Securities premium</t>
        </is>
      </c>
      <c r="D131" s="17" t="inlineStr">
        <is>
          <t>OE_SP</t>
        </is>
      </c>
      <c r="E131" s="121" t="n">
        <v>0</v>
      </c>
      <c r="F131" s="121" t="n">
        <v>0</v>
      </c>
      <c r="G131" s="59" t="str"/>
    </row>
    <row r="132">
      <c r="A132" s="17" t="inlineStr">
        <is>
          <t>20</t>
        </is>
      </c>
      <c r="B132" s="17" t="inlineStr">
        <is>
          <t>Other Equity</t>
        </is>
      </c>
      <c r="C132" s="17" t="inlineStr">
        <is>
          <t>Retained earnings</t>
        </is>
      </c>
      <c r="D132" s="17" t="inlineStr">
        <is>
          <t>OE_RE</t>
        </is>
      </c>
      <c r="E132" s="121" t="n">
        <v>0</v>
      </c>
      <c r="F132" s="121" t="n">
        <v>0</v>
      </c>
      <c r="G132" s="59" t="str"/>
    </row>
    <row r="133">
      <c r="A133" s="17" t="inlineStr">
        <is>
          <t>20</t>
        </is>
      </c>
      <c r="B133" s="17" t="inlineStr">
        <is>
          <t>Other Equity</t>
        </is>
      </c>
      <c r="C133" s="17" t="inlineStr">
        <is>
          <t>Other reserves</t>
        </is>
      </c>
      <c r="D133" s="17" t="inlineStr">
        <is>
          <t>OE_RES</t>
        </is>
      </c>
      <c r="E133" s="121" t="n">
        <v>0</v>
      </c>
      <c r="F133" s="121" t="n">
        <v>0</v>
      </c>
      <c r="G133" s="59" t="str"/>
    </row>
    <row r="134">
      <c r="A134" s="17" t="inlineStr">
        <is>
          <t>20</t>
        </is>
      </c>
      <c r="B134" s="17" t="inlineStr">
        <is>
          <t>Other Equity</t>
        </is>
      </c>
      <c r="C134" s="17" t="inlineStr">
        <is>
          <t>OCI reserves</t>
        </is>
      </c>
      <c r="D134" s="17" t="inlineStr">
        <is>
          <t>OE_OCI</t>
        </is>
      </c>
      <c r="E134" s="121" t="n">
        <v>0</v>
      </c>
      <c r="F134" s="121" t="n">
        <v>0</v>
      </c>
      <c r="G134" s="59" t="str"/>
    </row>
    <row r="135">
      <c r="A135" s="65" t="inlineStr">
        <is>
          <t>20</t>
        </is>
      </c>
      <c r="B135" s="65" t="inlineStr">
        <is>
          <t>Other Equity</t>
        </is>
      </c>
      <c r="C135" s="65" t="inlineStr">
        <is>
          <t>Total — Other Equity</t>
        </is>
      </c>
      <c r="D135" s="65" t="inlineStr">
        <is>
          <t>__TOTAL__</t>
        </is>
      </c>
      <c r="E135" s="122">
        <f>SUM(E131:E134)</f>
        <v/>
      </c>
      <c r="F135" s="122">
        <f>SUM(F131:F134)</f>
        <v/>
      </c>
      <c r="G135" s="65" t="str"/>
    </row>
    <row r="136">
      <c r="A136" s="17" t="inlineStr">
        <is>
          <t>21</t>
        </is>
      </c>
      <c r="B136" s="17" t="inlineStr">
        <is>
          <t>Financial Liabilities - Borrowings</t>
        </is>
      </c>
      <c r="C136" s="17" t="inlineStr">
        <is>
          <t>Borrowings</t>
        </is>
      </c>
      <c r="D136" s="17" t="inlineStr">
        <is>
          <t>FL_BORR</t>
        </is>
      </c>
      <c r="E136" s="121" t="n">
        <v>0</v>
      </c>
      <c r="F136" s="121" t="n">
        <v>0</v>
      </c>
      <c r="G136" s="59" t="str"/>
    </row>
    <row r="137">
      <c r="A137" s="65" t="inlineStr">
        <is>
          <t>21</t>
        </is>
      </c>
      <c r="B137" s="65" t="inlineStr">
        <is>
          <t>Financial Liabilities - Borrowings</t>
        </is>
      </c>
      <c r="C137" s="65" t="inlineStr">
        <is>
          <t>Total — Financial Liabilities - Borrowings</t>
        </is>
      </c>
      <c r="D137" s="65" t="inlineStr">
        <is>
          <t>__TOTAL__</t>
        </is>
      </c>
      <c r="E137" s="122">
        <f>SUM(E136:E136)</f>
        <v/>
      </c>
      <c r="F137" s="122">
        <f>SUM(F136:F136)</f>
        <v/>
      </c>
      <c r="G137" s="65" t="str"/>
    </row>
    <row r="138">
      <c r="A138" s="17" t="inlineStr">
        <is>
          <t>22</t>
        </is>
      </c>
      <c r="B138" s="17" t="inlineStr">
        <is>
          <t>Financial Liabilities - Trade Payables</t>
        </is>
      </c>
      <c r="C138" s="17" t="inlineStr">
        <is>
          <t>MSME trade payables</t>
        </is>
      </c>
      <c r="D138" s="17" t="inlineStr">
        <is>
          <t>FL_TP_MSME</t>
        </is>
      </c>
      <c r="E138" s="121" t="n">
        <v>0</v>
      </c>
      <c r="F138" s="121" t="n">
        <v>0</v>
      </c>
      <c r="G138" s="59" t="str"/>
    </row>
    <row r="139">
      <c r="A139" s="17" t="inlineStr">
        <is>
          <t>22</t>
        </is>
      </c>
      <c r="B139" s="17" t="inlineStr">
        <is>
          <t>Financial Liabilities - Trade Payables</t>
        </is>
      </c>
      <c r="C139" s="17" t="inlineStr">
        <is>
          <t>Other trade payables</t>
        </is>
      </c>
      <c r="D139" s="17" t="inlineStr">
        <is>
          <t>FL_TP_OTHER</t>
        </is>
      </c>
      <c r="E139" s="121" t="n">
        <v>0</v>
      </c>
      <c r="F139" s="121" t="n">
        <v>0</v>
      </c>
      <c r="G139" s="59" t="str"/>
    </row>
    <row r="140">
      <c r="A140" s="65" t="inlineStr">
        <is>
          <t>22</t>
        </is>
      </c>
      <c r="B140" s="65" t="inlineStr">
        <is>
          <t>Financial Liabilities - Trade Payables</t>
        </is>
      </c>
      <c r="C140" s="65" t="inlineStr">
        <is>
          <t>Total — Financial Liabilities - Trade Payables</t>
        </is>
      </c>
      <c r="D140" s="65" t="inlineStr">
        <is>
          <t>__TOTAL__</t>
        </is>
      </c>
      <c r="E140" s="122">
        <f>SUM(E138:E139)</f>
        <v/>
      </c>
      <c r="F140" s="122">
        <f>SUM(F138:F139)</f>
        <v/>
      </c>
      <c r="G140" s="65" t="str"/>
    </row>
    <row r="141">
      <c r="A141" s="17" t="inlineStr">
        <is>
          <t>23</t>
        </is>
      </c>
      <c r="B141" s="17" t="inlineStr">
        <is>
          <t>Other Financial Liabilities</t>
        </is>
      </c>
      <c r="C141" s="17" t="inlineStr">
        <is>
          <t>Other financial liabilities</t>
        </is>
      </c>
      <c r="D141" s="17" t="inlineStr">
        <is>
          <t>FL_OTHER</t>
        </is>
      </c>
      <c r="E141" s="121" t="n">
        <v>0</v>
      </c>
      <c r="F141" s="121" t="n">
        <v>0</v>
      </c>
      <c r="G141" s="59" t="str"/>
    </row>
    <row r="142">
      <c r="A142" s="65" t="inlineStr">
        <is>
          <t>23</t>
        </is>
      </c>
      <c r="B142" s="65" t="inlineStr">
        <is>
          <t>Other Financial Liabilities</t>
        </is>
      </c>
      <c r="C142" s="65" t="inlineStr">
        <is>
          <t>Total — Other Financial Liabilities</t>
        </is>
      </c>
      <c r="D142" s="65" t="inlineStr">
        <is>
          <t>__TOTAL__</t>
        </is>
      </c>
      <c r="E142" s="122">
        <f>SUM(E141:E141)</f>
        <v/>
      </c>
      <c r="F142" s="122">
        <f>SUM(F141:F141)</f>
        <v/>
      </c>
      <c r="G142" s="65" t="str"/>
    </row>
    <row r="143">
      <c r="A143" s="17" t="inlineStr">
        <is>
          <t>24</t>
        </is>
      </c>
      <c r="B143" s="17" t="inlineStr">
        <is>
          <t>Provisions</t>
        </is>
      </c>
      <c r="C143" s="17" t="inlineStr">
        <is>
          <t>Employee benefit provisions</t>
        </is>
      </c>
      <c r="D143" s="17" t="inlineStr">
        <is>
          <t>PROV_EMP</t>
        </is>
      </c>
      <c r="E143" s="121" t="n">
        <v>0</v>
      </c>
      <c r="F143" s="121" t="n">
        <v>0</v>
      </c>
      <c r="G143" s="59" t="str"/>
    </row>
    <row r="144">
      <c r="A144" s="17" t="inlineStr">
        <is>
          <t>24</t>
        </is>
      </c>
      <c r="B144" s="17" t="inlineStr">
        <is>
          <t>Provisions</t>
        </is>
      </c>
      <c r="C144" s="17" t="inlineStr">
        <is>
          <t>Other provisions</t>
        </is>
      </c>
      <c r="D144" s="17" t="inlineStr">
        <is>
          <t>PROV_OTHER</t>
        </is>
      </c>
      <c r="E144" s="121" t="n">
        <v>0</v>
      </c>
      <c r="F144" s="121" t="n">
        <v>0</v>
      </c>
      <c r="G144" s="59" t="str"/>
    </row>
    <row r="145">
      <c r="A145" s="65" t="inlineStr">
        <is>
          <t>24</t>
        </is>
      </c>
      <c r="B145" s="65" t="inlineStr">
        <is>
          <t>Provisions</t>
        </is>
      </c>
      <c r="C145" s="65" t="inlineStr">
        <is>
          <t>Total — Provisions</t>
        </is>
      </c>
      <c r="D145" s="65" t="inlineStr">
        <is>
          <t>__TOTAL__</t>
        </is>
      </c>
      <c r="E145" s="122">
        <f>SUM(E143:E144)</f>
        <v/>
      </c>
      <c r="F145" s="122">
        <f>SUM(F143:F144)</f>
        <v/>
      </c>
      <c r="G145" s="65" t="str"/>
    </row>
    <row r="146">
      <c r="A146" s="17" t="inlineStr">
        <is>
          <t>25</t>
        </is>
      </c>
      <c r="B146" s="17" t="inlineStr">
        <is>
          <t>Other Liabilities</t>
        </is>
      </c>
      <c r="C146" s="17" t="inlineStr">
        <is>
          <t>Contract liabilities / advances</t>
        </is>
      </c>
      <c r="D146" s="17" t="inlineStr">
        <is>
          <t>LIAB_ADV</t>
        </is>
      </c>
      <c r="E146" s="121" t="n">
        <v>0</v>
      </c>
      <c r="F146" s="121" t="n">
        <v>0</v>
      </c>
      <c r="G146" s="59" t="str"/>
    </row>
    <row r="147">
      <c r="A147" s="17" t="inlineStr">
        <is>
          <t>25</t>
        </is>
      </c>
      <c r="B147" s="17" t="inlineStr">
        <is>
          <t>Other Liabilities</t>
        </is>
      </c>
      <c r="C147" s="17" t="inlineStr">
        <is>
          <t>Statutory liabilities</t>
        </is>
      </c>
      <c r="D147" s="17" t="inlineStr">
        <is>
          <t>LIAB_STAT</t>
        </is>
      </c>
      <c r="E147" s="121" t="n">
        <v>0</v>
      </c>
      <c r="F147" s="121" t="n">
        <v>0</v>
      </c>
      <c r="G147" s="59" t="str"/>
    </row>
    <row r="148">
      <c r="A148" s="17" t="inlineStr">
        <is>
          <t>25</t>
        </is>
      </c>
      <c r="B148" s="17" t="inlineStr">
        <is>
          <t>Other Liabilities</t>
        </is>
      </c>
      <c r="C148" s="17" t="inlineStr">
        <is>
          <t>Other liabilities</t>
        </is>
      </c>
      <c r="D148" s="17" t="inlineStr">
        <is>
          <t>LIAB_OTHER</t>
        </is>
      </c>
      <c r="E148" s="121" t="n">
        <v>0</v>
      </c>
      <c r="F148" s="121" t="n">
        <v>0</v>
      </c>
      <c r="G148" s="59" t="str"/>
    </row>
    <row r="149">
      <c r="A149" s="65" t="inlineStr">
        <is>
          <t>25</t>
        </is>
      </c>
      <c r="B149" s="65" t="inlineStr">
        <is>
          <t>Other Liabilities</t>
        </is>
      </c>
      <c r="C149" s="65" t="inlineStr">
        <is>
          <t>Total — Other Liabilities</t>
        </is>
      </c>
      <c r="D149" s="65" t="inlineStr">
        <is>
          <t>__TOTAL__</t>
        </is>
      </c>
      <c r="E149" s="122">
        <f>SUM(E146:E148)</f>
        <v/>
      </c>
      <c r="F149" s="122">
        <f>SUM(F146:F148)</f>
        <v/>
      </c>
      <c r="G149" s="65" t="str"/>
    </row>
    <row r="150">
      <c r="A150" s="17" t="inlineStr">
        <is>
          <t>26</t>
        </is>
      </c>
      <c r="B150" s="17" t="inlineStr">
        <is>
          <t>Revenue from Operations</t>
        </is>
      </c>
      <c r="C150" s="17" t="inlineStr">
        <is>
          <t>Sale of products</t>
        </is>
      </c>
      <c r="D150" s="17" t="inlineStr">
        <is>
          <t>REV_PRODUCTS</t>
        </is>
      </c>
      <c r="E150" s="121" t="n">
        <v>0</v>
      </c>
      <c r="F150" s="121" t="n">
        <v>0</v>
      </c>
      <c r="G150" s="59" t="str"/>
    </row>
    <row r="151">
      <c r="A151" s="17" t="inlineStr">
        <is>
          <t>26</t>
        </is>
      </c>
      <c r="B151" s="17" t="inlineStr">
        <is>
          <t>Revenue from Operations</t>
        </is>
      </c>
      <c r="C151" s="17" t="inlineStr">
        <is>
          <t>Sale of services</t>
        </is>
      </c>
      <c r="D151" s="17" t="inlineStr">
        <is>
          <t>REV_SERVICES</t>
        </is>
      </c>
      <c r="E151" s="121" t="n">
        <v>0</v>
      </c>
      <c r="F151" s="121" t="n">
        <v>0</v>
      </c>
      <c r="G151" s="59" t="str"/>
    </row>
    <row r="152">
      <c r="A152" s="17" t="inlineStr">
        <is>
          <t>26</t>
        </is>
      </c>
      <c r="B152" s="17" t="inlineStr">
        <is>
          <t>Revenue from Operations</t>
        </is>
      </c>
      <c r="C152" s="17" t="inlineStr">
        <is>
          <t>Other operating revenue</t>
        </is>
      </c>
      <c r="D152" s="17" t="inlineStr">
        <is>
          <t>REV_OTHER</t>
        </is>
      </c>
      <c r="E152" s="121" t="n">
        <v>0</v>
      </c>
      <c r="F152" s="121" t="n">
        <v>0</v>
      </c>
      <c r="G152" s="59" t="str"/>
    </row>
    <row r="153">
      <c r="A153" s="65" t="inlineStr">
        <is>
          <t>26</t>
        </is>
      </c>
      <c r="B153" s="65" t="inlineStr">
        <is>
          <t>Revenue from Operations</t>
        </is>
      </c>
      <c r="C153" s="65" t="inlineStr">
        <is>
          <t>Total — Revenue from Operations</t>
        </is>
      </c>
      <c r="D153" s="65" t="inlineStr">
        <is>
          <t>__TOTAL__</t>
        </is>
      </c>
      <c r="E153" s="122">
        <f>SUM(E150:E152)</f>
        <v/>
      </c>
      <c r="F153" s="122">
        <f>SUM(F150:F152)</f>
        <v/>
      </c>
      <c r="G153" s="65" t="str"/>
    </row>
    <row r="154">
      <c r="A154" s="17" t="inlineStr">
        <is>
          <t>27</t>
        </is>
      </c>
      <c r="B154" s="17" t="inlineStr">
        <is>
          <t>Other Income</t>
        </is>
      </c>
      <c r="C154" s="17" t="inlineStr">
        <is>
          <t>Interest</t>
        </is>
      </c>
      <c r="D154" s="17" t="inlineStr">
        <is>
          <t>OI_INTEREST</t>
        </is>
      </c>
      <c r="E154" s="121" t="n">
        <v>0</v>
      </c>
      <c r="F154" s="121" t="n">
        <v>0</v>
      </c>
      <c r="G154" s="59" t="str"/>
    </row>
    <row r="155">
      <c r="A155" s="17" t="inlineStr">
        <is>
          <t>27</t>
        </is>
      </c>
      <c r="B155" s="17" t="inlineStr">
        <is>
          <t>Other Income</t>
        </is>
      </c>
      <c r="C155" s="17" t="inlineStr">
        <is>
          <t>Dividend</t>
        </is>
      </c>
      <c r="D155" s="17" t="inlineStr">
        <is>
          <t>OI_DIV</t>
        </is>
      </c>
      <c r="E155" s="121" t="n">
        <v>0</v>
      </c>
      <c r="F155" s="121" t="n">
        <v>0</v>
      </c>
      <c r="G155" s="59" t="str"/>
    </row>
    <row r="156">
      <c r="A156" s="17" t="inlineStr">
        <is>
          <t>27</t>
        </is>
      </c>
      <c r="B156" s="17" t="inlineStr">
        <is>
          <t>Other Income</t>
        </is>
      </c>
      <c r="C156" s="17" t="inlineStr">
        <is>
          <t>Other income</t>
        </is>
      </c>
      <c r="D156" s="17" t="inlineStr">
        <is>
          <t>OI_OTHER</t>
        </is>
      </c>
      <c r="E156" s="121" t="n">
        <v>0</v>
      </c>
      <c r="F156" s="121" t="n">
        <v>0</v>
      </c>
      <c r="G156" s="59" t="str"/>
    </row>
    <row r="157">
      <c r="A157" s="65" t="inlineStr">
        <is>
          <t>27</t>
        </is>
      </c>
      <c r="B157" s="65" t="inlineStr">
        <is>
          <t>Other Income</t>
        </is>
      </c>
      <c r="C157" s="65" t="inlineStr">
        <is>
          <t>Total — Other Income</t>
        </is>
      </c>
      <c r="D157" s="65" t="inlineStr">
        <is>
          <t>__TOTAL__</t>
        </is>
      </c>
      <c r="E157" s="122">
        <f>SUM(E154:E156)</f>
        <v/>
      </c>
      <c r="F157" s="122">
        <f>SUM(F154:F156)</f>
        <v/>
      </c>
      <c r="G157" s="65" t="str"/>
    </row>
    <row r="158">
      <c r="A158" s="17" t="inlineStr">
        <is>
          <t>28</t>
        </is>
      </c>
      <c r="B158" s="17" t="inlineStr">
        <is>
          <t>Cost of Materials Consumed</t>
        </is>
      </c>
      <c r="C158" s="17" t="inlineStr">
        <is>
          <t>Materials consumed</t>
        </is>
      </c>
      <c r="D158" s="17" t="inlineStr">
        <is>
          <t>CMC</t>
        </is>
      </c>
      <c r="E158" s="121" t="n">
        <v>0</v>
      </c>
      <c r="F158" s="121" t="n">
        <v>0</v>
      </c>
      <c r="G158" s="59" t="str"/>
    </row>
    <row r="159">
      <c r="A159" s="65" t="inlineStr">
        <is>
          <t>28</t>
        </is>
      </c>
      <c r="B159" s="65" t="inlineStr">
        <is>
          <t>Cost of Materials Consumed</t>
        </is>
      </c>
      <c r="C159" s="65" t="inlineStr">
        <is>
          <t>Total — Cost of Materials Consumed</t>
        </is>
      </c>
      <c r="D159" s="65" t="inlineStr">
        <is>
          <t>__TOTAL__</t>
        </is>
      </c>
      <c r="E159" s="122">
        <f>SUM(E158:E158)</f>
        <v/>
      </c>
      <c r="F159" s="122">
        <f>SUM(F158:F158)</f>
        <v/>
      </c>
      <c r="G159" s="65" t="str"/>
    </row>
    <row r="160">
      <c r="A160" s="17" t="inlineStr">
        <is>
          <t>29</t>
        </is>
      </c>
      <c r="B160" s="17" t="inlineStr">
        <is>
          <t>Purchases of Stock-in-Trade</t>
        </is>
      </c>
      <c r="C160" s="17" t="inlineStr">
        <is>
          <t>Purchases</t>
        </is>
      </c>
      <c r="D160" s="17" t="inlineStr">
        <is>
          <t>PUR_SIT</t>
        </is>
      </c>
      <c r="E160" s="121" t="n">
        <v>0</v>
      </c>
      <c r="F160" s="121" t="n">
        <v>0</v>
      </c>
      <c r="G160" s="59" t="str"/>
    </row>
    <row r="161">
      <c r="A161" s="65" t="inlineStr">
        <is>
          <t>29</t>
        </is>
      </c>
      <c r="B161" s="65" t="inlineStr">
        <is>
          <t>Purchases of Stock-in-Trade</t>
        </is>
      </c>
      <c r="C161" s="65" t="inlineStr">
        <is>
          <t>Total — Purchases of Stock-in-Trade</t>
        </is>
      </c>
      <c r="D161" s="65" t="inlineStr">
        <is>
          <t>__TOTAL__</t>
        </is>
      </c>
      <c r="E161" s="122">
        <f>SUM(E160:E160)</f>
        <v/>
      </c>
      <c r="F161" s="122">
        <f>SUM(F160:F160)</f>
        <v/>
      </c>
      <c r="G161" s="65" t="str"/>
    </row>
    <row r="162">
      <c r="A162" s="17" t="inlineStr">
        <is>
          <t>30</t>
        </is>
      </c>
      <c r="B162" s="17" t="inlineStr">
        <is>
          <t>Changes in Inventories</t>
        </is>
      </c>
      <c r="C162" s="17" t="inlineStr">
        <is>
          <t>Changes in inventories</t>
        </is>
      </c>
      <c r="D162" s="17" t="inlineStr">
        <is>
          <t>CHG_INV</t>
        </is>
      </c>
      <c r="E162" s="121" t="n">
        <v>0</v>
      </c>
      <c r="F162" s="121" t="n">
        <v>0</v>
      </c>
      <c r="G162" s="59" t="str"/>
    </row>
    <row r="163">
      <c r="A163" s="65" t="inlineStr">
        <is>
          <t>30</t>
        </is>
      </c>
      <c r="B163" s="65" t="inlineStr">
        <is>
          <t>Changes in Inventories</t>
        </is>
      </c>
      <c r="C163" s="65" t="inlineStr">
        <is>
          <t>Total — Changes in Inventories</t>
        </is>
      </c>
      <c r="D163" s="65" t="inlineStr">
        <is>
          <t>__TOTAL__</t>
        </is>
      </c>
      <c r="E163" s="122">
        <f>SUM(E162:E162)</f>
        <v/>
      </c>
      <c r="F163" s="122">
        <f>SUM(F162:F162)</f>
        <v/>
      </c>
      <c r="G163" s="65" t="str"/>
    </row>
    <row r="164">
      <c r="A164" s="17" t="inlineStr">
        <is>
          <t>31</t>
        </is>
      </c>
      <c r="B164" s="17" t="inlineStr">
        <is>
          <t>Employee Benefits Expense</t>
        </is>
      </c>
      <c r="C164" s="17" t="inlineStr">
        <is>
          <t>Employee benefits</t>
        </is>
      </c>
      <c r="D164" s="17" t="inlineStr">
        <is>
          <t>EMP</t>
        </is>
      </c>
      <c r="E164" s="121" t="n">
        <v>0</v>
      </c>
      <c r="F164" s="121" t="n">
        <v>0</v>
      </c>
      <c r="G164" s="59" t="str"/>
    </row>
    <row r="165">
      <c r="A165" s="65" t="inlineStr">
        <is>
          <t>31</t>
        </is>
      </c>
      <c r="B165" s="65" t="inlineStr">
        <is>
          <t>Employee Benefits Expense</t>
        </is>
      </c>
      <c r="C165" s="65" t="inlineStr">
        <is>
          <t>Total — Employee Benefits Expense</t>
        </is>
      </c>
      <c r="D165" s="65" t="inlineStr">
        <is>
          <t>__TOTAL__</t>
        </is>
      </c>
      <c r="E165" s="122">
        <f>SUM(E164:E164)</f>
        <v/>
      </c>
      <c r="F165" s="122">
        <f>SUM(F164:F164)</f>
        <v/>
      </c>
      <c r="G165" s="65" t="str"/>
    </row>
    <row r="166">
      <c r="A166" s="17" t="inlineStr">
        <is>
          <t>32</t>
        </is>
      </c>
      <c r="B166" s="17" t="inlineStr">
        <is>
          <t>Finance Costs</t>
        </is>
      </c>
      <c r="C166" s="17" t="inlineStr">
        <is>
          <t>Finance costs</t>
        </is>
      </c>
      <c r="D166" s="17" t="inlineStr">
        <is>
          <t>FIN</t>
        </is>
      </c>
      <c r="E166" s="121" t="n">
        <v>0</v>
      </c>
      <c r="F166" s="121" t="n">
        <v>0</v>
      </c>
      <c r="G166" s="59" t="str"/>
    </row>
    <row r="167">
      <c r="A167" s="65" t="inlineStr">
        <is>
          <t>32</t>
        </is>
      </c>
      <c r="B167" s="65" t="inlineStr">
        <is>
          <t>Finance Costs</t>
        </is>
      </c>
      <c r="C167" s="65" t="inlineStr">
        <is>
          <t>Total — Finance Costs</t>
        </is>
      </c>
      <c r="D167" s="65" t="inlineStr">
        <is>
          <t>__TOTAL__</t>
        </is>
      </c>
      <c r="E167" s="122">
        <f>SUM(E166:E166)</f>
        <v/>
      </c>
      <c r="F167" s="122">
        <f>SUM(F166:F166)</f>
        <v/>
      </c>
      <c r="G167" s="65" t="str"/>
    </row>
    <row r="168">
      <c r="A168" s="17" t="inlineStr">
        <is>
          <t>33</t>
        </is>
      </c>
      <c r="B168" s="17" t="inlineStr">
        <is>
          <t>Depreciation and Amortisation</t>
        </is>
      </c>
      <c r="C168" s="17" t="inlineStr">
        <is>
          <t>Depreciation</t>
        </is>
      </c>
      <c r="D168" s="17" t="inlineStr">
        <is>
          <t>DEP</t>
        </is>
      </c>
      <c r="E168" s="121" t="n">
        <v>0</v>
      </c>
      <c r="F168" s="121" t="n">
        <v>0</v>
      </c>
      <c r="G168" s="59" t="str"/>
    </row>
    <row r="169">
      <c r="A169" s="17" t="inlineStr">
        <is>
          <t>33</t>
        </is>
      </c>
      <c r="B169" s="17" t="inlineStr">
        <is>
          <t>Depreciation and Amortisation</t>
        </is>
      </c>
      <c r="C169" s="17" t="inlineStr">
        <is>
          <t>Amortisation</t>
        </is>
      </c>
      <c r="D169" s="17" t="inlineStr">
        <is>
          <t>AMORT</t>
        </is>
      </c>
      <c r="E169" s="121" t="n">
        <v>0</v>
      </c>
      <c r="F169" s="121" t="n">
        <v>0</v>
      </c>
      <c r="G169" s="59" t="str"/>
    </row>
    <row r="170">
      <c r="A170" s="65" t="inlineStr">
        <is>
          <t>33</t>
        </is>
      </c>
      <c r="B170" s="65" t="inlineStr">
        <is>
          <t>Depreciation and Amortisation</t>
        </is>
      </c>
      <c r="C170" s="65" t="inlineStr">
        <is>
          <t>Total — Depreciation and Amortisation</t>
        </is>
      </c>
      <c r="D170" s="65" t="inlineStr">
        <is>
          <t>__TOTAL__</t>
        </is>
      </c>
      <c r="E170" s="122">
        <f>SUM(E168:E169)</f>
        <v/>
      </c>
      <c r="F170" s="122">
        <f>SUM(F168:F169)</f>
        <v/>
      </c>
      <c r="G170" s="65" t="str"/>
    </row>
    <row r="171">
      <c r="A171" s="17" t="inlineStr">
        <is>
          <t>34</t>
        </is>
      </c>
      <c r="B171" s="17" t="inlineStr">
        <is>
          <t>Other Expenses</t>
        </is>
      </c>
      <c r="C171" s="17" t="inlineStr">
        <is>
          <t>Other expenses</t>
        </is>
      </c>
      <c r="D171" s="17" t="inlineStr">
        <is>
          <t>OE</t>
        </is>
      </c>
      <c r="E171" s="121" t="n">
        <v>0</v>
      </c>
      <c r="F171" s="121" t="n">
        <v>0</v>
      </c>
      <c r="G171" s="59" t="str"/>
    </row>
    <row r="172">
      <c r="A172" s="65" t="inlineStr">
        <is>
          <t>34</t>
        </is>
      </c>
      <c r="B172" s="65" t="inlineStr">
        <is>
          <t>Other Expenses</t>
        </is>
      </c>
      <c r="C172" s="65" t="inlineStr">
        <is>
          <t>Total — Other Expenses</t>
        </is>
      </c>
      <c r="D172" s="65" t="inlineStr">
        <is>
          <t>__TOTAL__</t>
        </is>
      </c>
      <c r="E172" s="122">
        <f>SUM(E171:E171)</f>
        <v/>
      </c>
      <c r="F172" s="122">
        <f>SUM(F171:F171)</f>
        <v/>
      </c>
      <c r="G172" s="65" t="str"/>
    </row>
    <row r="173">
      <c r="A173" s="17" t="inlineStr">
        <is>
          <t>35</t>
        </is>
      </c>
      <c r="B173" s="17" t="inlineStr">
        <is>
          <t>Other Comprehensive Income</t>
        </is>
      </c>
      <c r="C173" s="17" t="inlineStr">
        <is>
          <t>Items not reclassified to P&amp;L</t>
        </is>
      </c>
      <c r="D173" s="17" t="inlineStr">
        <is>
          <t>OCI_NR</t>
        </is>
      </c>
      <c r="E173" s="121" t="n">
        <v>0</v>
      </c>
      <c r="F173" s="121" t="n">
        <v>0</v>
      </c>
      <c r="G173" s="59" t="str"/>
    </row>
    <row r="174">
      <c r="A174" s="17" t="inlineStr">
        <is>
          <t>35</t>
        </is>
      </c>
      <c r="B174" s="17" t="inlineStr">
        <is>
          <t>Other Comprehensive Income</t>
        </is>
      </c>
      <c r="C174" s="17" t="inlineStr">
        <is>
          <t>Items reclassified to P&amp;L</t>
        </is>
      </c>
      <c r="D174" s="17" t="inlineStr">
        <is>
          <t>OCI_R</t>
        </is>
      </c>
      <c r="E174" s="121" t="n">
        <v>0</v>
      </c>
      <c r="F174" s="121" t="n">
        <v>0</v>
      </c>
      <c r="G174" s="59" t="str"/>
    </row>
    <row r="175">
      <c r="A175" s="17" t="inlineStr">
        <is>
          <t>35</t>
        </is>
      </c>
      <c r="B175" s="17" t="inlineStr">
        <is>
          <t>Other Comprehensive Income</t>
        </is>
      </c>
      <c r="C175" s="17" t="inlineStr">
        <is>
          <t>Tax on OCI</t>
        </is>
      </c>
      <c r="D175" s="17" t="inlineStr">
        <is>
          <t>OCI_TAX</t>
        </is>
      </c>
      <c r="E175" s="121" t="n">
        <v>0</v>
      </c>
      <c r="F175" s="121" t="n">
        <v>0</v>
      </c>
      <c r="G175" s="59" t="str"/>
    </row>
    <row r="176">
      <c r="A176" s="65" t="inlineStr">
        <is>
          <t>35</t>
        </is>
      </c>
      <c r="B176" s="65" t="inlineStr">
        <is>
          <t>Other Comprehensive Income</t>
        </is>
      </c>
      <c r="C176" s="65" t="inlineStr">
        <is>
          <t>Total — Other Comprehensive Income</t>
        </is>
      </c>
      <c r="D176" s="65" t="inlineStr">
        <is>
          <t>__TOTAL__</t>
        </is>
      </c>
      <c r="E176" s="122">
        <f>SUM(E173:E175)</f>
        <v/>
      </c>
      <c r="F176" s="122">
        <f>SUM(F173:F175)</f>
        <v/>
      </c>
      <c r="G176" s="65" t="str"/>
    </row>
    <row r="177">
      <c r="A177" s="17" t="inlineStr">
        <is>
          <t>36</t>
        </is>
      </c>
      <c r="B177" s="17" t="inlineStr">
        <is>
          <t>Statement of Changes in Equity</t>
        </is>
      </c>
      <c r="C177" s="17" t="inlineStr">
        <is>
          <t>Changes in equity share capital</t>
        </is>
      </c>
      <c r="D177" s="17" t="inlineStr">
        <is>
          <t>SOCE_CAP</t>
        </is>
      </c>
      <c r="E177" s="121" t="n">
        <v>0</v>
      </c>
      <c r="F177" s="121" t="n">
        <v>0</v>
      </c>
      <c r="G177" s="59" t="str"/>
    </row>
    <row r="178">
      <c r="A178" s="17" t="inlineStr">
        <is>
          <t>36</t>
        </is>
      </c>
      <c r="B178" s="17" t="inlineStr">
        <is>
          <t>Statement of Changes in Equity</t>
        </is>
      </c>
      <c r="C178" s="17" t="inlineStr">
        <is>
          <t>Changes in other equity</t>
        </is>
      </c>
      <c r="D178" s="17" t="inlineStr">
        <is>
          <t>SOCE_OE</t>
        </is>
      </c>
      <c r="E178" s="121" t="n">
        <v>0</v>
      </c>
      <c r="F178" s="121" t="n">
        <v>0</v>
      </c>
      <c r="G178" s="59" t="str"/>
    </row>
    <row r="179">
      <c r="A179" s="65" t="inlineStr">
        <is>
          <t>36</t>
        </is>
      </c>
      <c r="B179" s="65" t="inlineStr">
        <is>
          <t>Statement of Changes in Equity</t>
        </is>
      </c>
      <c r="C179" s="65" t="inlineStr">
        <is>
          <t>Total — Statement of Changes in Equity</t>
        </is>
      </c>
      <c r="D179" s="65" t="inlineStr">
        <is>
          <t>__TOTAL__</t>
        </is>
      </c>
      <c r="E179" s="122">
        <f>SUM(E177:E178)</f>
        <v/>
      </c>
      <c r="F179" s="122">
        <f>SUM(F177:F178)</f>
        <v/>
      </c>
      <c r="G179" s="65" t="str"/>
    </row>
    <row r="180">
      <c r="A180" s="17" t="inlineStr">
        <is>
          <t>37</t>
        </is>
      </c>
      <c r="B180" s="17" t="inlineStr">
        <is>
          <t>Additional Regulatory Information</t>
        </is>
      </c>
      <c r="C180" s="17" t="inlineStr">
        <is>
          <t>Ageing schedules / title deeds / ratios / other disclosures</t>
        </is>
      </c>
      <c r="D180" s="17" t="inlineStr">
        <is>
          <t>REG_ALL</t>
        </is>
      </c>
      <c r="E180" s="121" t="n">
        <v>0</v>
      </c>
      <c r="F180" s="121" t="n">
        <v>0</v>
      </c>
      <c r="G180" s="59" t="str"/>
    </row>
    <row r="181">
      <c r="A181" s="65" t="inlineStr">
        <is>
          <t>37</t>
        </is>
      </c>
      <c r="B181" s="65" t="inlineStr">
        <is>
          <t>Additional Regulatory Information</t>
        </is>
      </c>
      <c r="C181" s="65" t="inlineStr">
        <is>
          <t>Total — Additional Regulatory Information</t>
        </is>
      </c>
      <c r="D181" s="65" t="inlineStr">
        <is>
          <t>__TOTAL__</t>
        </is>
      </c>
      <c r="E181" s="122">
        <f>SUM(E180:E180)</f>
        <v/>
      </c>
      <c r="F181" s="122">
        <f>SUM(F180:F180)</f>
        <v/>
      </c>
      <c r="G181" s="65" t="str"/>
    </row>
    <row r="182">
      <c r="A182" s="17" t="n"/>
      <c r="B182" s="17" t="n"/>
      <c r="C182" s="17" t="n"/>
      <c r="D182" s="17" t="n"/>
      <c r="E182" s="17" t="n"/>
      <c r="F182" s="17" t="n"/>
      <c r="G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</row>
    <row r="184" ht="26" customHeight="1" s="82">
      <c r="A184" s="79" t="inlineStr">
        <is>
          <t>Cash Flow Statement</t>
        </is>
      </c>
      <c r="B184" s="1" t="n"/>
      <c r="C184" s="1" t="n"/>
      <c r="D184" s="1" t="n"/>
      <c r="E184" s="1" t="n"/>
      <c r="F184" s="1" t="n"/>
      <c r="G184" s="1" t="n"/>
    </row>
    <row r="185">
      <c r="A185" s="14" t="inlineStr">
        <is>
          <t>Line Item</t>
        </is>
      </c>
      <c r="B185" s="14" t="inlineStr">
        <is>
          <t>AAH Mapping Key</t>
        </is>
      </c>
      <c r="C185" s="14" t="inlineStr">
        <is>
          <t>Current Period</t>
        </is>
      </c>
      <c r="D185" s="14" t="inlineStr">
        <is>
          <t>Previous Period</t>
        </is>
      </c>
      <c r="E185" s="14" t="inlineStr">
        <is>
          <t>Calculation / Rule</t>
        </is>
      </c>
      <c r="F185" s="14" t="inlineStr">
        <is>
          <t>Status</t>
        </is>
      </c>
      <c r="G185" s="14" t="inlineStr">
        <is>
          <t>Remarks</t>
        </is>
      </c>
    </row>
    <row r="186">
      <c r="A186" s="17" t="inlineStr">
        <is>
          <t>Profit before tax / operating surplus</t>
        </is>
      </c>
      <c r="B186" s="17" t="inlineStr">
        <is>
          <t>CFS_PBT</t>
        </is>
      </c>
      <c r="C186" s="121" t="n">
        <v>0</v>
      </c>
      <c r="D186" s="121" t="n">
        <v>0</v>
      </c>
      <c r="E186" s="17" t="inlineStr">
        <is>
          <t>To be populated/calculated by AAH mapping engine</t>
        </is>
      </c>
      <c r="F186" s="17" t="str"/>
      <c r="G186" s="80" t="str"/>
    </row>
    <row r="187">
      <c r="A187" s="17" t="inlineStr">
        <is>
          <t>Non-cash adjustments</t>
        </is>
      </c>
      <c r="B187" s="17" t="inlineStr">
        <is>
          <t>CFS_ADJ</t>
        </is>
      </c>
      <c r="C187" s="121" t="n">
        <v>0</v>
      </c>
      <c r="D187" s="121" t="n">
        <v>0</v>
      </c>
      <c r="E187" s="17" t="inlineStr">
        <is>
          <t>To be populated/calculated by AAH mapping engine</t>
        </is>
      </c>
      <c r="F187" s="17" t="str"/>
      <c r="G187" s="80" t="str"/>
    </row>
    <row r="188">
      <c r="A188" s="17" t="inlineStr">
        <is>
          <t>Working capital changes</t>
        </is>
      </c>
      <c r="B188" s="17" t="inlineStr">
        <is>
          <t>CFS_WC</t>
        </is>
      </c>
      <c r="C188" s="121" t="n">
        <v>0</v>
      </c>
      <c r="D188" s="121" t="n">
        <v>0</v>
      </c>
      <c r="E188" s="17" t="inlineStr">
        <is>
          <t>To be populated/calculated by AAH mapping engine</t>
        </is>
      </c>
      <c r="F188" s="17" t="str"/>
      <c r="G188" s="80" t="str"/>
    </row>
    <row r="189">
      <c r="A189" s="17" t="inlineStr">
        <is>
          <t>Taxes paid</t>
        </is>
      </c>
      <c r="B189" s="17" t="inlineStr">
        <is>
          <t>CFS_TAX</t>
        </is>
      </c>
      <c r="C189" s="121" t="n">
        <v>0</v>
      </c>
      <c r="D189" s="121" t="n">
        <v>0</v>
      </c>
      <c r="E189" s="17" t="inlineStr">
        <is>
          <t>To be populated/calculated by AAH mapping engine</t>
        </is>
      </c>
      <c r="F189" s="17" t="str"/>
      <c r="G189" s="80" t="str"/>
    </row>
    <row r="190">
      <c r="A190" s="17" t="inlineStr">
        <is>
          <t>Net cash from operating activities</t>
        </is>
      </c>
      <c r="B190" s="17" t="inlineStr">
        <is>
          <t>CFS_CFO</t>
        </is>
      </c>
      <c r="C190" s="121" t="n">
        <v>0</v>
      </c>
      <c r="D190" s="121" t="n">
        <v>0</v>
      </c>
      <c r="E190" s="17" t="inlineStr">
        <is>
          <t>To be populated/calculated by AAH mapping engine</t>
        </is>
      </c>
      <c r="F190" s="17" t="str"/>
      <c r="G190" s="80" t="str"/>
    </row>
    <row r="191">
      <c r="A191" s="17" t="inlineStr">
        <is>
          <t>Net cash from investing activities</t>
        </is>
      </c>
      <c r="B191" s="17" t="inlineStr">
        <is>
          <t>CFS_CFI</t>
        </is>
      </c>
      <c r="C191" s="121" t="n">
        <v>0</v>
      </c>
      <c r="D191" s="121" t="n">
        <v>0</v>
      </c>
      <c r="E191" s="17" t="inlineStr">
        <is>
          <t>To be populated/calculated by AAH mapping engine</t>
        </is>
      </c>
      <c r="F191" s="17" t="str"/>
      <c r="G191" s="80" t="str"/>
    </row>
    <row r="192">
      <c r="A192" s="17" t="inlineStr">
        <is>
          <t>Net cash from financing activities</t>
        </is>
      </c>
      <c r="B192" s="17" t="inlineStr">
        <is>
          <t>CFS_CFF</t>
        </is>
      </c>
      <c r="C192" s="121" t="n">
        <v>0</v>
      </c>
      <c r="D192" s="121" t="n">
        <v>0</v>
      </c>
      <c r="E192" s="17" t="inlineStr">
        <is>
          <t>To be populated/calculated by AAH mapping engine</t>
        </is>
      </c>
      <c r="F192" s="17" t="str"/>
      <c r="G192" s="80" t="str"/>
    </row>
    <row r="193">
      <c r="A193" s="17" t="inlineStr">
        <is>
          <t>Net increase / (decrease) in cash</t>
        </is>
      </c>
      <c r="B193" s="17" t="inlineStr">
        <is>
          <t>CFS_NET</t>
        </is>
      </c>
      <c r="C193" s="121" t="n">
        <v>0</v>
      </c>
      <c r="D193" s="121" t="n">
        <v>0</v>
      </c>
      <c r="E193" s="17" t="inlineStr">
        <is>
          <t>To be populated/calculated by AAH mapping engine</t>
        </is>
      </c>
      <c r="F193" s="17" t="str"/>
      <c r="G193" s="80" t="str"/>
    </row>
    <row r="194">
      <c r="A194" s="17" t="inlineStr">
        <is>
          <t>Opening cash and cash equivalents</t>
        </is>
      </c>
      <c r="B194" s="17" t="inlineStr">
        <is>
          <t>CFS_OPEN</t>
        </is>
      </c>
      <c r="C194" s="121" t="n">
        <v>0</v>
      </c>
      <c r="D194" s="121" t="n">
        <v>0</v>
      </c>
      <c r="E194" s="17" t="inlineStr">
        <is>
          <t>To be populated/calculated by AAH mapping engine</t>
        </is>
      </c>
      <c r="F194" s="17" t="str"/>
      <c r="G194" s="80" t="str"/>
    </row>
    <row r="195">
      <c r="A195" s="17" t="inlineStr">
        <is>
          <t>Closing cash and cash equivalents</t>
        </is>
      </c>
      <c r="B195" s="17" t="inlineStr">
        <is>
          <t>CFS_CLOSE</t>
        </is>
      </c>
      <c r="C195" s="121" t="n">
        <v>0</v>
      </c>
      <c r="D195" s="121" t="n">
        <v>0</v>
      </c>
      <c r="E195" s="17" t="inlineStr">
        <is>
          <t>To be populated/calculated by AAH mapping engine</t>
        </is>
      </c>
      <c r="F195" s="17" t="str"/>
      <c r="G195" s="80" t="str"/>
    </row>
    <row r="196">
      <c r="A196" s="17" t="n"/>
      <c r="B196" s="17" t="n"/>
      <c r="C196" s="17" t="n"/>
      <c r="D196" s="17" t="n"/>
      <c r="E196" s="17" t="n"/>
      <c r="F196" s="17" t="n"/>
      <c r="G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</row>
    <row r="198" ht="26" customHeight="1" s="82">
      <c r="A198" s="79" t="inlineStr">
        <is>
          <t>Statement of Changes in Equity / Unitholders' Equity</t>
        </is>
      </c>
      <c r="B198" s="1" t="n"/>
      <c r="C198" s="1" t="n"/>
      <c r="D198" s="1" t="n"/>
      <c r="E198" s="1" t="n"/>
      <c r="F198" s="1" t="n"/>
      <c r="G198" s="1" t="n"/>
    </row>
    <row r="199">
      <c r="A199" s="14" t="inlineStr">
        <is>
          <t>Line Item</t>
        </is>
      </c>
      <c r="B199" s="14" t="inlineStr">
        <is>
          <t>AAH Mapping Key</t>
        </is>
      </c>
      <c r="C199" s="14" t="inlineStr">
        <is>
          <t>Current Period</t>
        </is>
      </c>
      <c r="D199" s="14" t="inlineStr">
        <is>
          <t>Previous Period</t>
        </is>
      </c>
      <c r="E199" s="14" t="inlineStr">
        <is>
          <t>Calculation / Rule</t>
        </is>
      </c>
      <c r="F199" s="14" t="inlineStr">
        <is>
          <t>Status</t>
        </is>
      </c>
      <c r="G199" s="14" t="inlineStr">
        <is>
          <t>Remarks</t>
        </is>
      </c>
    </row>
    <row r="200">
      <c r="A200" s="17" t="inlineStr">
        <is>
          <t>Opening equity / unit capital</t>
        </is>
      </c>
      <c r="B200" s="17" t="inlineStr">
        <is>
          <t>SOE_OPEN</t>
        </is>
      </c>
      <c r="C200" s="121" t="n">
        <v>0</v>
      </c>
      <c r="D200" s="121" t="n">
        <v>0</v>
      </c>
      <c r="E200" s="17" t="inlineStr">
        <is>
          <t>To be populated/calculated by AAH mapping engine</t>
        </is>
      </c>
      <c r="F200" s="17" t="str"/>
      <c r="G200" s="80" t="str"/>
    </row>
    <row r="201">
      <c r="A201" s="17" t="inlineStr">
        <is>
          <t>Changes in capital / units</t>
        </is>
      </c>
      <c r="B201" s="17" t="inlineStr">
        <is>
          <t>SOE_CAPCHG</t>
        </is>
      </c>
      <c r="C201" s="121" t="n">
        <v>0</v>
      </c>
      <c r="D201" s="121" t="n">
        <v>0</v>
      </c>
      <c r="E201" s="17" t="inlineStr">
        <is>
          <t>To be populated/calculated by AAH mapping engine</t>
        </is>
      </c>
      <c r="F201" s="17" t="str"/>
      <c r="G201" s="80" t="str"/>
    </row>
    <row r="202">
      <c r="A202" s="17" t="inlineStr">
        <is>
          <t>Profit / loss for period</t>
        </is>
      </c>
      <c r="B202" s="17" t="inlineStr">
        <is>
          <t>SOE_PL</t>
        </is>
      </c>
      <c r="C202" s="121" t="n">
        <v>0</v>
      </c>
      <c r="D202" s="121" t="n">
        <v>0</v>
      </c>
      <c r="E202" s="17" t="inlineStr">
        <is>
          <t>To be populated/calculated by AAH mapping engine</t>
        </is>
      </c>
      <c r="F202" s="17" t="str"/>
      <c r="G202" s="80" t="str"/>
    </row>
    <row r="203">
      <c r="A203" s="17" t="inlineStr">
        <is>
          <t>Other comprehensive income / fair value movement</t>
        </is>
      </c>
      <c r="B203" s="17" t="inlineStr">
        <is>
          <t>SOE_OCI</t>
        </is>
      </c>
      <c r="C203" s="121" t="n">
        <v>0</v>
      </c>
      <c r="D203" s="121" t="n">
        <v>0</v>
      </c>
      <c r="E203" s="17" t="inlineStr">
        <is>
          <t>To be populated/calculated by AAH mapping engine</t>
        </is>
      </c>
      <c r="F203" s="17" t="str"/>
      <c r="G203" s="80" t="str"/>
    </row>
    <row r="204">
      <c r="A204" s="17" t="inlineStr">
        <is>
          <t>Distributions / drawings</t>
        </is>
      </c>
      <c r="B204" s="17" t="inlineStr">
        <is>
          <t>SOE_DIST</t>
        </is>
      </c>
      <c r="C204" s="121" t="n">
        <v>0</v>
      </c>
      <c r="D204" s="121" t="n">
        <v>0</v>
      </c>
      <c r="E204" s="17" t="inlineStr">
        <is>
          <t>To be populated/calculated by AAH mapping engine</t>
        </is>
      </c>
      <c r="F204" s="17" t="str"/>
      <c r="G204" s="80" t="str"/>
    </row>
    <row r="205">
      <c r="A205" s="17" t="inlineStr">
        <is>
          <t>Other movements</t>
        </is>
      </c>
      <c r="B205" s="17" t="inlineStr">
        <is>
          <t>SOE_OTHER</t>
        </is>
      </c>
      <c r="C205" s="121" t="n">
        <v>0</v>
      </c>
      <c r="D205" s="121" t="n">
        <v>0</v>
      </c>
      <c r="E205" s="17" t="inlineStr">
        <is>
          <t>To be populated/calculated by AAH mapping engine</t>
        </is>
      </c>
      <c r="F205" s="17" t="str"/>
      <c r="G205" s="80" t="str"/>
    </row>
    <row r="206">
      <c r="A206" s="17" t="inlineStr">
        <is>
          <t>Closing equity / unit capital</t>
        </is>
      </c>
      <c r="B206" s="17" t="inlineStr">
        <is>
          <t>SOE_CLOSE</t>
        </is>
      </c>
      <c r="C206" s="121" t="n">
        <v>0</v>
      </c>
      <c r="D206" s="121" t="n">
        <v>0</v>
      </c>
      <c r="E206" s="17" t="inlineStr">
        <is>
          <t>To be populated/calculated by AAH mapping engine</t>
        </is>
      </c>
      <c r="F206" s="17" t="str"/>
      <c r="G206" s="80" t="str"/>
    </row>
    <row r="207">
      <c r="A207" s="17" t="n"/>
      <c r="B207" s="17" t="n"/>
      <c r="C207" s="17" t="n"/>
      <c r="D207" s="17" t="n"/>
      <c r="E207" s="17" t="n"/>
      <c r="F207" s="17" t="n"/>
      <c r="G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</row>
    <row r="209" ht="26" customHeight="1" s="82">
      <c r="A209" s="79" t="inlineStr">
        <is>
          <t>Validation</t>
        </is>
      </c>
      <c r="B209" s="1" t="n"/>
      <c r="C209" s="1" t="n"/>
      <c r="D209" s="1" t="n"/>
      <c r="E209" s="17" t="n"/>
      <c r="F209" s="17" t="n"/>
      <c r="G209" s="17" t="n"/>
    </row>
    <row r="210">
      <c r="A210" s="14" t="inlineStr">
        <is>
          <t>Check</t>
        </is>
      </c>
      <c r="B210" s="14" t="inlineStr">
        <is>
          <t>Current Period</t>
        </is>
      </c>
      <c r="C210" s="14" t="inlineStr">
        <is>
          <t>Previous Period</t>
        </is>
      </c>
      <c r="D210" s="14" t="inlineStr">
        <is>
          <t>Result</t>
        </is>
      </c>
      <c r="E210" s="17" t="n"/>
      <c r="F210" s="17" t="n"/>
      <c r="G210" s="17" t="n"/>
    </row>
    <row r="211">
      <c r="A211" s="17" t="inlineStr">
        <is>
          <t>Balance Sheet difference</t>
        </is>
      </c>
      <c r="B211" s="17">
        <f>C33-C52</f>
        <v/>
      </c>
      <c r="C211" s="17">
        <f>D33-D52</f>
        <v/>
      </c>
      <c r="D211" s="17">
        <f>IF(AND(ABS(B211)&lt;1,ABS(C211)&lt;1),"PASS","CHECK")</f>
        <v/>
      </c>
      <c r="E211" s="17" t="n"/>
      <c r="F211" s="17" t="n"/>
      <c r="G211" s="17" t="n"/>
    </row>
    <row r="212">
      <c r="A212" s="17" t="inlineStr">
        <is>
          <t>Notes / disclosures</t>
        </is>
      </c>
      <c r="B212" s="17" t="inlineStr">
        <is>
          <t>Review</t>
        </is>
      </c>
      <c r="C212" s="17" t="inlineStr">
        <is>
          <t>Review</t>
        </is>
      </c>
      <c r="D212" s="17" t="inlineStr">
        <is>
          <t>Review</t>
        </is>
      </c>
      <c r="E212" s="17" t="n"/>
      <c r="F212" s="17" t="n"/>
      <c r="G212" s="17" t="n"/>
    </row>
    <row r="213">
      <c r="A213" s="17" t="inlineStr">
        <is>
          <t>Profile readiness</t>
        </is>
      </c>
      <c r="B213" s="17" t="str"/>
      <c r="C213" s="17" t="str"/>
      <c r="D213" s="17">
        <f>IF(D211="PASS","READY FOR REVIEW","NOT READY")</f>
        <v/>
      </c>
      <c r="E213" s="17" t="n"/>
      <c r="F213" s="17" t="n"/>
      <c r="G213" s="17" t="n"/>
    </row>
    <row r="214"/>
    <row r="215"/>
    <row r="216"/>
    <row r="217">
      <c r="A217" s="101" t="inlineStr">
        <is>
          <t>Signatures / Certification</t>
        </is>
      </c>
      <c r="B217" s="101" t="str"/>
      <c r="C217" s="101" t="str"/>
      <c r="D217" s="101" t="str"/>
      <c r="E217" s="101" t="str"/>
      <c r="F217" s="101" t="str"/>
    </row>
    <row r="218">
      <c r="A218" s="112" t="inlineStr">
        <is>
          <t>Entity Signatory</t>
        </is>
      </c>
      <c r="B218" s="104">
        <f>'AAH Basic Info'!B13</f>
        <v/>
      </c>
      <c r="C218" s="115" t="inlineStr">
        <is>
          <t>Designation</t>
        </is>
      </c>
      <c r="D218" s="104">
        <f>'AAH Basic Info'!B14</f>
        <v/>
      </c>
      <c r="E218" s="115" t="inlineStr">
        <is>
          <t>DIN</t>
        </is>
      </c>
      <c r="F218" s="105">
        <f>'AAH Basic Info'!B15</f>
        <v/>
      </c>
    </row>
    <row r="219">
      <c r="A219" s="113" t="inlineStr">
        <is>
          <t>Signing Date</t>
        </is>
      </c>
      <c r="B219" s="107">
        <f>'AAH Basic Info'!B16</f>
        <v/>
      </c>
      <c r="C219" s="116" t="inlineStr">
        <is>
          <t>Place</t>
        </is>
      </c>
      <c r="D219" s="107">
        <f>'AAH Basic Info'!B17</f>
        <v/>
      </c>
      <c r="E219" s="116" t="str"/>
      <c r="F219" s="108" t="str"/>
    </row>
    <row r="220">
      <c r="A220" s="113" t="inlineStr">
        <is>
          <t>Audit Firm</t>
        </is>
      </c>
      <c r="B220" s="107">
        <f>'AAH Basic Info'!B18</f>
        <v/>
      </c>
      <c r="C220" s="116" t="inlineStr">
        <is>
          <t>FRN</t>
        </is>
      </c>
      <c r="D220" s="107">
        <f>'AAH Basic Info'!B19</f>
        <v/>
      </c>
      <c r="E220" s="116" t="str"/>
      <c r="F220" s="108" t="str"/>
    </row>
    <row r="221">
      <c r="A221" s="113" t="inlineStr">
        <is>
          <t>Signing CA</t>
        </is>
      </c>
      <c r="B221" s="107">
        <f>'AAH Basic Info'!B20</f>
        <v/>
      </c>
      <c r="C221" s="116" t="inlineStr">
        <is>
          <t>Designation</t>
        </is>
      </c>
      <c r="D221" s="107">
        <f>'AAH Basic Info'!B21</f>
        <v/>
      </c>
      <c r="E221" s="116" t="inlineStr">
        <is>
          <t>Membership No.</t>
        </is>
      </c>
      <c r="F221" s="108">
        <f>'AAH Basic Info'!B22</f>
        <v/>
      </c>
    </row>
    <row r="222">
      <c r="A222" s="114" t="inlineStr">
        <is>
          <t>Audit Place</t>
        </is>
      </c>
      <c r="B222" s="110">
        <f>'AAH Basic Info'!B23</f>
        <v/>
      </c>
      <c r="C222" s="117" t="inlineStr">
        <is>
          <t>Signing Date</t>
        </is>
      </c>
      <c r="D222" s="110">
        <f>'AAH Basic Info'!B30</f>
        <v/>
      </c>
      <c r="E222" s="117" t="str"/>
      <c r="F222" s="111" t="str"/>
    </row>
  </sheetData>
  <mergeCells count="8">
    <mergeCell ref="A198:G198"/>
    <mergeCell ref="A1:G1"/>
    <mergeCell ref="A6:D6"/>
    <mergeCell ref="A184:G184"/>
    <mergeCell ref="A77:G77"/>
    <mergeCell ref="A209:D209"/>
    <mergeCell ref="A55:D55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NBFC — Accounting Standards (non-Ind AS)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MCA + RBI | Official source: https://www.rbi.org.in/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EQUITY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61" t="inlineStr">
        <is>
          <t>1. Shareholders' Funds</t>
        </is>
      </c>
      <c r="B9" s="61" t="str"/>
      <c r="C9" s="119" t="n"/>
      <c r="D9" s="119" t="n"/>
      <c r="E9" s="17" t="n"/>
      <c r="F9" s="17" t="n"/>
      <c r="G9" s="17" t="n"/>
    </row>
    <row r="10">
      <c r="A10" s="17" t="inlineStr">
        <is>
          <t>Share Capital</t>
        </is>
      </c>
      <c r="B10" s="17" t="inlineStr">
        <is>
          <t>1</t>
        </is>
      </c>
      <c r="C10" s="120">
        <f>E75</f>
        <v/>
      </c>
      <c r="D10" s="120">
        <f>F75</f>
        <v/>
      </c>
      <c r="E10" s="17" t="n"/>
      <c r="F10" s="17" t="n"/>
      <c r="G10" s="17" t="n"/>
    </row>
    <row r="11">
      <c r="A11" s="17" t="inlineStr">
        <is>
          <t>Reserves and Surplus</t>
        </is>
      </c>
      <c r="B11" s="17" t="inlineStr">
        <is>
          <t>2</t>
        </is>
      </c>
      <c r="C11" s="120">
        <f>E83</f>
        <v/>
      </c>
      <c r="D11" s="120">
        <f>F83</f>
        <v/>
      </c>
      <c r="E11" s="17" t="n"/>
      <c r="F11" s="17" t="n"/>
      <c r="G11" s="17" t="n"/>
    </row>
    <row r="12">
      <c r="A12" s="61" t="inlineStr">
        <is>
          <t>2. Share Application Money Pending Allotment</t>
        </is>
      </c>
      <c r="B12" s="61" t="str"/>
      <c r="C12" s="119" t="n"/>
      <c r="D12" s="119" t="n"/>
      <c r="E12" s="17" t="n"/>
      <c r="F12" s="17" t="n"/>
      <c r="G12" s="17" t="n"/>
    </row>
    <row r="13">
      <c r="A13" s="17" t="inlineStr">
        <is>
          <t>Share Application Money Pending Allotment</t>
        </is>
      </c>
      <c r="B13" s="17" t="inlineStr">
        <is>
          <t>—</t>
        </is>
      </c>
      <c r="C13" s="121" t="n"/>
      <c r="D13" s="121" t="n"/>
      <c r="E13" s="17" t="n"/>
      <c r="F13" s="17" t="n"/>
      <c r="G13" s="17" t="n"/>
    </row>
    <row r="14">
      <c r="A14" s="61" t="inlineStr">
        <is>
          <t>3. Non-current Liabilities</t>
        </is>
      </c>
      <c r="B14" s="61" t="str"/>
      <c r="C14" s="119" t="n"/>
      <c r="D14" s="119" t="n"/>
      <c r="E14" s="17" t="n"/>
      <c r="F14" s="17" t="n"/>
      <c r="G14" s="17" t="n"/>
    </row>
    <row r="15">
      <c r="A15" s="17" t="inlineStr">
        <is>
          <t>Long-term Borrowings</t>
        </is>
      </c>
      <c r="B15" s="17" t="inlineStr">
        <is>
          <t>3</t>
        </is>
      </c>
      <c r="C15" s="120">
        <f>E92</f>
        <v/>
      </c>
      <c r="D15" s="120">
        <f>F92</f>
        <v/>
      </c>
      <c r="E15" s="17" t="n"/>
      <c r="F15" s="17" t="n"/>
      <c r="G15" s="17" t="n"/>
    </row>
    <row r="16">
      <c r="A16" s="17" t="inlineStr">
        <is>
          <t>Deferred Tax Liabilities (Net)</t>
        </is>
      </c>
      <c r="B16" s="17" t="inlineStr">
        <is>
          <t>4</t>
        </is>
      </c>
      <c r="C16" s="120">
        <f>E94</f>
        <v/>
      </c>
      <c r="D16" s="120">
        <f>F94</f>
        <v/>
      </c>
      <c r="E16" s="17" t="n"/>
      <c r="F16" s="17" t="n"/>
      <c r="G16" s="17" t="n"/>
    </row>
    <row r="17">
      <c r="A17" s="17" t="inlineStr">
        <is>
          <t>Other Long-term Liabilities</t>
        </is>
      </c>
      <c r="B17" s="17" t="inlineStr">
        <is>
          <t>5</t>
        </is>
      </c>
      <c r="C17" s="120">
        <f>E98</f>
        <v/>
      </c>
      <c r="D17" s="120">
        <f>F98</f>
        <v/>
      </c>
      <c r="E17" s="17" t="n"/>
      <c r="F17" s="17" t="n"/>
      <c r="G17" s="17" t="n"/>
    </row>
    <row r="18">
      <c r="A18" s="17" t="inlineStr">
        <is>
          <t>Long-term Provisions</t>
        </is>
      </c>
      <c r="B18" s="17" t="inlineStr">
        <is>
          <t>6</t>
        </is>
      </c>
      <c r="C18" s="120">
        <f>E101</f>
        <v/>
      </c>
      <c r="D18" s="120">
        <f>F101</f>
        <v/>
      </c>
      <c r="E18" s="17" t="n"/>
      <c r="F18" s="17" t="n"/>
      <c r="G18" s="17" t="n"/>
    </row>
    <row r="19">
      <c r="A19" s="61" t="inlineStr">
        <is>
          <t>4. Current Liabilities</t>
        </is>
      </c>
      <c r="B19" s="61" t="str"/>
      <c r="C19" s="119" t="n"/>
      <c r="D19" s="119" t="n"/>
      <c r="E19" s="17" t="n"/>
      <c r="F19" s="17" t="n"/>
      <c r="G19" s="17" t="n"/>
    </row>
    <row r="20">
      <c r="A20" s="17" t="inlineStr">
        <is>
          <t>Short-term Borrowings</t>
        </is>
      </c>
      <c r="B20" s="17" t="inlineStr">
        <is>
          <t>7</t>
        </is>
      </c>
      <c r="C20" s="120">
        <f>E107</f>
        <v/>
      </c>
      <c r="D20" s="120">
        <f>F107</f>
        <v/>
      </c>
      <c r="E20" s="17" t="n"/>
      <c r="F20" s="17" t="n"/>
      <c r="G20" s="17" t="n"/>
    </row>
    <row r="21">
      <c r="A21" s="17" t="inlineStr">
        <is>
          <t>Trade Payables</t>
        </is>
      </c>
      <c r="B21" s="17" t="inlineStr">
        <is>
          <t>8</t>
        </is>
      </c>
      <c r="C21" s="120">
        <f>E112</f>
        <v/>
      </c>
      <c r="D21" s="120">
        <f>F112</f>
        <v/>
      </c>
      <c r="E21" s="17" t="n"/>
      <c r="F21" s="17" t="n"/>
      <c r="G21" s="17" t="n"/>
    </row>
    <row r="22">
      <c r="A22" s="17" t="inlineStr">
        <is>
          <t>Other Current Liabilities</t>
        </is>
      </c>
      <c r="B22" s="17" t="inlineStr">
        <is>
          <t>9</t>
        </is>
      </c>
      <c r="C22" s="120">
        <f>E121</f>
        <v/>
      </c>
      <c r="D22" s="120">
        <f>F121</f>
        <v/>
      </c>
      <c r="E22" s="17" t="n"/>
      <c r="F22" s="17" t="n"/>
      <c r="G22" s="17" t="n"/>
    </row>
    <row r="23">
      <c r="A23" s="17" t="inlineStr">
        <is>
          <t>Short-term Provisions</t>
        </is>
      </c>
      <c r="B23" s="17" t="inlineStr">
        <is>
          <t>10</t>
        </is>
      </c>
      <c r="C23" s="120">
        <f>E125</f>
        <v/>
      </c>
      <c r="D23" s="120">
        <f>F125</f>
        <v/>
      </c>
      <c r="E23" s="17" t="n"/>
      <c r="F23" s="17" t="n"/>
      <c r="G23" s="17" t="n"/>
    </row>
    <row r="24">
      <c r="A24" s="65" t="inlineStr">
        <is>
          <t>TOTAL EQUITY AND LIABILITIES</t>
        </is>
      </c>
      <c r="B24" s="65" t="str"/>
      <c r="C24" s="122">
        <f>SUM(C10,C11,C13,C15,C16,C17,C18,C20,C21,C22,C23)</f>
        <v/>
      </c>
      <c r="D24" s="122">
        <f>SUM(D10,D11,D13,D15,D16,D17,D18,D20,D21,D22,D23)</f>
        <v/>
      </c>
      <c r="E24" s="17" t="n"/>
      <c r="F24" s="17" t="n"/>
      <c r="G24" s="17" t="n"/>
    </row>
    <row r="25">
      <c r="A25" s="42" t="inlineStr">
        <is>
          <t>ASSETS</t>
        </is>
      </c>
      <c r="B25" s="42" t="str"/>
      <c r="C25" s="118" t="n"/>
      <c r="D25" s="118" t="n"/>
      <c r="E25" s="17" t="n"/>
      <c r="F25" s="17" t="n"/>
      <c r="G25" s="17" t="n"/>
    </row>
    <row r="26">
      <c r="A26" s="61" t="inlineStr">
        <is>
          <t>1. Non-current Assets</t>
        </is>
      </c>
      <c r="B26" s="61" t="str"/>
      <c r="C26" s="119" t="n"/>
      <c r="D26" s="119" t="n"/>
      <c r="E26" s="17" t="n"/>
      <c r="F26" s="17" t="n"/>
      <c r="G26" s="17" t="n"/>
    </row>
    <row r="27">
      <c r="A27" s="17" t="inlineStr">
        <is>
          <t>Property, Plant and Equipment / Intangibles / CWIP</t>
        </is>
      </c>
      <c r="B27" s="17" t="inlineStr">
        <is>
          <t>11</t>
        </is>
      </c>
      <c r="C27" s="120">
        <f>E135</f>
        <v/>
      </c>
      <c r="D27" s="120">
        <f>F135</f>
        <v/>
      </c>
      <c r="E27" s="17" t="n"/>
      <c r="F27" s="17" t="n"/>
      <c r="G27" s="17" t="n"/>
    </row>
    <row r="28">
      <c r="A28" s="17" t="inlineStr">
        <is>
          <t>Non-current Investments</t>
        </is>
      </c>
      <c r="B28" s="17" t="inlineStr">
        <is>
          <t>12</t>
        </is>
      </c>
      <c r="C28" s="120">
        <f>E144</f>
        <v/>
      </c>
      <c r="D28" s="120">
        <f>F144</f>
        <v/>
      </c>
      <c r="E28" s="17" t="n"/>
      <c r="F28" s="17" t="n"/>
      <c r="G28" s="17" t="n"/>
    </row>
    <row r="29">
      <c r="A29" s="17" t="inlineStr">
        <is>
          <t>Deferred Tax Assets (Net)</t>
        </is>
      </c>
      <c r="B29" s="17" t="inlineStr">
        <is>
          <t>4</t>
        </is>
      </c>
      <c r="C29" s="120">
        <f>E93</f>
        <v/>
      </c>
      <c r="D29" s="120">
        <f>F93</f>
        <v/>
      </c>
      <c r="E29" s="17" t="n"/>
      <c r="F29" s="17" t="n"/>
      <c r="G29" s="17" t="n"/>
    </row>
    <row r="30">
      <c r="A30" s="17" t="inlineStr">
        <is>
          <t>Long-term Loans and Advances</t>
        </is>
      </c>
      <c r="B30" s="17" t="inlineStr">
        <is>
          <t>13</t>
        </is>
      </c>
      <c r="C30" s="120">
        <f>E150</f>
        <v/>
      </c>
      <c r="D30" s="120">
        <f>F150</f>
        <v/>
      </c>
      <c r="E30" s="17" t="n"/>
      <c r="F30" s="17" t="n"/>
      <c r="G30" s="17" t="n"/>
    </row>
    <row r="31">
      <c r="A31" s="17" t="inlineStr">
        <is>
          <t>Other Non-current Assets</t>
        </is>
      </c>
      <c r="B31" s="17" t="inlineStr">
        <is>
          <t>14</t>
        </is>
      </c>
      <c r="C31" s="120">
        <f>E154</f>
        <v/>
      </c>
      <c r="D31" s="120">
        <f>F154</f>
        <v/>
      </c>
      <c r="E31" s="17" t="n"/>
      <c r="F31" s="17" t="n"/>
      <c r="G31" s="17" t="n"/>
    </row>
    <row r="32">
      <c r="A32" s="61" t="inlineStr">
        <is>
          <t>2. Current Assets</t>
        </is>
      </c>
      <c r="B32" s="61" t="str"/>
      <c r="C32" s="119" t="n"/>
      <c r="D32" s="119" t="n"/>
      <c r="E32" s="17" t="n"/>
      <c r="F32" s="17" t="n"/>
      <c r="G32" s="17" t="n"/>
    </row>
    <row r="33">
      <c r="A33" s="17" t="inlineStr">
        <is>
          <t>Current Investments</t>
        </is>
      </c>
      <c r="B33" s="17" t="inlineStr">
        <is>
          <t>15</t>
        </is>
      </c>
      <c r="C33" s="120">
        <f>E158</f>
        <v/>
      </c>
      <c r="D33" s="120">
        <f>F158</f>
        <v/>
      </c>
      <c r="E33" s="17" t="n"/>
      <c r="F33" s="17" t="n"/>
      <c r="G33" s="17" t="n"/>
    </row>
    <row r="34">
      <c r="A34" s="17" t="inlineStr">
        <is>
          <t>Inventories</t>
        </is>
      </c>
      <c r="B34" s="17" t="inlineStr">
        <is>
          <t>16</t>
        </is>
      </c>
      <c r="C34" s="120">
        <f>E167</f>
        <v/>
      </c>
      <c r="D34" s="120">
        <f>F167</f>
        <v/>
      </c>
      <c r="E34" s="17" t="n"/>
      <c r="F34" s="17" t="n"/>
      <c r="G34" s="17" t="n"/>
    </row>
    <row r="35">
      <c r="A35" s="17" t="inlineStr">
        <is>
          <t>Trade Receivables</t>
        </is>
      </c>
      <c r="B35" s="17" t="inlineStr">
        <is>
          <t>17</t>
        </is>
      </c>
      <c r="C35" s="120">
        <f>E173</f>
        <v/>
      </c>
      <c r="D35" s="120">
        <f>F173</f>
        <v/>
      </c>
      <c r="E35" s="17" t="n"/>
      <c r="F35" s="17" t="n"/>
      <c r="G35" s="17" t="n"/>
    </row>
    <row r="36">
      <c r="A36" s="17" t="inlineStr">
        <is>
          <t>Cash and Cash Equivalents</t>
        </is>
      </c>
      <c r="B36" s="17" t="inlineStr">
        <is>
          <t>18</t>
        </is>
      </c>
      <c r="C36" s="120">
        <f>E178</f>
        <v/>
      </c>
      <c r="D36" s="120">
        <f>F178</f>
        <v/>
      </c>
      <c r="E36" s="17" t="n"/>
      <c r="F36" s="17" t="n"/>
      <c r="G36" s="17" t="n"/>
    </row>
    <row r="37">
      <c r="A37" s="17" t="inlineStr">
        <is>
          <t>Short-term Loans and Advances</t>
        </is>
      </c>
      <c r="B37" s="17" t="inlineStr">
        <is>
          <t>19</t>
        </is>
      </c>
      <c r="C37" s="120">
        <f>E182</f>
        <v/>
      </c>
      <c r="D37" s="120">
        <f>F182</f>
        <v/>
      </c>
      <c r="E37" s="17" t="n"/>
      <c r="F37" s="17" t="n"/>
      <c r="G37" s="17" t="n"/>
    </row>
    <row r="38">
      <c r="A38" s="17" t="inlineStr">
        <is>
          <t>Other Current Assets</t>
        </is>
      </c>
      <c r="B38" s="17" t="inlineStr">
        <is>
          <t>20</t>
        </is>
      </c>
      <c r="C38" s="120">
        <f>E187</f>
        <v/>
      </c>
      <c r="D38" s="120">
        <f>F187</f>
        <v/>
      </c>
      <c r="E38" s="17" t="n"/>
      <c r="F38" s="17" t="n"/>
      <c r="G38" s="17" t="n"/>
    </row>
    <row r="39">
      <c r="A39" s="65" t="inlineStr">
        <is>
          <t>TOTAL ASSETS</t>
        </is>
      </c>
      <c r="B39" s="65" t="str"/>
      <c r="C39" s="122">
        <f>SUM(C27,C28,C29,C30,C31,C33,C34,C35,C36,C37,C38)</f>
        <v/>
      </c>
      <c r="D39" s="122">
        <f>SUM(D27,D28,D29,D30,D31,D33,D34,D35,D36,D37,D38)</f>
        <v/>
      </c>
      <c r="E39" s="17" t="n"/>
      <c r="F39" s="17" t="n"/>
      <c r="G39" s="17" t="n"/>
    </row>
    <row r="40">
      <c r="A40" s="17" t="n"/>
      <c r="B40" s="17" t="n"/>
      <c r="C40" s="120" t="n"/>
      <c r="D40" s="120" t="n"/>
      <c r="E40" s="17" t="n"/>
      <c r="F40" s="17" t="n"/>
      <c r="G40" s="17" t="n"/>
    </row>
    <row r="41">
      <c r="A41" s="17" t="n"/>
      <c r="B41" s="17" t="n"/>
      <c r="C41" s="120" t="n"/>
      <c r="D41" s="120" t="n"/>
      <c r="E41" s="17" t="n"/>
      <c r="F41" s="17" t="n"/>
      <c r="G41" s="17" t="n"/>
    </row>
    <row r="42">
      <c r="A42" s="71" t="inlineStr">
        <is>
          <t>Statement of Profit &amp; Loss / Income &amp; Expenditure / Revenue Account</t>
        </is>
      </c>
      <c r="B42" s="1" t="n"/>
      <c r="C42" s="1" t="n"/>
      <c r="D42" s="1" t="n"/>
      <c r="E42" s="17" t="n"/>
      <c r="F42" s="17" t="n"/>
      <c r="G42" s="17" t="n"/>
    </row>
    <row r="43">
      <c r="A43" s="14" t="inlineStr">
        <is>
          <t>Particulars</t>
        </is>
      </c>
      <c r="B43" s="14" t="inlineStr">
        <is>
          <t>Note No.</t>
        </is>
      </c>
      <c r="C43" s="123" t="inlineStr">
        <is>
          <t>Current Reporting Period</t>
        </is>
      </c>
      <c r="D43" s="123" t="inlineStr">
        <is>
          <t>Previous Reporting Period</t>
        </is>
      </c>
      <c r="E43" s="17" t="n"/>
      <c r="F43" s="17" t="n"/>
      <c r="G43" s="17" t="n"/>
    </row>
    <row r="44">
      <c r="A44" s="17" t="inlineStr">
        <is>
          <t>Revenue from Operations</t>
        </is>
      </c>
      <c r="B44" s="17" t="inlineStr">
        <is>
          <t>21</t>
        </is>
      </c>
      <c r="C44" s="120">
        <f>E192</f>
        <v/>
      </c>
      <c r="D44" s="120">
        <f>F192</f>
        <v/>
      </c>
      <c r="E44" s="17" t="n"/>
      <c r="F44" s="17" t="n"/>
      <c r="G44" s="17" t="n"/>
    </row>
    <row r="45">
      <c r="A45" s="17" t="inlineStr">
        <is>
          <t>Other Income</t>
        </is>
      </c>
      <c r="B45" s="17" t="inlineStr">
        <is>
          <t>22</t>
        </is>
      </c>
      <c r="C45" s="120">
        <f>E197</f>
        <v/>
      </c>
      <c r="D45" s="120">
        <f>F197</f>
        <v/>
      </c>
      <c r="E45" s="17" t="n"/>
      <c r="F45" s="17" t="n"/>
      <c r="G45" s="17" t="n"/>
    </row>
    <row r="46">
      <c r="A46" s="65" t="inlineStr">
        <is>
          <t>TOTAL INCOME</t>
        </is>
      </c>
      <c r="B46" s="65" t="str"/>
      <c r="C46" s="122">
        <f>SUM(C44,C45)</f>
        <v/>
      </c>
      <c r="D46" s="122">
        <f>SUM(D44,D45)</f>
        <v/>
      </c>
      <c r="E46" s="17" t="n"/>
      <c r="F46" s="17" t="n"/>
      <c r="G46" s="17" t="n"/>
    </row>
    <row r="47">
      <c r="A47" s="42" t="inlineStr">
        <is>
          <t>EXPENSES</t>
        </is>
      </c>
      <c r="B47" s="42" t="str"/>
      <c r="C47" s="118" t="n"/>
      <c r="D47" s="118" t="n"/>
      <c r="E47" s="17" t="n"/>
      <c r="F47" s="17" t="n"/>
      <c r="G47" s="17" t="n"/>
    </row>
    <row r="48">
      <c r="A48" s="17" t="inlineStr">
        <is>
          <t>Cost of Materials Consumed</t>
        </is>
      </c>
      <c r="B48" s="17" t="inlineStr">
        <is>
          <t>23</t>
        </is>
      </c>
      <c r="C48" s="120">
        <f>E202</f>
        <v/>
      </c>
      <c r="D48" s="120">
        <f>F202</f>
        <v/>
      </c>
      <c r="E48" s="17" t="n"/>
      <c r="F48" s="17" t="n"/>
      <c r="G48" s="17" t="n"/>
    </row>
    <row r="49">
      <c r="A49" s="17" t="inlineStr">
        <is>
          <t>Purchases of Stock-in-Trade</t>
        </is>
      </c>
      <c r="B49" s="17" t="inlineStr">
        <is>
          <t>24</t>
        </is>
      </c>
      <c r="C49" s="120">
        <f>E204</f>
        <v/>
      </c>
      <c r="D49" s="120">
        <f>F204</f>
        <v/>
      </c>
      <c r="E49" s="17" t="n"/>
      <c r="F49" s="17" t="n"/>
      <c r="G49" s="17" t="n"/>
    </row>
    <row r="50">
      <c r="A50" s="17" t="inlineStr">
        <is>
          <t>Changes in Inventories</t>
        </is>
      </c>
      <c r="B50" s="17" t="inlineStr">
        <is>
          <t>25</t>
        </is>
      </c>
      <c r="C50" s="120">
        <f>E207</f>
        <v/>
      </c>
      <c r="D50" s="120">
        <f>F207</f>
        <v/>
      </c>
      <c r="E50" s="17" t="n"/>
      <c r="F50" s="17" t="n"/>
      <c r="G50" s="17" t="n"/>
    </row>
    <row r="51">
      <c r="A51" s="17" t="inlineStr">
        <is>
          <t>Employee Benefits Expense</t>
        </is>
      </c>
      <c r="B51" s="17" t="inlineStr">
        <is>
          <t>26</t>
        </is>
      </c>
      <c r="C51" s="120">
        <f>E212</f>
        <v/>
      </c>
      <c r="D51" s="120">
        <f>F212</f>
        <v/>
      </c>
      <c r="E51" s="17" t="n"/>
      <c r="F51" s="17" t="n"/>
      <c r="G51" s="17" t="n"/>
    </row>
    <row r="52">
      <c r="A52" s="17" t="inlineStr">
        <is>
          <t>Finance Costs</t>
        </is>
      </c>
      <c r="B52" s="17" t="inlineStr">
        <is>
          <t>27</t>
        </is>
      </c>
      <c r="C52" s="120">
        <f>E216</f>
        <v/>
      </c>
      <c r="D52" s="120">
        <f>F216</f>
        <v/>
      </c>
      <c r="E52" s="17" t="n"/>
      <c r="F52" s="17" t="n"/>
      <c r="G52" s="17" t="n"/>
    </row>
    <row r="53">
      <c r="A53" s="17" t="inlineStr">
        <is>
          <t>Depreciation and Amortisation Expense</t>
        </is>
      </c>
      <c r="B53" s="17" t="inlineStr">
        <is>
          <t>28</t>
        </is>
      </c>
      <c r="C53" s="120">
        <f>E219</f>
        <v/>
      </c>
      <c r="D53" s="120">
        <f>F219</f>
        <v/>
      </c>
      <c r="E53" s="17" t="n"/>
      <c r="F53" s="17" t="n"/>
      <c r="G53" s="17" t="n"/>
    </row>
    <row r="54">
      <c r="A54" s="17" t="inlineStr">
        <is>
          <t>Other Expenses</t>
        </is>
      </c>
      <c r="B54" s="17" t="inlineStr">
        <is>
          <t>29</t>
        </is>
      </c>
      <c r="C54" s="120">
        <f>E230</f>
        <v/>
      </c>
      <c r="D54" s="120">
        <f>F230</f>
        <v/>
      </c>
      <c r="E54" s="17" t="n"/>
      <c r="F54" s="17" t="n"/>
      <c r="G54" s="17" t="n"/>
    </row>
    <row r="55">
      <c r="A55" s="65" t="inlineStr">
        <is>
          <t>TOTAL EXPENSES</t>
        </is>
      </c>
      <c r="B55" s="65" t="str"/>
      <c r="C55" s="122">
        <f>SUM(C48,C49,C50,C51,C52,C53,C54)</f>
        <v/>
      </c>
      <c r="D55" s="122">
        <f>SUM(D48,D49,D50,D51,D52,D53,D54)</f>
        <v/>
      </c>
      <c r="E55" s="17" t="n"/>
      <c r="F55" s="17" t="n"/>
      <c r="G55" s="17" t="n"/>
    </row>
    <row r="56">
      <c r="A56" s="65" t="inlineStr">
        <is>
          <t>Profit/(Loss) before Exceptional and Extraordinary Items and Tax</t>
        </is>
      </c>
      <c r="B56" s="65" t="str"/>
      <c r="C56" s="122">
        <f>C46-C55</f>
        <v/>
      </c>
      <c r="D56" s="122">
        <f>D46-D55</f>
        <v/>
      </c>
      <c r="E56" s="17" t="n"/>
      <c r="F56" s="17" t="n"/>
      <c r="G56" s="17" t="n"/>
    </row>
    <row r="57">
      <c r="A57" s="17" t="inlineStr">
        <is>
          <t>Exceptional Items</t>
        </is>
      </c>
      <c r="B57" s="17" t="inlineStr">
        <is>
          <t>—</t>
        </is>
      </c>
      <c r="C57" s="121" t="n"/>
      <c r="D57" s="121" t="n"/>
      <c r="E57" s="17" t="n"/>
      <c r="F57" s="17" t="n"/>
      <c r="G57" s="17" t="n"/>
    </row>
    <row r="58">
      <c r="A58" s="65" t="inlineStr">
        <is>
          <t>Profit/(Loss) before Extraordinary Items and Tax</t>
        </is>
      </c>
      <c r="B58" s="65" t="str"/>
      <c r="C58" s="122">
        <f>C56-SUM(C57)</f>
        <v/>
      </c>
      <c r="D58" s="122">
        <f>D56-SUM(D57)</f>
        <v/>
      </c>
      <c r="E58" s="17" t="n"/>
      <c r="F58" s="17" t="n"/>
      <c r="G58" s="17" t="n"/>
    </row>
    <row r="59">
      <c r="A59" s="17" t="inlineStr">
        <is>
          <t>Extraordinary Items</t>
        </is>
      </c>
      <c r="B59" s="17" t="inlineStr">
        <is>
          <t>—</t>
        </is>
      </c>
      <c r="C59" s="121" t="n"/>
      <c r="D59" s="121" t="n"/>
      <c r="E59" s="17" t="n"/>
      <c r="F59" s="17" t="n"/>
      <c r="G59" s="17" t="n"/>
    </row>
    <row r="60">
      <c r="A60" s="65" t="inlineStr">
        <is>
          <t>Profit Before Tax</t>
        </is>
      </c>
      <c r="B60" s="65" t="str"/>
      <c r="C60" s="122">
        <f>C58-SUM(C59)</f>
        <v/>
      </c>
      <c r="D60" s="122">
        <f>D58-SUM(D59)</f>
        <v/>
      </c>
      <c r="E60" s="17" t="n"/>
      <c r="F60" s="17" t="n"/>
      <c r="G60" s="17" t="n"/>
    </row>
    <row r="61">
      <c r="A61" s="17" t="inlineStr">
        <is>
          <t>Current Tax</t>
        </is>
      </c>
      <c r="B61" s="17" t="inlineStr">
        <is>
          <t>—</t>
        </is>
      </c>
      <c r="C61" s="121" t="n"/>
      <c r="D61" s="121" t="n"/>
      <c r="E61" s="17" t="n"/>
      <c r="F61" s="17" t="n"/>
      <c r="G61" s="17" t="n"/>
    </row>
    <row r="62">
      <c r="A62" s="17" t="inlineStr">
        <is>
          <t>Earlier-year Tax Adjustment</t>
        </is>
      </c>
      <c r="B62" s="17" t="inlineStr">
        <is>
          <t>—</t>
        </is>
      </c>
      <c r="C62" s="121" t="n"/>
      <c r="D62" s="121" t="n"/>
      <c r="E62" s="17" t="n"/>
      <c r="F62" s="17" t="n"/>
      <c r="G62" s="17" t="n"/>
    </row>
    <row r="63">
      <c r="A63" s="17" t="inlineStr">
        <is>
          <t>Deferred Tax Charge / (Benefit)</t>
        </is>
      </c>
      <c r="B63" s="17" t="inlineStr">
        <is>
          <t>—</t>
        </is>
      </c>
      <c r="C63" s="121" t="n"/>
      <c r="D63" s="121" t="n"/>
      <c r="E63" s="17" t="n"/>
      <c r="F63" s="17" t="n"/>
      <c r="G63" s="17" t="n"/>
    </row>
    <row r="64">
      <c r="A64" s="65" t="inlineStr">
        <is>
          <t>Profit/(Loss) for the Period</t>
        </is>
      </c>
      <c r="B64" s="65" t="str"/>
      <c r="C64" s="122">
        <f>C60-SUM(C61,C62,C63)</f>
        <v/>
      </c>
      <c r="D64" s="122">
        <f>D60-SUM(D61,D62,D63)</f>
        <v/>
      </c>
      <c r="E64" s="17" t="n"/>
      <c r="F64" s="17" t="n"/>
      <c r="G64" s="17" t="n"/>
    </row>
    <row r="65">
      <c r="A65" s="17" t="n"/>
      <c r="B65" s="17" t="n"/>
      <c r="C65" s="17" t="n"/>
      <c r="D65" s="17" t="n"/>
      <c r="E65" s="17" t="n"/>
      <c r="F65" s="17" t="n"/>
      <c r="G65" s="17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 ht="26" customHeight="1" s="82">
      <c r="A67" s="79" t="inlineStr">
        <is>
          <t>Notes / Schedules — linked source for face statements</t>
        </is>
      </c>
      <c r="B67" s="1" t="n"/>
      <c r="C67" s="1" t="n"/>
      <c r="D67" s="1" t="n"/>
      <c r="E67" s="1" t="n"/>
      <c r="F67" s="1" t="n"/>
      <c r="G67" s="1" t="n"/>
    </row>
    <row r="68">
      <c r="A68" s="14" t="inlineStr">
        <is>
          <t>Note</t>
        </is>
      </c>
      <c r="B68" s="14" t="inlineStr">
        <is>
          <t>Note Title</t>
        </is>
      </c>
      <c r="C68" s="14" t="inlineStr">
        <is>
          <t>Statutory Line Item</t>
        </is>
      </c>
      <c r="D68" s="14" t="inlineStr">
        <is>
          <t>AAH Mapping Key</t>
        </is>
      </c>
      <c r="E68" s="14" t="inlineStr">
        <is>
          <t>Current Period</t>
        </is>
      </c>
      <c r="F68" s="14" t="inlineStr">
        <is>
          <t>Previous Period</t>
        </is>
      </c>
      <c r="G68" s="14" t="inlineStr">
        <is>
          <t>Disclosure / Remarks</t>
        </is>
      </c>
    </row>
    <row r="69">
      <c r="A69" s="17" t="inlineStr">
        <is>
          <t>1</t>
        </is>
      </c>
      <c r="B69" s="17" t="inlineStr">
        <is>
          <t>Share Capital</t>
        </is>
      </c>
      <c r="C69" s="17" t="inlineStr">
        <is>
          <t>Authorised share capital</t>
        </is>
      </c>
      <c r="D69" s="17" t="inlineStr">
        <is>
          <t>SC_AUTH</t>
        </is>
      </c>
      <c r="E69" s="121" t="n">
        <v>0</v>
      </c>
      <c r="F69" s="121" t="n">
        <v>0</v>
      </c>
      <c r="G69" s="59" t="str"/>
    </row>
    <row r="70">
      <c r="A70" s="17" t="inlineStr">
        <is>
          <t>1</t>
        </is>
      </c>
      <c r="B70" s="17" t="inlineStr">
        <is>
          <t>Share Capital</t>
        </is>
      </c>
      <c r="C70" s="17" t="inlineStr">
        <is>
          <t>Issued share capital</t>
        </is>
      </c>
      <c r="D70" s="17" t="inlineStr">
        <is>
          <t>SC_ISSUED</t>
        </is>
      </c>
      <c r="E70" s="121" t="n">
        <v>0</v>
      </c>
      <c r="F70" s="121" t="n">
        <v>0</v>
      </c>
      <c r="G70" s="59" t="str"/>
    </row>
    <row r="71">
      <c r="A71" s="17" t="inlineStr">
        <is>
          <t>1</t>
        </is>
      </c>
      <c r="B71" s="17" t="inlineStr">
        <is>
          <t>Share Capital</t>
        </is>
      </c>
      <c r="C71" s="17" t="inlineStr">
        <is>
          <t>Subscribed and fully paid-up capital</t>
        </is>
      </c>
      <c r="D71" s="17" t="inlineStr">
        <is>
          <t>SC_PAID</t>
        </is>
      </c>
      <c r="E71" s="121" t="n">
        <v>0</v>
      </c>
      <c r="F71" s="121" t="n">
        <v>0</v>
      </c>
      <c r="G71" s="59" t="str"/>
    </row>
    <row r="72">
      <c r="A72" s="17" t="inlineStr">
        <is>
          <t>1</t>
        </is>
      </c>
      <c r="B72" s="17" t="inlineStr">
        <is>
          <t>Share Capital</t>
        </is>
      </c>
      <c r="C72" s="17" t="inlineStr">
        <is>
          <t>Subscribed but not fully paid-up capital</t>
        </is>
      </c>
      <c r="D72" s="17" t="inlineStr">
        <is>
          <t>SC_PARTPAID</t>
        </is>
      </c>
      <c r="E72" s="121" t="n">
        <v>0</v>
      </c>
      <c r="F72" s="121" t="n">
        <v>0</v>
      </c>
      <c r="G72" s="59" t="str"/>
    </row>
    <row r="73">
      <c r="A73" s="17" t="inlineStr">
        <is>
          <t>1</t>
        </is>
      </c>
      <c r="B73" s="17" t="inlineStr">
        <is>
          <t>Share Capital</t>
        </is>
      </c>
      <c r="C73" s="17" t="inlineStr">
        <is>
          <t>Calls unpaid</t>
        </is>
      </c>
      <c r="D73" s="17" t="inlineStr">
        <is>
          <t>SC_CALLS_UNPAID</t>
        </is>
      </c>
      <c r="E73" s="121" t="n">
        <v>0</v>
      </c>
      <c r="F73" s="121" t="n">
        <v>0</v>
      </c>
      <c r="G73" s="59" t="str"/>
    </row>
    <row r="74">
      <c r="A74" s="17" t="inlineStr">
        <is>
          <t>1</t>
        </is>
      </c>
      <c r="B74" s="17" t="inlineStr">
        <is>
          <t>Share Capital</t>
        </is>
      </c>
      <c r="C74" s="17" t="inlineStr">
        <is>
          <t>Forfeited shares</t>
        </is>
      </c>
      <c r="D74" s="17" t="inlineStr">
        <is>
          <t>SC_FORFEIT</t>
        </is>
      </c>
      <c r="E74" s="121" t="n">
        <v>0</v>
      </c>
      <c r="F74" s="121" t="n">
        <v>0</v>
      </c>
      <c r="G74" s="59" t="str"/>
    </row>
    <row r="75">
      <c r="A75" s="65" t="inlineStr">
        <is>
          <t>1</t>
        </is>
      </c>
      <c r="B75" s="65" t="inlineStr">
        <is>
          <t>Share Capital</t>
        </is>
      </c>
      <c r="C75" s="65" t="inlineStr">
        <is>
          <t>Total — Share Capital</t>
        </is>
      </c>
      <c r="D75" s="65" t="inlineStr">
        <is>
          <t>__TOTAL__</t>
        </is>
      </c>
      <c r="E75" s="122">
        <f>SUM(E69:E74)</f>
        <v/>
      </c>
      <c r="F75" s="122">
        <f>SUM(F69:F74)</f>
        <v/>
      </c>
      <c r="G75" s="65" t="str"/>
    </row>
    <row r="76">
      <c r="A76" s="17" t="inlineStr">
        <is>
          <t>2</t>
        </is>
      </c>
      <c r="B76" s="17" t="inlineStr">
        <is>
          <t>Reserves and Surplus</t>
        </is>
      </c>
      <c r="C76" s="17" t="inlineStr">
        <is>
          <t>Capital reserve</t>
        </is>
      </c>
      <c r="D76" s="17" t="inlineStr">
        <is>
          <t>RES_CAPITAL</t>
        </is>
      </c>
      <c r="E76" s="121" t="n">
        <v>0</v>
      </c>
      <c r="F76" s="121" t="n">
        <v>0</v>
      </c>
      <c r="G76" s="59" t="str"/>
    </row>
    <row r="77">
      <c r="A77" s="17" t="inlineStr">
        <is>
          <t>2</t>
        </is>
      </c>
      <c r="B77" s="17" t="inlineStr">
        <is>
          <t>Reserves and Surplus</t>
        </is>
      </c>
      <c r="C77" s="17" t="inlineStr">
        <is>
          <t>Capital redemption reserve</t>
        </is>
      </c>
      <c r="D77" s="17" t="inlineStr">
        <is>
          <t>RES_CRR</t>
        </is>
      </c>
      <c r="E77" s="121" t="n">
        <v>0</v>
      </c>
      <c r="F77" s="121" t="n">
        <v>0</v>
      </c>
      <c r="G77" s="59" t="str"/>
    </row>
    <row r="78">
      <c r="A78" s="17" t="inlineStr">
        <is>
          <t>2</t>
        </is>
      </c>
      <c r="B78" s="17" t="inlineStr">
        <is>
          <t>Reserves and Surplus</t>
        </is>
      </c>
      <c r="C78" s="17" t="inlineStr">
        <is>
          <t>Securities premium</t>
        </is>
      </c>
      <c r="D78" s="17" t="inlineStr">
        <is>
          <t>RES_SP</t>
        </is>
      </c>
      <c r="E78" s="121" t="n">
        <v>0</v>
      </c>
      <c r="F78" s="121" t="n">
        <v>0</v>
      </c>
      <c r="G78" s="59" t="str"/>
    </row>
    <row r="79">
      <c r="A79" s="17" t="inlineStr">
        <is>
          <t>2</t>
        </is>
      </c>
      <c r="B79" s="17" t="inlineStr">
        <is>
          <t>Reserves and Surplus</t>
        </is>
      </c>
      <c r="C79" s="17" t="inlineStr">
        <is>
          <t>Debenture redemption reserve</t>
        </is>
      </c>
      <c r="D79" s="17" t="inlineStr">
        <is>
          <t>RES_DRR</t>
        </is>
      </c>
      <c r="E79" s="121" t="n">
        <v>0</v>
      </c>
      <c r="F79" s="121" t="n">
        <v>0</v>
      </c>
      <c r="G79" s="59" t="str"/>
    </row>
    <row r="80">
      <c r="A80" s="17" t="inlineStr">
        <is>
          <t>2</t>
        </is>
      </c>
      <c r="B80" s="17" t="inlineStr">
        <is>
          <t>Reserves and Surplus</t>
        </is>
      </c>
      <c r="C80" s="17" t="inlineStr">
        <is>
          <t>Revaluation reserve</t>
        </is>
      </c>
      <c r="D80" s="17" t="inlineStr">
        <is>
          <t>RES_REVAL</t>
        </is>
      </c>
      <c r="E80" s="121" t="n">
        <v>0</v>
      </c>
      <c r="F80" s="121" t="n">
        <v>0</v>
      </c>
      <c r="G80" s="59" t="str"/>
    </row>
    <row r="81">
      <c r="A81" s="17" t="inlineStr">
        <is>
          <t>2</t>
        </is>
      </c>
      <c r="B81" s="17" t="inlineStr">
        <is>
          <t>Reserves and Surplus</t>
        </is>
      </c>
      <c r="C81" s="17" t="inlineStr">
        <is>
          <t>Other reserves</t>
        </is>
      </c>
      <c r="D81" s="17" t="inlineStr">
        <is>
          <t>RES_OTHER</t>
        </is>
      </c>
      <c r="E81" s="121" t="n">
        <v>0</v>
      </c>
      <c r="F81" s="121" t="n">
        <v>0</v>
      </c>
      <c r="G81" s="59" t="str"/>
    </row>
    <row r="82">
      <c r="A82" s="17" t="inlineStr">
        <is>
          <t>2</t>
        </is>
      </c>
      <c r="B82" s="17" t="inlineStr">
        <is>
          <t>Reserves and Surplus</t>
        </is>
      </c>
      <c r="C82" s="17" t="inlineStr">
        <is>
          <t>Surplus / (deficit) in Statement of P&amp;L</t>
        </is>
      </c>
      <c r="D82" s="17" t="inlineStr">
        <is>
          <t>RES_SURPLUS</t>
        </is>
      </c>
      <c r="E82" s="121" t="n">
        <v>0</v>
      </c>
      <c r="F82" s="121" t="n">
        <v>0</v>
      </c>
      <c r="G82" s="59" t="str"/>
    </row>
    <row r="83">
      <c r="A83" s="65" t="inlineStr">
        <is>
          <t>2</t>
        </is>
      </c>
      <c r="B83" s="65" t="inlineStr">
        <is>
          <t>Reserves and Surplus</t>
        </is>
      </c>
      <c r="C83" s="65" t="inlineStr">
        <is>
          <t>Total — Reserves and Surplus</t>
        </is>
      </c>
      <c r="D83" s="65" t="inlineStr">
        <is>
          <t>__TOTAL__</t>
        </is>
      </c>
      <c r="E83" s="122">
        <f>SUM(E76:E82)</f>
        <v/>
      </c>
      <c r="F83" s="122">
        <f>SUM(F76:F82)</f>
        <v/>
      </c>
      <c r="G83" s="65" t="str"/>
    </row>
    <row r="84">
      <c r="A84" s="17" t="inlineStr">
        <is>
          <t>3</t>
        </is>
      </c>
      <c r="B84" s="17" t="inlineStr">
        <is>
          <t>Long-term Borrowings</t>
        </is>
      </c>
      <c r="C84" s="17" t="inlineStr">
        <is>
          <t>Bonds / debentures</t>
        </is>
      </c>
      <c r="D84" s="17" t="inlineStr">
        <is>
          <t>LTB_BONDS</t>
        </is>
      </c>
      <c r="E84" s="121" t="n">
        <v>0</v>
      </c>
      <c r="F84" s="121" t="n">
        <v>0</v>
      </c>
      <c r="G84" s="59" t="str"/>
    </row>
    <row r="85">
      <c r="A85" s="17" t="inlineStr">
        <is>
          <t>3</t>
        </is>
      </c>
      <c r="B85" s="17" t="inlineStr">
        <is>
          <t>Long-term Borrowings</t>
        </is>
      </c>
      <c r="C85" s="17" t="inlineStr">
        <is>
          <t>Term loans from banks</t>
        </is>
      </c>
      <c r="D85" s="17" t="inlineStr">
        <is>
          <t>LTB_BANK</t>
        </is>
      </c>
      <c r="E85" s="121" t="n">
        <v>0</v>
      </c>
      <c r="F85" s="121" t="n">
        <v>0</v>
      </c>
      <c r="G85" s="59" t="str"/>
    </row>
    <row r="86">
      <c r="A86" s="17" t="inlineStr">
        <is>
          <t>3</t>
        </is>
      </c>
      <c r="B86" s="17" t="inlineStr">
        <is>
          <t>Long-term Borrowings</t>
        </is>
      </c>
      <c r="C86" s="17" t="inlineStr">
        <is>
          <t>Term loans from other parties</t>
        </is>
      </c>
      <c r="D86" s="17" t="inlineStr">
        <is>
          <t>LTB_OTHER</t>
        </is>
      </c>
      <c r="E86" s="121" t="n">
        <v>0</v>
      </c>
      <c r="F86" s="121" t="n">
        <v>0</v>
      </c>
      <c r="G86" s="59" t="str"/>
    </row>
    <row r="87">
      <c r="A87" s="17" t="inlineStr">
        <is>
          <t>3</t>
        </is>
      </c>
      <c r="B87" s="17" t="inlineStr">
        <is>
          <t>Long-term Borrowings</t>
        </is>
      </c>
      <c r="C87" s="17" t="inlineStr">
        <is>
          <t>Deferred payment liabilities</t>
        </is>
      </c>
      <c r="D87" s="17" t="inlineStr">
        <is>
          <t>LTB_DEFERRED</t>
        </is>
      </c>
      <c r="E87" s="121" t="n">
        <v>0</v>
      </c>
      <c r="F87" s="121" t="n">
        <v>0</v>
      </c>
      <c r="G87" s="59" t="str"/>
    </row>
    <row r="88">
      <c r="A88" s="17" t="inlineStr">
        <is>
          <t>3</t>
        </is>
      </c>
      <c r="B88" s="17" t="inlineStr">
        <is>
          <t>Long-term Borrowings</t>
        </is>
      </c>
      <c r="C88" s="17" t="inlineStr">
        <is>
          <t>Deposits</t>
        </is>
      </c>
      <c r="D88" s="17" t="inlineStr">
        <is>
          <t>LTB_DEPOSITS</t>
        </is>
      </c>
      <c r="E88" s="121" t="n">
        <v>0</v>
      </c>
      <c r="F88" s="121" t="n">
        <v>0</v>
      </c>
      <c r="G88" s="59" t="str"/>
    </row>
    <row r="89">
      <c r="A89" s="17" t="inlineStr">
        <is>
          <t>3</t>
        </is>
      </c>
      <c r="B89" s="17" t="inlineStr">
        <is>
          <t>Long-term Borrowings</t>
        </is>
      </c>
      <c r="C89" s="17" t="inlineStr">
        <is>
          <t>Loans from related parties</t>
        </is>
      </c>
      <c r="D89" s="17" t="inlineStr">
        <is>
          <t>LTB_RELATED</t>
        </is>
      </c>
      <c r="E89" s="121" t="n">
        <v>0</v>
      </c>
      <c r="F89" s="121" t="n">
        <v>0</v>
      </c>
      <c r="G89" s="59" t="str"/>
    </row>
    <row r="90">
      <c r="A90" s="17" t="inlineStr">
        <is>
          <t>3</t>
        </is>
      </c>
      <c r="B90" s="17" t="inlineStr">
        <is>
          <t>Long-term Borrowings</t>
        </is>
      </c>
      <c r="C90" s="17" t="inlineStr">
        <is>
          <t>Finance lease obligations</t>
        </is>
      </c>
      <c r="D90" s="17" t="inlineStr">
        <is>
          <t>LTB_LEASE</t>
        </is>
      </c>
      <c r="E90" s="121" t="n">
        <v>0</v>
      </c>
      <c r="F90" s="121" t="n">
        <v>0</v>
      </c>
      <c r="G90" s="59" t="str"/>
    </row>
    <row r="91">
      <c r="A91" s="17" t="inlineStr">
        <is>
          <t>3</t>
        </is>
      </c>
      <c r="B91" s="17" t="inlineStr">
        <is>
          <t>Long-term Borrowings</t>
        </is>
      </c>
      <c r="C91" s="17" t="inlineStr">
        <is>
          <t>Other loans / advances</t>
        </is>
      </c>
      <c r="D91" s="17" t="inlineStr">
        <is>
          <t>LTB_OTHERLOAN</t>
        </is>
      </c>
      <c r="E91" s="121" t="n">
        <v>0</v>
      </c>
      <c r="F91" s="121" t="n">
        <v>0</v>
      </c>
      <c r="G91" s="59" t="str"/>
    </row>
    <row r="92">
      <c r="A92" s="65" t="inlineStr">
        <is>
          <t>3</t>
        </is>
      </c>
      <c r="B92" s="65" t="inlineStr">
        <is>
          <t>Long-term Borrowings</t>
        </is>
      </c>
      <c r="C92" s="65" t="inlineStr">
        <is>
          <t>Total — Long-term Borrowings</t>
        </is>
      </c>
      <c r="D92" s="65" t="inlineStr">
        <is>
          <t>__TOTAL__</t>
        </is>
      </c>
      <c r="E92" s="122">
        <f>SUM(E84:E91)</f>
        <v/>
      </c>
      <c r="F92" s="122">
        <f>SUM(F84:F91)</f>
        <v/>
      </c>
      <c r="G92" s="65" t="str"/>
    </row>
    <row r="93">
      <c r="A93" s="17" t="inlineStr">
        <is>
          <t>4</t>
        </is>
      </c>
      <c r="B93" s="17" t="inlineStr">
        <is>
          <t>Deferred Tax</t>
        </is>
      </c>
      <c r="C93" s="17" t="inlineStr">
        <is>
          <t>Deferred tax asset</t>
        </is>
      </c>
      <c r="D93" s="17" t="inlineStr">
        <is>
          <t>DTA</t>
        </is>
      </c>
      <c r="E93" s="121" t="n">
        <v>0</v>
      </c>
      <c r="F93" s="121" t="n">
        <v>0</v>
      </c>
      <c r="G93" s="59" t="str"/>
    </row>
    <row r="94">
      <c r="A94" s="17" t="inlineStr">
        <is>
          <t>4</t>
        </is>
      </c>
      <c r="B94" s="17" t="inlineStr">
        <is>
          <t>Deferred Tax</t>
        </is>
      </c>
      <c r="C94" s="17" t="inlineStr">
        <is>
          <t>Deferred tax liability</t>
        </is>
      </c>
      <c r="D94" s="17" t="inlineStr">
        <is>
          <t>DTL</t>
        </is>
      </c>
      <c r="E94" s="121" t="n">
        <v>0</v>
      </c>
      <c r="F94" s="121" t="n">
        <v>0</v>
      </c>
      <c r="G94" s="59" t="str"/>
    </row>
    <row r="95">
      <c r="A95" s="65" t="inlineStr">
        <is>
          <t>4</t>
        </is>
      </c>
      <c r="B95" s="65" t="inlineStr">
        <is>
          <t>Deferred Tax</t>
        </is>
      </c>
      <c r="C95" s="65" t="inlineStr">
        <is>
          <t>Total — Deferred Tax</t>
        </is>
      </c>
      <c r="D95" s="65" t="inlineStr">
        <is>
          <t>__TOTAL__</t>
        </is>
      </c>
      <c r="E95" s="122">
        <f>SUM(E93:E94)</f>
        <v/>
      </c>
      <c r="F95" s="122">
        <f>SUM(F93:F94)</f>
        <v/>
      </c>
      <c r="G95" s="65" t="str"/>
    </row>
    <row r="96">
      <c r="A96" s="17" t="inlineStr">
        <is>
          <t>5</t>
        </is>
      </c>
      <c r="B96" s="17" t="inlineStr">
        <is>
          <t>Other Long-term Liabilities</t>
        </is>
      </c>
      <c r="C96" s="17" t="inlineStr">
        <is>
          <t>Trade payables - non-current</t>
        </is>
      </c>
      <c r="D96" s="17" t="inlineStr">
        <is>
          <t>OLTL_TP</t>
        </is>
      </c>
      <c r="E96" s="121" t="n">
        <v>0</v>
      </c>
      <c r="F96" s="121" t="n">
        <v>0</v>
      </c>
      <c r="G96" s="59" t="str"/>
    </row>
    <row r="97">
      <c r="A97" s="17" t="inlineStr">
        <is>
          <t>5</t>
        </is>
      </c>
      <c r="B97" s="17" t="inlineStr">
        <is>
          <t>Other Long-term Liabilities</t>
        </is>
      </c>
      <c r="C97" s="17" t="inlineStr">
        <is>
          <t>Security deposits / other long-term liabilities</t>
        </is>
      </c>
      <c r="D97" s="17" t="inlineStr">
        <is>
          <t>OLTL_OTHER</t>
        </is>
      </c>
      <c r="E97" s="121" t="n">
        <v>0</v>
      </c>
      <c r="F97" s="121" t="n">
        <v>0</v>
      </c>
      <c r="G97" s="59" t="str"/>
    </row>
    <row r="98">
      <c r="A98" s="65" t="inlineStr">
        <is>
          <t>5</t>
        </is>
      </c>
      <c r="B98" s="65" t="inlineStr">
        <is>
          <t>Other Long-term Liabilities</t>
        </is>
      </c>
      <c r="C98" s="65" t="inlineStr">
        <is>
          <t>Total — Other Long-term Liabilities</t>
        </is>
      </c>
      <c r="D98" s="65" t="inlineStr">
        <is>
          <t>__TOTAL__</t>
        </is>
      </c>
      <c r="E98" s="122">
        <f>SUM(E96:E97)</f>
        <v/>
      </c>
      <c r="F98" s="122">
        <f>SUM(F96:F97)</f>
        <v/>
      </c>
      <c r="G98" s="65" t="str"/>
    </row>
    <row r="99">
      <c r="A99" s="17" t="inlineStr">
        <is>
          <t>6</t>
        </is>
      </c>
      <c r="B99" s="17" t="inlineStr">
        <is>
          <t>Long-term Provisions</t>
        </is>
      </c>
      <c r="C99" s="17" t="inlineStr">
        <is>
          <t>Employee benefit provisions</t>
        </is>
      </c>
      <c r="D99" s="17" t="inlineStr">
        <is>
          <t>LTP_EMP</t>
        </is>
      </c>
      <c r="E99" s="121" t="n">
        <v>0</v>
      </c>
      <c r="F99" s="121" t="n">
        <v>0</v>
      </c>
      <c r="G99" s="59" t="str"/>
    </row>
    <row r="100">
      <c r="A100" s="17" t="inlineStr">
        <is>
          <t>6</t>
        </is>
      </c>
      <c r="B100" s="17" t="inlineStr">
        <is>
          <t>Long-term Provisions</t>
        </is>
      </c>
      <c r="C100" s="17" t="inlineStr">
        <is>
          <t>Other long-term provisions</t>
        </is>
      </c>
      <c r="D100" s="17" t="inlineStr">
        <is>
          <t>LTP_OTHER</t>
        </is>
      </c>
      <c r="E100" s="121" t="n">
        <v>0</v>
      </c>
      <c r="F100" s="121" t="n">
        <v>0</v>
      </c>
      <c r="G100" s="59" t="str"/>
    </row>
    <row r="101">
      <c r="A101" s="65" t="inlineStr">
        <is>
          <t>6</t>
        </is>
      </c>
      <c r="B101" s="65" t="inlineStr">
        <is>
          <t>Long-term Provisions</t>
        </is>
      </c>
      <c r="C101" s="65" t="inlineStr">
        <is>
          <t>Total — Long-term Provisions</t>
        </is>
      </c>
      <c r="D101" s="65" t="inlineStr">
        <is>
          <t>__TOTAL__</t>
        </is>
      </c>
      <c r="E101" s="122">
        <f>SUM(E99:E100)</f>
        <v/>
      </c>
      <c r="F101" s="122">
        <f>SUM(F99:F100)</f>
        <v/>
      </c>
      <c r="G101" s="65" t="str"/>
    </row>
    <row r="102">
      <c r="A102" s="17" t="inlineStr">
        <is>
          <t>7</t>
        </is>
      </c>
      <c r="B102" s="17" t="inlineStr">
        <is>
          <t>Short-term Borrowings</t>
        </is>
      </c>
      <c r="C102" s="17" t="inlineStr">
        <is>
          <t>Loans repayable on demand - banks</t>
        </is>
      </c>
      <c r="D102" s="17" t="inlineStr">
        <is>
          <t>STB_BANK_OD</t>
        </is>
      </c>
      <c r="E102" s="121" t="n">
        <v>0</v>
      </c>
      <c r="F102" s="121" t="n">
        <v>0</v>
      </c>
      <c r="G102" s="59" t="str"/>
    </row>
    <row r="103">
      <c r="A103" s="17" t="inlineStr">
        <is>
          <t>7</t>
        </is>
      </c>
      <c r="B103" s="17" t="inlineStr">
        <is>
          <t>Short-term Borrowings</t>
        </is>
      </c>
      <c r="C103" s="17" t="inlineStr">
        <is>
          <t>Loans repayable on demand - others</t>
        </is>
      </c>
      <c r="D103" s="17" t="inlineStr">
        <is>
          <t>STB_OTHER_OD</t>
        </is>
      </c>
      <c r="E103" s="121" t="n">
        <v>0</v>
      </c>
      <c r="F103" s="121" t="n">
        <v>0</v>
      </c>
      <c r="G103" s="59" t="str"/>
    </row>
    <row r="104">
      <c r="A104" s="17" t="inlineStr">
        <is>
          <t>7</t>
        </is>
      </c>
      <c r="B104" s="17" t="inlineStr">
        <is>
          <t>Short-term Borrowings</t>
        </is>
      </c>
      <c r="C104" s="17" t="inlineStr">
        <is>
          <t>Loans from related parties</t>
        </is>
      </c>
      <c r="D104" s="17" t="inlineStr">
        <is>
          <t>STB_RELATED</t>
        </is>
      </c>
      <c r="E104" s="121" t="n">
        <v>0</v>
      </c>
      <c r="F104" s="121" t="n">
        <v>0</v>
      </c>
      <c r="G104" s="59" t="str"/>
    </row>
    <row r="105">
      <c r="A105" s="17" t="inlineStr">
        <is>
          <t>7</t>
        </is>
      </c>
      <c r="B105" s="17" t="inlineStr">
        <is>
          <t>Short-term Borrowings</t>
        </is>
      </c>
      <c r="C105" s="17" t="inlineStr">
        <is>
          <t>Deposits</t>
        </is>
      </c>
      <c r="D105" s="17" t="inlineStr">
        <is>
          <t>STB_DEPOSITS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7</t>
        </is>
      </c>
      <c r="B106" s="17" t="inlineStr">
        <is>
          <t>Short-term Borrowings</t>
        </is>
      </c>
      <c r="C106" s="17" t="inlineStr">
        <is>
          <t>Other short-term borrowings</t>
        </is>
      </c>
      <c r="D106" s="17" t="inlineStr">
        <is>
          <t>STB_OTHER</t>
        </is>
      </c>
      <c r="E106" s="121" t="n">
        <v>0</v>
      </c>
      <c r="F106" s="121" t="n">
        <v>0</v>
      </c>
      <c r="G106" s="59" t="str"/>
    </row>
    <row r="107">
      <c r="A107" s="65" t="inlineStr">
        <is>
          <t>7</t>
        </is>
      </c>
      <c r="B107" s="65" t="inlineStr">
        <is>
          <t>Short-term Borrowings</t>
        </is>
      </c>
      <c r="C107" s="65" t="inlineStr">
        <is>
          <t>Total — Short-term Borrowings</t>
        </is>
      </c>
      <c r="D107" s="65" t="inlineStr">
        <is>
          <t>__TOTAL__</t>
        </is>
      </c>
      <c r="E107" s="122">
        <f>SUM(E102:E106)</f>
        <v/>
      </c>
      <c r="F107" s="122">
        <f>SUM(F102:F106)</f>
        <v/>
      </c>
      <c r="G107" s="65" t="str"/>
    </row>
    <row r="108">
      <c r="A108" s="17" t="inlineStr">
        <is>
          <t>8</t>
        </is>
      </c>
      <c r="B108" s="17" t="inlineStr">
        <is>
          <t>Trade Payables</t>
        </is>
      </c>
      <c r="C108" s="17" t="inlineStr">
        <is>
          <t>MSME dues</t>
        </is>
      </c>
      <c r="D108" s="17" t="inlineStr">
        <is>
          <t>TP_MSME</t>
        </is>
      </c>
      <c r="E108" s="121" t="n">
        <v>0</v>
      </c>
      <c r="F108" s="121" t="n">
        <v>0</v>
      </c>
      <c r="G108" s="59" t="str"/>
    </row>
    <row r="109">
      <c r="A109" s="17" t="inlineStr">
        <is>
          <t>8</t>
        </is>
      </c>
      <c r="B109" s="17" t="inlineStr">
        <is>
          <t>Trade Payables</t>
        </is>
      </c>
      <c r="C109" s="17" t="inlineStr">
        <is>
          <t>Other trade payables</t>
        </is>
      </c>
      <c r="D109" s="17" t="inlineStr">
        <is>
          <t>TP_OTHER</t>
        </is>
      </c>
      <c r="E109" s="121" t="n">
        <v>0</v>
      </c>
      <c r="F109" s="121" t="n">
        <v>0</v>
      </c>
      <c r="G109" s="59" t="str"/>
    </row>
    <row r="110">
      <c r="A110" s="17" t="inlineStr">
        <is>
          <t>8</t>
        </is>
      </c>
      <c r="B110" s="17" t="inlineStr">
        <is>
          <t>Trade Payables</t>
        </is>
      </c>
      <c r="C110" s="17" t="inlineStr">
        <is>
          <t>Disputed MSME dues</t>
        </is>
      </c>
      <c r="D110" s="17" t="inlineStr">
        <is>
          <t>TP_DISP_MSME</t>
        </is>
      </c>
      <c r="E110" s="121" t="n">
        <v>0</v>
      </c>
      <c r="F110" s="121" t="n">
        <v>0</v>
      </c>
      <c r="G110" s="59" t="str"/>
    </row>
    <row r="111">
      <c r="A111" s="17" t="inlineStr">
        <is>
          <t>8</t>
        </is>
      </c>
      <c r="B111" s="17" t="inlineStr">
        <is>
          <t>Trade Payables</t>
        </is>
      </c>
      <c r="C111" s="17" t="inlineStr">
        <is>
          <t>Disputed other dues</t>
        </is>
      </c>
      <c r="D111" s="17" t="inlineStr">
        <is>
          <t>TP_DISP_OTHER</t>
        </is>
      </c>
      <c r="E111" s="121" t="n">
        <v>0</v>
      </c>
      <c r="F111" s="121" t="n">
        <v>0</v>
      </c>
      <c r="G111" s="59" t="str"/>
    </row>
    <row r="112">
      <c r="A112" s="65" t="inlineStr">
        <is>
          <t>8</t>
        </is>
      </c>
      <c r="B112" s="65" t="inlineStr">
        <is>
          <t>Trade Payables</t>
        </is>
      </c>
      <c r="C112" s="65" t="inlineStr">
        <is>
          <t>Total — Trade Payables</t>
        </is>
      </c>
      <c r="D112" s="65" t="inlineStr">
        <is>
          <t>__TOTAL__</t>
        </is>
      </c>
      <c r="E112" s="122">
        <f>SUM(E108:E111)</f>
        <v/>
      </c>
      <c r="F112" s="122">
        <f>SUM(F108:F111)</f>
        <v/>
      </c>
      <c r="G112" s="65" t="str"/>
    </row>
    <row r="113">
      <c r="A113" s="17" t="inlineStr">
        <is>
          <t>9</t>
        </is>
      </c>
      <c r="B113" s="17" t="inlineStr">
        <is>
          <t>Other Current Liabilities</t>
        </is>
      </c>
      <c r="C113" s="17" t="inlineStr">
        <is>
          <t>Current maturities of long-term debt</t>
        </is>
      </c>
      <c r="D113" s="17" t="inlineStr">
        <is>
          <t>OCL_CMLTD</t>
        </is>
      </c>
      <c r="E113" s="121" t="n">
        <v>0</v>
      </c>
      <c r="F113" s="121" t="n">
        <v>0</v>
      </c>
      <c r="G113" s="59" t="str"/>
    </row>
    <row r="114">
      <c r="A114" s="17" t="inlineStr">
        <is>
          <t>9</t>
        </is>
      </c>
      <c r="B114" s="17" t="inlineStr">
        <is>
          <t>Other Current Liabilities</t>
        </is>
      </c>
      <c r="C114" s="17" t="inlineStr">
        <is>
          <t>Current maturities of finance lease</t>
        </is>
      </c>
      <c r="D114" s="17" t="inlineStr">
        <is>
          <t>OCL_LEASE</t>
        </is>
      </c>
      <c r="E114" s="121" t="n">
        <v>0</v>
      </c>
      <c r="F114" s="121" t="n">
        <v>0</v>
      </c>
      <c r="G114" s="59" t="str"/>
    </row>
    <row r="115">
      <c r="A115" s="17" t="inlineStr">
        <is>
          <t>9</t>
        </is>
      </c>
      <c r="B115" s="17" t="inlineStr">
        <is>
          <t>Other Current Liabilities</t>
        </is>
      </c>
      <c r="C115" s="17" t="inlineStr">
        <is>
          <t>Interest accrued but not due</t>
        </is>
      </c>
      <c r="D115" s="17" t="inlineStr">
        <is>
          <t>OCL_INT_NOTDUE</t>
        </is>
      </c>
      <c r="E115" s="121" t="n">
        <v>0</v>
      </c>
      <c r="F115" s="121" t="n">
        <v>0</v>
      </c>
      <c r="G115" s="59" t="str"/>
    </row>
    <row r="116">
      <c r="A116" s="17" t="inlineStr">
        <is>
          <t>9</t>
        </is>
      </c>
      <c r="B116" s="17" t="inlineStr">
        <is>
          <t>Other Current Liabilities</t>
        </is>
      </c>
      <c r="C116" s="17" t="inlineStr">
        <is>
          <t>Interest accrued and due</t>
        </is>
      </c>
      <c r="D116" s="17" t="inlineStr">
        <is>
          <t>OCL_INT_DUE</t>
        </is>
      </c>
      <c r="E116" s="121" t="n">
        <v>0</v>
      </c>
      <c r="F116" s="121" t="n">
        <v>0</v>
      </c>
      <c r="G116" s="59" t="str"/>
    </row>
    <row r="117">
      <c r="A117" s="17" t="inlineStr">
        <is>
          <t>9</t>
        </is>
      </c>
      <c r="B117" s="17" t="inlineStr">
        <is>
          <t>Other Current Liabilities</t>
        </is>
      </c>
      <c r="C117" s="17" t="inlineStr">
        <is>
          <t>Income received in advance</t>
        </is>
      </c>
      <c r="D117" s="17" t="inlineStr">
        <is>
          <t>OCL_ADV</t>
        </is>
      </c>
      <c r="E117" s="121" t="n">
        <v>0</v>
      </c>
      <c r="F117" s="121" t="n">
        <v>0</v>
      </c>
      <c r="G117" s="59" t="str"/>
    </row>
    <row r="118">
      <c r="A118" s="17" t="inlineStr">
        <is>
          <t>9</t>
        </is>
      </c>
      <c r="B118" s="17" t="inlineStr">
        <is>
          <t>Other Current Liabilities</t>
        </is>
      </c>
      <c r="C118" s="17" t="inlineStr">
        <is>
          <t>Unpaid dividends</t>
        </is>
      </c>
      <c r="D118" s="17" t="inlineStr">
        <is>
          <t>OCL_DIV</t>
        </is>
      </c>
      <c r="E118" s="121" t="n">
        <v>0</v>
      </c>
      <c r="F118" s="121" t="n">
        <v>0</v>
      </c>
      <c r="G118" s="59" t="str"/>
    </row>
    <row r="119">
      <c r="A119" s="17" t="inlineStr">
        <is>
          <t>9</t>
        </is>
      </c>
      <c r="B119" s="17" t="inlineStr">
        <is>
          <t>Other Current Liabilities</t>
        </is>
      </c>
      <c r="C119" s="17" t="inlineStr">
        <is>
          <t>Statutory dues</t>
        </is>
      </c>
      <c r="D119" s="17" t="inlineStr">
        <is>
          <t>OCL_STAT</t>
        </is>
      </c>
      <c r="E119" s="121" t="n">
        <v>0</v>
      </c>
      <c r="F119" s="121" t="n">
        <v>0</v>
      </c>
      <c r="G119" s="59" t="str"/>
    </row>
    <row r="120">
      <c r="A120" s="17" t="inlineStr">
        <is>
          <t>9</t>
        </is>
      </c>
      <c r="B120" s="17" t="inlineStr">
        <is>
          <t>Other Current Liabilities</t>
        </is>
      </c>
      <c r="C120" s="17" t="inlineStr">
        <is>
          <t>Other payables</t>
        </is>
      </c>
      <c r="D120" s="17" t="inlineStr">
        <is>
          <t>OCL_OTHER</t>
        </is>
      </c>
      <c r="E120" s="121" t="n">
        <v>0</v>
      </c>
      <c r="F120" s="121" t="n">
        <v>0</v>
      </c>
      <c r="G120" s="59" t="str"/>
    </row>
    <row r="121">
      <c r="A121" s="65" t="inlineStr">
        <is>
          <t>9</t>
        </is>
      </c>
      <c r="B121" s="65" t="inlineStr">
        <is>
          <t>Other Current Liabilities</t>
        </is>
      </c>
      <c r="C121" s="65" t="inlineStr">
        <is>
          <t>Total — Other Current Liabilities</t>
        </is>
      </c>
      <c r="D121" s="65" t="inlineStr">
        <is>
          <t>__TOTAL__</t>
        </is>
      </c>
      <c r="E121" s="122">
        <f>SUM(E113:E120)</f>
        <v/>
      </c>
      <c r="F121" s="122">
        <f>SUM(F113:F120)</f>
        <v/>
      </c>
      <c r="G121" s="65" t="str"/>
    </row>
    <row r="122">
      <c r="A122" s="17" t="inlineStr">
        <is>
          <t>10</t>
        </is>
      </c>
      <c r="B122" s="17" t="inlineStr">
        <is>
          <t>Short-term Provisions</t>
        </is>
      </c>
      <c r="C122" s="17" t="inlineStr">
        <is>
          <t>Employee benefit provisions</t>
        </is>
      </c>
      <c r="D122" s="17" t="inlineStr">
        <is>
          <t>STP_EMP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10</t>
        </is>
      </c>
      <c r="B123" s="17" t="inlineStr">
        <is>
          <t>Short-term Provisions</t>
        </is>
      </c>
      <c r="C123" s="17" t="inlineStr">
        <is>
          <t>Tax provisions</t>
        </is>
      </c>
      <c r="D123" s="17" t="inlineStr">
        <is>
          <t>STP_TAX</t>
        </is>
      </c>
      <c r="E123" s="121" t="n">
        <v>0</v>
      </c>
      <c r="F123" s="121" t="n">
        <v>0</v>
      </c>
      <c r="G123" s="59" t="str"/>
    </row>
    <row r="124">
      <c r="A124" s="17" t="inlineStr">
        <is>
          <t>10</t>
        </is>
      </c>
      <c r="B124" s="17" t="inlineStr">
        <is>
          <t>Short-term Provisions</t>
        </is>
      </c>
      <c r="C124" s="17" t="inlineStr">
        <is>
          <t>Other provisions</t>
        </is>
      </c>
      <c r="D124" s="17" t="inlineStr">
        <is>
          <t>STP_OTHER</t>
        </is>
      </c>
      <c r="E124" s="121" t="n">
        <v>0</v>
      </c>
      <c r="F124" s="121" t="n">
        <v>0</v>
      </c>
      <c r="G124" s="59" t="str"/>
    </row>
    <row r="125">
      <c r="A125" s="65" t="inlineStr">
        <is>
          <t>10</t>
        </is>
      </c>
      <c r="B125" s="65" t="inlineStr">
        <is>
          <t>Short-term Provisions</t>
        </is>
      </c>
      <c r="C125" s="65" t="inlineStr">
        <is>
          <t>Total — Short-term Provisions</t>
        </is>
      </c>
      <c r="D125" s="65" t="inlineStr">
        <is>
          <t>__TOTAL__</t>
        </is>
      </c>
      <c r="E125" s="122">
        <f>SUM(E122:E124)</f>
        <v/>
      </c>
      <c r="F125" s="122">
        <f>SUM(F122:F124)</f>
        <v/>
      </c>
      <c r="G125" s="65" t="str"/>
    </row>
    <row r="126">
      <c r="A126" s="17" t="inlineStr">
        <is>
          <t>11</t>
        </is>
      </c>
      <c r="B126" s="17" t="inlineStr">
        <is>
          <t>Property, Plant and Equipment / Intangibles / CWIP</t>
        </is>
      </c>
      <c r="C126" s="17" t="inlineStr">
        <is>
          <t>PPE - land</t>
        </is>
      </c>
      <c r="D126" s="17" t="inlineStr">
        <is>
          <t>PPE_LAND</t>
        </is>
      </c>
      <c r="E126" s="121" t="n">
        <v>0</v>
      </c>
      <c r="F126" s="121" t="n">
        <v>0</v>
      </c>
      <c r="G126" s="59" t="str"/>
    </row>
    <row r="127">
      <c r="A127" s="17" t="inlineStr">
        <is>
          <t>11</t>
        </is>
      </c>
      <c r="B127" s="17" t="inlineStr">
        <is>
          <t>Property, Plant and Equipment / Intangibles / CWIP</t>
        </is>
      </c>
      <c r="C127" s="17" t="inlineStr">
        <is>
          <t>PPE - buildings</t>
        </is>
      </c>
      <c r="D127" s="17" t="inlineStr">
        <is>
          <t>PPE_BUILD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11</t>
        </is>
      </c>
      <c r="B128" s="17" t="inlineStr">
        <is>
          <t>Property, Plant and Equipment / Intangibles / CWIP</t>
        </is>
      </c>
      <c r="C128" s="17" t="inlineStr">
        <is>
          <t>PPE - plant and equipment</t>
        </is>
      </c>
      <c r="D128" s="17" t="inlineStr">
        <is>
          <t>PPE_PLANT</t>
        </is>
      </c>
      <c r="E128" s="121" t="n">
        <v>0</v>
      </c>
      <c r="F128" s="121" t="n">
        <v>0</v>
      </c>
      <c r="G128" s="59" t="str"/>
    </row>
    <row r="129">
      <c r="A129" s="17" t="inlineStr">
        <is>
          <t>11</t>
        </is>
      </c>
      <c r="B129" s="17" t="inlineStr">
        <is>
          <t>Property, Plant and Equipment / Intangibles / CWIP</t>
        </is>
      </c>
      <c r="C129" s="17" t="inlineStr">
        <is>
          <t>PPE - furniture and fixtures</t>
        </is>
      </c>
      <c r="D129" s="17" t="inlineStr">
        <is>
          <t>PPE_FURN</t>
        </is>
      </c>
      <c r="E129" s="121" t="n">
        <v>0</v>
      </c>
      <c r="F129" s="121" t="n">
        <v>0</v>
      </c>
      <c r="G129" s="59" t="str"/>
    </row>
    <row r="130">
      <c r="A130" s="17" t="inlineStr">
        <is>
          <t>11</t>
        </is>
      </c>
      <c r="B130" s="17" t="inlineStr">
        <is>
          <t>Property, Plant and Equipment / Intangibles / CWIP</t>
        </is>
      </c>
      <c r="C130" s="17" t="inlineStr">
        <is>
          <t>PPE - vehicles</t>
        </is>
      </c>
      <c r="D130" s="17" t="inlineStr">
        <is>
          <t>PPE_VEH</t>
        </is>
      </c>
      <c r="E130" s="121" t="n">
        <v>0</v>
      </c>
      <c r="F130" s="121" t="n">
        <v>0</v>
      </c>
      <c r="G130" s="59" t="str"/>
    </row>
    <row r="131">
      <c r="A131" s="17" t="inlineStr">
        <is>
          <t>11</t>
        </is>
      </c>
      <c r="B131" s="17" t="inlineStr">
        <is>
          <t>Property, Plant and Equipment / Intangibles / CWIP</t>
        </is>
      </c>
      <c r="C131" s="17" t="inlineStr">
        <is>
          <t>PPE - office equipment</t>
        </is>
      </c>
      <c r="D131" s="17" t="inlineStr">
        <is>
          <t>PPE_OFFICE</t>
        </is>
      </c>
      <c r="E131" s="121" t="n">
        <v>0</v>
      </c>
      <c r="F131" s="121" t="n">
        <v>0</v>
      </c>
      <c r="G131" s="59" t="str"/>
    </row>
    <row r="132">
      <c r="A132" s="17" t="inlineStr">
        <is>
          <t>11</t>
        </is>
      </c>
      <c r="B132" s="17" t="inlineStr">
        <is>
          <t>Property, Plant and Equipment / Intangibles / CWIP</t>
        </is>
      </c>
      <c r="C132" s="17" t="inlineStr">
        <is>
          <t>Intangible assets</t>
        </is>
      </c>
      <c r="D132" s="17" t="inlineStr">
        <is>
          <t>INTANG</t>
        </is>
      </c>
      <c r="E132" s="121" t="n">
        <v>0</v>
      </c>
      <c r="F132" s="121" t="n">
        <v>0</v>
      </c>
      <c r="G132" s="59" t="str"/>
    </row>
    <row r="133">
      <c r="A133" s="17" t="inlineStr">
        <is>
          <t>11</t>
        </is>
      </c>
      <c r="B133" s="17" t="inlineStr">
        <is>
          <t>Property, Plant and Equipment / Intangibles / CWIP</t>
        </is>
      </c>
      <c r="C133" s="17" t="inlineStr">
        <is>
          <t>Capital work-in-progress</t>
        </is>
      </c>
      <c r="D133" s="17" t="inlineStr">
        <is>
          <t>CWIP</t>
        </is>
      </c>
      <c r="E133" s="121" t="n">
        <v>0</v>
      </c>
      <c r="F133" s="121" t="n">
        <v>0</v>
      </c>
      <c r="G133" s="59" t="str"/>
    </row>
    <row r="134">
      <c r="A134" s="17" t="inlineStr">
        <is>
          <t>11</t>
        </is>
      </c>
      <c r="B134" s="17" t="inlineStr">
        <is>
          <t>Property, Plant and Equipment / Intangibles / CWIP</t>
        </is>
      </c>
      <c r="C134" s="17" t="inlineStr">
        <is>
          <t>Intangible assets under development</t>
        </is>
      </c>
      <c r="D134" s="17" t="inlineStr">
        <is>
          <t>IAUD</t>
        </is>
      </c>
      <c r="E134" s="121" t="n">
        <v>0</v>
      </c>
      <c r="F134" s="121" t="n">
        <v>0</v>
      </c>
      <c r="G134" s="59" t="str"/>
    </row>
    <row r="135">
      <c r="A135" s="65" t="inlineStr">
        <is>
          <t>11</t>
        </is>
      </c>
      <c r="B135" s="65" t="inlineStr">
        <is>
          <t>Property, Plant and Equipment / Intangibles / CWIP</t>
        </is>
      </c>
      <c r="C135" s="65" t="inlineStr">
        <is>
          <t>Total — Property, Plant and Equipment / Intangibles / CWIP</t>
        </is>
      </c>
      <c r="D135" s="65" t="inlineStr">
        <is>
          <t>__TOTAL__</t>
        </is>
      </c>
      <c r="E135" s="122">
        <f>SUM(E126:E134)</f>
        <v/>
      </c>
      <c r="F135" s="122">
        <f>SUM(F126:F134)</f>
        <v/>
      </c>
      <c r="G135" s="65" t="str"/>
    </row>
    <row r="136">
      <c r="A136" s="17" t="inlineStr">
        <is>
          <t>12</t>
        </is>
      </c>
      <c r="B136" s="17" t="inlineStr">
        <is>
          <t>Non-current Investments</t>
        </is>
      </c>
      <c r="C136" s="17" t="inlineStr">
        <is>
          <t>Investment property</t>
        </is>
      </c>
      <c r="D136" s="17" t="inlineStr">
        <is>
          <t>NCI_PROP</t>
        </is>
      </c>
      <c r="E136" s="121" t="n">
        <v>0</v>
      </c>
      <c r="F136" s="121" t="n">
        <v>0</v>
      </c>
      <c r="G136" s="59" t="str"/>
    </row>
    <row r="137">
      <c r="A137" s="17" t="inlineStr">
        <is>
          <t>12</t>
        </is>
      </c>
      <c r="B137" s="17" t="inlineStr">
        <is>
          <t>Non-current Investments</t>
        </is>
      </c>
      <c r="C137" s="17" t="inlineStr">
        <is>
          <t>Equity instruments</t>
        </is>
      </c>
      <c r="D137" s="17" t="inlineStr">
        <is>
          <t>NCI_EQUITY</t>
        </is>
      </c>
      <c r="E137" s="121" t="n">
        <v>0</v>
      </c>
      <c r="F137" s="121" t="n">
        <v>0</v>
      </c>
      <c r="G137" s="59" t="str"/>
    </row>
    <row r="138">
      <c r="A138" s="17" t="inlineStr">
        <is>
          <t>12</t>
        </is>
      </c>
      <c r="B138" s="17" t="inlineStr">
        <is>
          <t>Non-current Investments</t>
        </is>
      </c>
      <c r="C138" s="17" t="inlineStr">
        <is>
          <t>Preference shares</t>
        </is>
      </c>
      <c r="D138" s="17" t="inlineStr">
        <is>
          <t>NCI_PREF</t>
        </is>
      </c>
      <c r="E138" s="121" t="n">
        <v>0</v>
      </c>
      <c r="F138" s="121" t="n">
        <v>0</v>
      </c>
      <c r="G138" s="59" t="str"/>
    </row>
    <row r="139">
      <c r="A139" s="17" t="inlineStr">
        <is>
          <t>12</t>
        </is>
      </c>
      <c r="B139" s="17" t="inlineStr">
        <is>
          <t>Non-current Investments</t>
        </is>
      </c>
      <c r="C139" s="17" t="inlineStr">
        <is>
          <t>Government / trust securities</t>
        </is>
      </c>
      <c r="D139" s="17" t="inlineStr">
        <is>
          <t>NCI_GOVT</t>
        </is>
      </c>
      <c r="E139" s="121" t="n">
        <v>0</v>
      </c>
      <c r="F139" s="121" t="n">
        <v>0</v>
      </c>
      <c r="G139" s="59" t="str"/>
    </row>
    <row r="140">
      <c r="A140" s="17" t="inlineStr">
        <is>
          <t>12</t>
        </is>
      </c>
      <c r="B140" s="17" t="inlineStr">
        <is>
          <t>Non-current Investments</t>
        </is>
      </c>
      <c r="C140" s="17" t="inlineStr">
        <is>
          <t>Debentures / bonds</t>
        </is>
      </c>
      <c r="D140" s="17" t="inlineStr">
        <is>
          <t>NCI_BONDS</t>
        </is>
      </c>
      <c r="E140" s="121" t="n">
        <v>0</v>
      </c>
      <c r="F140" s="121" t="n">
        <v>0</v>
      </c>
      <c r="G140" s="59" t="str"/>
    </row>
    <row r="141">
      <c r="A141" s="17" t="inlineStr">
        <is>
          <t>12</t>
        </is>
      </c>
      <c r="B141" s="17" t="inlineStr">
        <is>
          <t>Non-current Investments</t>
        </is>
      </c>
      <c r="C141" s="17" t="inlineStr">
        <is>
          <t>Mutual funds</t>
        </is>
      </c>
      <c r="D141" s="17" t="inlineStr">
        <is>
          <t>NCI_MF</t>
        </is>
      </c>
      <c r="E141" s="121" t="n">
        <v>0</v>
      </c>
      <c r="F141" s="121" t="n">
        <v>0</v>
      </c>
      <c r="G141" s="59" t="str"/>
    </row>
    <row r="142">
      <c r="A142" s="17" t="inlineStr">
        <is>
          <t>12</t>
        </is>
      </c>
      <c r="B142" s="17" t="inlineStr">
        <is>
          <t>Non-current Investments</t>
        </is>
      </c>
      <c r="C142" s="17" t="inlineStr">
        <is>
          <t>Partnership firms</t>
        </is>
      </c>
      <c r="D142" s="17" t="inlineStr">
        <is>
          <t>NCI_PARTNERSHIP</t>
        </is>
      </c>
      <c r="E142" s="121" t="n">
        <v>0</v>
      </c>
      <c r="F142" s="121" t="n">
        <v>0</v>
      </c>
      <c r="G142" s="59" t="str"/>
    </row>
    <row r="143">
      <c r="A143" s="17" t="inlineStr">
        <is>
          <t>12</t>
        </is>
      </c>
      <c r="B143" s="17" t="inlineStr">
        <is>
          <t>Non-current Investments</t>
        </is>
      </c>
      <c r="C143" s="17" t="inlineStr">
        <is>
          <t>Other non-current investments</t>
        </is>
      </c>
      <c r="D143" s="17" t="inlineStr">
        <is>
          <t>NCI_OTHER</t>
        </is>
      </c>
      <c r="E143" s="121" t="n">
        <v>0</v>
      </c>
      <c r="F143" s="121" t="n">
        <v>0</v>
      </c>
      <c r="G143" s="59" t="str"/>
    </row>
    <row r="144">
      <c r="A144" s="65" t="inlineStr">
        <is>
          <t>12</t>
        </is>
      </c>
      <c r="B144" s="65" t="inlineStr">
        <is>
          <t>Non-current Investments</t>
        </is>
      </c>
      <c r="C144" s="65" t="inlineStr">
        <is>
          <t>Total — Non-current Investments</t>
        </is>
      </c>
      <c r="D144" s="65" t="inlineStr">
        <is>
          <t>__TOTAL__</t>
        </is>
      </c>
      <c r="E144" s="122">
        <f>SUM(E136:E143)</f>
        <v/>
      </c>
      <c r="F144" s="122">
        <f>SUM(F136:F143)</f>
        <v/>
      </c>
      <c r="G144" s="65" t="str"/>
    </row>
    <row r="145">
      <c r="A145" s="17" t="inlineStr">
        <is>
          <t>13</t>
        </is>
      </c>
      <c r="B145" s="17" t="inlineStr">
        <is>
          <t>Long-term Loans and Advances</t>
        </is>
      </c>
      <c r="C145" s="17" t="inlineStr">
        <is>
          <t>Capital advances</t>
        </is>
      </c>
      <c r="D145" s="17" t="inlineStr">
        <is>
          <t>LTLA_CAP</t>
        </is>
      </c>
      <c r="E145" s="121" t="n">
        <v>0</v>
      </c>
      <c r="F145" s="121" t="n">
        <v>0</v>
      </c>
      <c r="G145" s="59" t="str"/>
    </row>
    <row r="146">
      <c r="A146" s="17" t="inlineStr">
        <is>
          <t>13</t>
        </is>
      </c>
      <c r="B146" s="17" t="inlineStr">
        <is>
          <t>Long-term Loans and Advances</t>
        </is>
      </c>
      <c r="C146" s="17" t="inlineStr">
        <is>
          <t>Security deposits</t>
        </is>
      </c>
      <c r="D146" s="17" t="inlineStr">
        <is>
          <t>LTLA_DEP</t>
        </is>
      </c>
      <c r="E146" s="121" t="n">
        <v>0</v>
      </c>
      <c r="F146" s="121" t="n">
        <v>0</v>
      </c>
      <c r="G146" s="59" t="str"/>
    </row>
    <row r="147">
      <c r="A147" s="17" t="inlineStr">
        <is>
          <t>13</t>
        </is>
      </c>
      <c r="B147" s="17" t="inlineStr">
        <is>
          <t>Long-term Loans and Advances</t>
        </is>
      </c>
      <c r="C147" s="17" t="inlineStr">
        <is>
          <t>Related-party loans / advances</t>
        </is>
      </c>
      <c r="D147" s="17" t="inlineStr">
        <is>
          <t>LTLA_REL</t>
        </is>
      </c>
      <c r="E147" s="121" t="n">
        <v>0</v>
      </c>
      <c r="F147" s="121" t="n">
        <v>0</v>
      </c>
      <c r="G147" s="59" t="str"/>
    </row>
    <row r="148">
      <c r="A148" s="17" t="inlineStr">
        <is>
          <t>13</t>
        </is>
      </c>
      <c r="B148" s="17" t="inlineStr">
        <is>
          <t>Long-term Loans and Advances</t>
        </is>
      </c>
      <c r="C148" s="17" t="inlineStr">
        <is>
          <t>Other loans and advances</t>
        </is>
      </c>
      <c r="D148" s="17" t="inlineStr">
        <is>
          <t>LTLA_OTHER</t>
        </is>
      </c>
      <c r="E148" s="121" t="n">
        <v>0</v>
      </c>
      <c r="F148" s="121" t="n">
        <v>0</v>
      </c>
      <c r="G148" s="59" t="str"/>
    </row>
    <row r="149">
      <c r="A149" s="17" t="inlineStr">
        <is>
          <t>13</t>
        </is>
      </c>
      <c r="B149" s="17" t="inlineStr">
        <is>
          <t>Long-term Loans and Advances</t>
        </is>
      </c>
      <c r="C149" s="17" t="inlineStr">
        <is>
          <t>Provision for doubtful advances</t>
        </is>
      </c>
      <c r="D149" s="17" t="inlineStr">
        <is>
          <t>LTLA_PROV</t>
        </is>
      </c>
      <c r="E149" s="121" t="n">
        <v>0</v>
      </c>
      <c r="F149" s="121" t="n">
        <v>0</v>
      </c>
      <c r="G149" s="59" t="str"/>
    </row>
    <row r="150">
      <c r="A150" s="65" t="inlineStr">
        <is>
          <t>13</t>
        </is>
      </c>
      <c r="B150" s="65" t="inlineStr">
        <is>
          <t>Long-term Loans and Advances</t>
        </is>
      </c>
      <c r="C150" s="65" t="inlineStr">
        <is>
          <t>Total — Long-term Loans and Advances</t>
        </is>
      </c>
      <c r="D150" s="65" t="inlineStr">
        <is>
          <t>__TOTAL__</t>
        </is>
      </c>
      <c r="E150" s="122">
        <f>SUM(E145:E149)</f>
        <v/>
      </c>
      <c r="F150" s="122">
        <f>SUM(F145:F149)</f>
        <v/>
      </c>
      <c r="G150" s="65" t="str"/>
    </row>
    <row r="151">
      <c r="A151" s="17" t="inlineStr">
        <is>
          <t>14</t>
        </is>
      </c>
      <c r="B151" s="17" t="inlineStr">
        <is>
          <t>Other Non-current Assets</t>
        </is>
      </c>
      <c r="C151" s="17" t="inlineStr">
        <is>
          <t>Long-term trade receivables</t>
        </is>
      </c>
      <c r="D151" s="17" t="inlineStr">
        <is>
          <t>ONCA_TR</t>
        </is>
      </c>
      <c r="E151" s="121" t="n">
        <v>0</v>
      </c>
      <c r="F151" s="121" t="n">
        <v>0</v>
      </c>
      <c r="G151" s="59" t="str"/>
    </row>
    <row r="152">
      <c r="A152" s="17" t="inlineStr">
        <is>
          <t>14</t>
        </is>
      </c>
      <c r="B152" s="17" t="inlineStr">
        <is>
          <t>Other Non-current Assets</t>
        </is>
      </c>
      <c r="C152" s="17" t="inlineStr">
        <is>
          <t>Bank deposits &gt; 12 months</t>
        </is>
      </c>
      <c r="D152" s="17" t="inlineStr">
        <is>
          <t>ONCA_BANK</t>
        </is>
      </c>
      <c r="E152" s="121" t="n">
        <v>0</v>
      </c>
      <c r="F152" s="121" t="n">
        <v>0</v>
      </c>
      <c r="G152" s="59" t="str"/>
    </row>
    <row r="153">
      <c r="A153" s="17" t="inlineStr">
        <is>
          <t>14</t>
        </is>
      </c>
      <c r="B153" s="17" t="inlineStr">
        <is>
          <t>Other Non-current Assets</t>
        </is>
      </c>
      <c r="C153" s="17" t="inlineStr">
        <is>
          <t>Other non-current assets</t>
        </is>
      </c>
      <c r="D153" s="17" t="inlineStr">
        <is>
          <t>ONCA_OTHER</t>
        </is>
      </c>
      <c r="E153" s="121" t="n">
        <v>0</v>
      </c>
      <c r="F153" s="121" t="n">
        <v>0</v>
      </c>
      <c r="G153" s="59" t="str"/>
    </row>
    <row r="154">
      <c r="A154" s="65" t="inlineStr">
        <is>
          <t>14</t>
        </is>
      </c>
      <c r="B154" s="65" t="inlineStr">
        <is>
          <t>Other Non-current Assets</t>
        </is>
      </c>
      <c r="C154" s="65" t="inlineStr">
        <is>
          <t>Total — Other Non-current Assets</t>
        </is>
      </c>
      <c r="D154" s="65" t="inlineStr">
        <is>
          <t>__TOTAL__</t>
        </is>
      </c>
      <c r="E154" s="122">
        <f>SUM(E151:E153)</f>
        <v/>
      </c>
      <c r="F154" s="122">
        <f>SUM(F151:F153)</f>
        <v/>
      </c>
      <c r="G154" s="65" t="str"/>
    </row>
    <row r="155">
      <c r="A155" s="17" t="inlineStr">
        <is>
          <t>15</t>
        </is>
      </c>
      <c r="B155" s="17" t="inlineStr">
        <is>
          <t>Current Investments</t>
        </is>
      </c>
      <c r="C155" s="17" t="inlineStr">
        <is>
          <t>Current investments - quoted</t>
        </is>
      </c>
      <c r="D155" s="17" t="inlineStr">
        <is>
          <t>CI_QUOTED</t>
        </is>
      </c>
      <c r="E155" s="121" t="n">
        <v>0</v>
      </c>
      <c r="F155" s="121" t="n">
        <v>0</v>
      </c>
      <c r="G155" s="59" t="str"/>
    </row>
    <row r="156">
      <c r="A156" s="17" t="inlineStr">
        <is>
          <t>15</t>
        </is>
      </c>
      <c r="B156" s="17" t="inlineStr">
        <is>
          <t>Current Investments</t>
        </is>
      </c>
      <c r="C156" s="17" t="inlineStr">
        <is>
          <t>Current investments - unquoted</t>
        </is>
      </c>
      <c r="D156" s="17" t="inlineStr">
        <is>
          <t>CI_UNQUOTED</t>
        </is>
      </c>
      <c r="E156" s="121" t="n">
        <v>0</v>
      </c>
      <c r="F156" s="121" t="n">
        <v>0</v>
      </c>
      <c r="G156" s="59" t="str"/>
    </row>
    <row r="157">
      <c r="A157" s="17" t="inlineStr">
        <is>
          <t>15</t>
        </is>
      </c>
      <c r="B157" s="17" t="inlineStr">
        <is>
          <t>Current Investments</t>
        </is>
      </c>
      <c r="C157" s="17" t="inlineStr">
        <is>
          <t>Provision for diminution</t>
        </is>
      </c>
      <c r="D157" s="17" t="inlineStr">
        <is>
          <t>CI_PROV</t>
        </is>
      </c>
      <c r="E157" s="121" t="n">
        <v>0</v>
      </c>
      <c r="F157" s="121" t="n">
        <v>0</v>
      </c>
      <c r="G157" s="59" t="str"/>
    </row>
    <row r="158">
      <c r="A158" s="65" t="inlineStr">
        <is>
          <t>15</t>
        </is>
      </c>
      <c r="B158" s="65" t="inlineStr">
        <is>
          <t>Current Investments</t>
        </is>
      </c>
      <c r="C158" s="65" t="inlineStr">
        <is>
          <t>Total — Current Investments</t>
        </is>
      </c>
      <c r="D158" s="65" t="inlineStr">
        <is>
          <t>__TOTAL__</t>
        </is>
      </c>
      <c r="E158" s="122">
        <f>SUM(E155:E157)</f>
        <v/>
      </c>
      <c r="F158" s="122">
        <f>SUM(F155:F157)</f>
        <v/>
      </c>
      <c r="G158" s="65" t="str"/>
    </row>
    <row r="159">
      <c r="A159" s="17" t="inlineStr">
        <is>
          <t>16</t>
        </is>
      </c>
      <c r="B159" s="17" t="inlineStr">
        <is>
          <t>Inventories</t>
        </is>
      </c>
      <c r="C159" s="17" t="inlineStr">
        <is>
          <t>Raw materials</t>
        </is>
      </c>
      <c r="D159" s="17" t="inlineStr">
        <is>
          <t>INV_RM</t>
        </is>
      </c>
      <c r="E159" s="121" t="n">
        <v>0</v>
      </c>
      <c r="F159" s="121" t="n">
        <v>0</v>
      </c>
      <c r="G159" s="59" t="str"/>
    </row>
    <row r="160">
      <c r="A160" s="17" t="inlineStr">
        <is>
          <t>16</t>
        </is>
      </c>
      <c r="B160" s="17" t="inlineStr">
        <is>
          <t>Inventories</t>
        </is>
      </c>
      <c r="C160" s="17" t="inlineStr">
        <is>
          <t>Work-in-progress</t>
        </is>
      </c>
      <c r="D160" s="17" t="inlineStr">
        <is>
          <t>INV_WIP</t>
        </is>
      </c>
      <c r="E160" s="121" t="n">
        <v>0</v>
      </c>
      <c r="F160" s="121" t="n">
        <v>0</v>
      </c>
      <c r="G160" s="59" t="str"/>
    </row>
    <row r="161">
      <c r="A161" s="17" t="inlineStr">
        <is>
          <t>16</t>
        </is>
      </c>
      <c r="B161" s="17" t="inlineStr">
        <is>
          <t>Inventories</t>
        </is>
      </c>
      <c r="C161" s="17" t="inlineStr">
        <is>
          <t>Finished goods</t>
        </is>
      </c>
      <c r="D161" s="17" t="inlineStr">
        <is>
          <t>INV_FG</t>
        </is>
      </c>
      <c r="E161" s="121" t="n">
        <v>0</v>
      </c>
      <c r="F161" s="121" t="n">
        <v>0</v>
      </c>
      <c r="G161" s="59" t="str"/>
    </row>
    <row r="162">
      <c r="A162" s="17" t="inlineStr">
        <is>
          <t>16</t>
        </is>
      </c>
      <c r="B162" s="17" t="inlineStr">
        <is>
          <t>Inventories</t>
        </is>
      </c>
      <c r="C162" s="17" t="inlineStr">
        <is>
          <t>Stock-in-trade</t>
        </is>
      </c>
      <c r="D162" s="17" t="inlineStr">
        <is>
          <t>INV_SIT</t>
        </is>
      </c>
      <c r="E162" s="121" t="n">
        <v>0</v>
      </c>
      <c r="F162" s="121" t="n">
        <v>0</v>
      </c>
      <c r="G162" s="59" t="str"/>
    </row>
    <row r="163">
      <c r="A163" s="17" t="inlineStr">
        <is>
          <t>16</t>
        </is>
      </c>
      <c r="B163" s="17" t="inlineStr">
        <is>
          <t>Inventories</t>
        </is>
      </c>
      <c r="C163" s="17" t="inlineStr">
        <is>
          <t>Stores and spares</t>
        </is>
      </c>
      <c r="D163" s="17" t="inlineStr">
        <is>
          <t>INV_STORES</t>
        </is>
      </c>
      <c r="E163" s="121" t="n">
        <v>0</v>
      </c>
      <c r="F163" s="121" t="n">
        <v>0</v>
      </c>
      <c r="G163" s="59" t="str"/>
    </row>
    <row r="164">
      <c r="A164" s="17" t="inlineStr">
        <is>
          <t>16</t>
        </is>
      </c>
      <c r="B164" s="17" t="inlineStr">
        <is>
          <t>Inventories</t>
        </is>
      </c>
      <c r="C164" s="17" t="inlineStr">
        <is>
          <t>Loose tools</t>
        </is>
      </c>
      <c r="D164" s="17" t="inlineStr">
        <is>
          <t>INV_TOOLS</t>
        </is>
      </c>
      <c r="E164" s="121" t="n">
        <v>0</v>
      </c>
      <c r="F164" s="121" t="n">
        <v>0</v>
      </c>
      <c r="G164" s="59" t="str"/>
    </row>
    <row r="165">
      <c r="A165" s="17" t="inlineStr">
        <is>
          <t>16</t>
        </is>
      </c>
      <c r="B165" s="17" t="inlineStr">
        <is>
          <t>Inventories</t>
        </is>
      </c>
      <c r="C165" s="17" t="inlineStr">
        <is>
          <t>Goods in transit</t>
        </is>
      </c>
      <c r="D165" s="17" t="inlineStr">
        <is>
          <t>INV_TRANSIT</t>
        </is>
      </c>
      <c r="E165" s="121" t="n">
        <v>0</v>
      </c>
      <c r="F165" s="121" t="n">
        <v>0</v>
      </c>
      <c r="G165" s="59" t="str"/>
    </row>
    <row r="166">
      <c r="A166" s="17" t="inlineStr">
        <is>
          <t>16</t>
        </is>
      </c>
      <c r="B166" s="17" t="inlineStr">
        <is>
          <t>Inventories</t>
        </is>
      </c>
      <c r="C166" s="17" t="inlineStr">
        <is>
          <t>Other inventories</t>
        </is>
      </c>
      <c r="D166" s="17" t="inlineStr">
        <is>
          <t>INV_OTHER</t>
        </is>
      </c>
      <c r="E166" s="121" t="n">
        <v>0</v>
      </c>
      <c r="F166" s="121" t="n">
        <v>0</v>
      </c>
      <c r="G166" s="59" t="str"/>
    </row>
    <row r="167">
      <c r="A167" s="65" t="inlineStr">
        <is>
          <t>16</t>
        </is>
      </c>
      <c r="B167" s="65" t="inlineStr">
        <is>
          <t>Inventories</t>
        </is>
      </c>
      <c r="C167" s="65" t="inlineStr">
        <is>
          <t>Total — Inventories</t>
        </is>
      </c>
      <c r="D167" s="65" t="inlineStr">
        <is>
          <t>__TOTAL__</t>
        </is>
      </c>
      <c r="E167" s="122">
        <f>SUM(E159:E166)</f>
        <v/>
      </c>
      <c r="F167" s="122">
        <f>SUM(F159:F166)</f>
        <v/>
      </c>
      <c r="G167" s="65" t="str"/>
    </row>
    <row r="168">
      <c r="A168" s="17" t="inlineStr">
        <is>
          <t>17</t>
        </is>
      </c>
      <c r="B168" s="17" t="inlineStr">
        <is>
          <t>Trade Receivables</t>
        </is>
      </c>
      <c r="C168" s="17" t="inlineStr">
        <is>
          <t>Undisputed - considered good</t>
        </is>
      </c>
      <c r="D168" s="17" t="inlineStr">
        <is>
          <t>TR_GOOD</t>
        </is>
      </c>
      <c r="E168" s="121" t="n">
        <v>0</v>
      </c>
      <c r="F168" s="121" t="n">
        <v>0</v>
      </c>
      <c r="G168" s="59" t="str"/>
    </row>
    <row r="169">
      <c r="A169" s="17" t="inlineStr">
        <is>
          <t>17</t>
        </is>
      </c>
      <c r="B169" s="17" t="inlineStr">
        <is>
          <t>Trade Receivables</t>
        </is>
      </c>
      <c r="C169" s="17" t="inlineStr">
        <is>
          <t>Undisputed - considered doubtful</t>
        </is>
      </c>
      <c r="D169" s="17" t="inlineStr">
        <is>
          <t>TR_DOUBT</t>
        </is>
      </c>
      <c r="E169" s="121" t="n">
        <v>0</v>
      </c>
      <c r="F169" s="121" t="n">
        <v>0</v>
      </c>
      <c r="G169" s="59" t="str"/>
    </row>
    <row r="170">
      <c r="A170" s="17" t="inlineStr">
        <is>
          <t>17</t>
        </is>
      </c>
      <c r="B170" s="17" t="inlineStr">
        <is>
          <t>Trade Receivables</t>
        </is>
      </c>
      <c r="C170" s="17" t="inlineStr">
        <is>
          <t>Disputed - considered good</t>
        </is>
      </c>
      <c r="D170" s="17" t="inlineStr">
        <is>
          <t>TR_DISP_GOOD</t>
        </is>
      </c>
      <c r="E170" s="121" t="n">
        <v>0</v>
      </c>
      <c r="F170" s="121" t="n">
        <v>0</v>
      </c>
      <c r="G170" s="59" t="str"/>
    </row>
    <row r="171">
      <c r="A171" s="17" t="inlineStr">
        <is>
          <t>17</t>
        </is>
      </c>
      <c r="B171" s="17" t="inlineStr">
        <is>
          <t>Trade Receivables</t>
        </is>
      </c>
      <c r="C171" s="17" t="inlineStr">
        <is>
          <t>Disputed - considered doubtful</t>
        </is>
      </c>
      <c r="D171" s="17" t="inlineStr">
        <is>
          <t>TR_DISP_DOUBT</t>
        </is>
      </c>
      <c r="E171" s="121" t="n">
        <v>0</v>
      </c>
      <c r="F171" s="121" t="n">
        <v>0</v>
      </c>
      <c r="G171" s="59" t="str"/>
    </row>
    <row r="172">
      <c r="A172" s="17" t="inlineStr">
        <is>
          <t>17</t>
        </is>
      </c>
      <c r="B172" s="17" t="inlineStr">
        <is>
          <t>Trade Receivables</t>
        </is>
      </c>
      <c r="C172" s="17" t="inlineStr">
        <is>
          <t>Allowance / provision</t>
        </is>
      </c>
      <c r="D172" s="17" t="inlineStr">
        <is>
          <t>TR_PROV</t>
        </is>
      </c>
      <c r="E172" s="121" t="n">
        <v>0</v>
      </c>
      <c r="F172" s="121" t="n">
        <v>0</v>
      </c>
      <c r="G172" s="59" t="str"/>
    </row>
    <row r="173">
      <c r="A173" s="65" t="inlineStr">
        <is>
          <t>17</t>
        </is>
      </c>
      <c r="B173" s="65" t="inlineStr">
        <is>
          <t>Trade Receivables</t>
        </is>
      </c>
      <c r="C173" s="65" t="inlineStr">
        <is>
          <t>Total — Trade Receivables</t>
        </is>
      </c>
      <c r="D173" s="65" t="inlineStr">
        <is>
          <t>__TOTAL__</t>
        </is>
      </c>
      <c r="E173" s="122">
        <f>SUM(E168:E172)</f>
        <v/>
      </c>
      <c r="F173" s="122">
        <f>SUM(F168:F172)</f>
        <v/>
      </c>
      <c r="G173" s="65" t="str"/>
    </row>
    <row r="174">
      <c r="A174" s="17" t="inlineStr">
        <is>
          <t>18</t>
        </is>
      </c>
      <c r="B174" s="17" t="inlineStr">
        <is>
          <t>Cash and Cash Equivalents</t>
        </is>
      </c>
      <c r="C174" s="17" t="inlineStr">
        <is>
          <t>Balances with banks</t>
        </is>
      </c>
      <c r="D174" s="17" t="inlineStr">
        <is>
          <t>CASH_BANK</t>
        </is>
      </c>
      <c r="E174" s="121" t="n">
        <v>0</v>
      </c>
      <c r="F174" s="121" t="n">
        <v>0</v>
      </c>
      <c r="G174" s="59" t="str"/>
    </row>
    <row r="175">
      <c r="A175" s="17" t="inlineStr">
        <is>
          <t>18</t>
        </is>
      </c>
      <c r="B175" s="17" t="inlineStr">
        <is>
          <t>Cash and Cash Equivalents</t>
        </is>
      </c>
      <c r="C175" s="17" t="inlineStr">
        <is>
          <t>Cash on hand</t>
        </is>
      </c>
      <c r="D175" s="17" t="inlineStr">
        <is>
          <t>CASH_HAND</t>
        </is>
      </c>
      <c r="E175" s="121" t="n">
        <v>0</v>
      </c>
      <c r="F175" s="121" t="n">
        <v>0</v>
      </c>
      <c r="G175" s="59" t="str"/>
    </row>
    <row r="176">
      <c r="A176" s="17" t="inlineStr">
        <is>
          <t>18</t>
        </is>
      </c>
      <c r="B176" s="17" t="inlineStr">
        <is>
          <t>Cash and Cash Equivalents</t>
        </is>
      </c>
      <c r="C176" s="17" t="inlineStr">
        <is>
          <t>Cheques / drafts on hand</t>
        </is>
      </c>
      <c r="D176" s="17" t="inlineStr">
        <is>
          <t>CASH_CHEQ</t>
        </is>
      </c>
      <c r="E176" s="121" t="n">
        <v>0</v>
      </c>
      <c r="F176" s="121" t="n">
        <v>0</v>
      </c>
      <c r="G176" s="59" t="str"/>
    </row>
    <row r="177">
      <c r="A177" s="17" t="inlineStr">
        <is>
          <t>18</t>
        </is>
      </c>
      <c r="B177" s="17" t="inlineStr">
        <is>
          <t>Cash and Cash Equivalents</t>
        </is>
      </c>
      <c r="C177" s="17" t="inlineStr">
        <is>
          <t>Other cash equivalents</t>
        </is>
      </c>
      <c r="D177" s="17" t="inlineStr">
        <is>
          <t>CASH_OTHER</t>
        </is>
      </c>
      <c r="E177" s="121" t="n">
        <v>0</v>
      </c>
      <c r="F177" s="121" t="n">
        <v>0</v>
      </c>
      <c r="G177" s="59" t="str"/>
    </row>
    <row r="178">
      <c r="A178" s="65" t="inlineStr">
        <is>
          <t>18</t>
        </is>
      </c>
      <c r="B178" s="65" t="inlineStr">
        <is>
          <t>Cash and Cash Equivalents</t>
        </is>
      </c>
      <c r="C178" s="65" t="inlineStr">
        <is>
          <t>Total — Cash and Cash Equivalents</t>
        </is>
      </c>
      <c r="D178" s="65" t="inlineStr">
        <is>
          <t>__TOTAL__</t>
        </is>
      </c>
      <c r="E178" s="122">
        <f>SUM(E174:E177)</f>
        <v/>
      </c>
      <c r="F178" s="122">
        <f>SUM(F174:F177)</f>
        <v/>
      </c>
      <c r="G178" s="65" t="str"/>
    </row>
    <row r="179">
      <c r="A179" s="17" t="inlineStr">
        <is>
          <t>19</t>
        </is>
      </c>
      <c r="B179" s="17" t="inlineStr">
        <is>
          <t>Short-term Loans and Advances</t>
        </is>
      </c>
      <c r="C179" s="17" t="inlineStr">
        <is>
          <t>Loans and advances to related parties</t>
        </is>
      </c>
      <c r="D179" s="17" t="inlineStr">
        <is>
          <t>STLA_REL</t>
        </is>
      </c>
      <c r="E179" s="121" t="n">
        <v>0</v>
      </c>
      <c r="F179" s="121" t="n">
        <v>0</v>
      </c>
      <c r="G179" s="59" t="str"/>
    </row>
    <row r="180">
      <c r="A180" s="17" t="inlineStr">
        <is>
          <t>19</t>
        </is>
      </c>
      <c r="B180" s="17" t="inlineStr">
        <is>
          <t>Short-term Loans and Advances</t>
        </is>
      </c>
      <c r="C180" s="17" t="inlineStr">
        <is>
          <t>Other short-term loans and advances</t>
        </is>
      </c>
      <c r="D180" s="17" t="inlineStr">
        <is>
          <t>STLA_OTHER</t>
        </is>
      </c>
      <c r="E180" s="121" t="n">
        <v>0</v>
      </c>
      <c r="F180" s="121" t="n">
        <v>0</v>
      </c>
      <c r="G180" s="59" t="str"/>
    </row>
    <row r="181">
      <c r="A181" s="17" t="inlineStr">
        <is>
          <t>19</t>
        </is>
      </c>
      <c r="B181" s="17" t="inlineStr">
        <is>
          <t>Short-term Loans and Advances</t>
        </is>
      </c>
      <c r="C181" s="17" t="inlineStr">
        <is>
          <t>Provision for doubtful advances</t>
        </is>
      </c>
      <c r="D181" s="17" t="inlineStr">
        <is>
          <t>STLA_PROV</t>
        </is>
      </c>
      <c r="E181" s="121" t="n">
        <v>0</v>
      </c>
      <c r="F181" s="121" t="n">
        <v>0</v>
      </c>
      <c r="G181" s="59" t="str"/>
    </row>
    <row r="182">
      <c r="A182" s="65" t="inlineStr">
        <is>
          <t>19</t>
        </is>
      </c>
      <c r="B182" s="65" t="inlineStr">
        <is>
          <t>Short-term Loans and Advances</t>
        </is>
      </c>
      <c r="C182" s="65" t="inlineStr">
        <is>
          <t>Total — Short-term Loans and Advances</t>
        </is>
      </c>
      <c r="D182" s="65" t="inlineStr">
        <is>
          <t>__TOTAL__</t>
        </is>
      </c>
      <c r="E182" s="122">
        <f>SUM(E179:E181)</f>
        <v/>
      </c>
      <c r="F182" s="122">
        <f>SUM(F179:F181)</f>
        <v/>
      </c>
      <c r="G182" s="65" t="str"/>
    </row>
    <row r="183">
      <c r="A183" s="17" t="inlineStr">
        <is>
          <t>20</t>
        </is>
      </c>
      <c r="B183" s="17" t="inlineStr">
        <is>
          <t>Other Current Assets</t>
        </is>
      </c>
      <c r="C183" s="17" t="inlineStr">
        <is>
          <t>Interest accrued</t>
        </is>
      </c>
      <c r="D183" s="17" t="inlineStr">
        <is>
          <t>OCA_INT</t>
        </is>
      </c>
      <c r="E183" s="121" t="n">
        <v>0</v>
      </c>
      <c r="F183" s="121" t="n">
        <v>0</v>
      </c>
      <c r="G183" s="59" t="str"/>
    </row>
    <row r="184">
      <c r="A184" s="17" t="inlineStr">
        <is>
          <t>20</t>
        </is>
      </c>
      <c r="B184" s="17" t="inlineStr">
        <is>
          <t>Other Current Assets</t>
        </is>
      </c>
      <c r="C184" s="17" t="inlineStr">
        <is>
          <t>Prepaid expenses</t>
        </is>
      </c>
      <c r="D184" s="17" t="inlineStr">
        <is>
          <t>OCA_PREPAID</t>
        </is>
      </c>
      <c r="E184" s="121" t="n">
        <v>0</v>
      </c>
      <c r="F184" s="121" t="n">
        <v>0</v>
      </c>
      <c r="G184" s="59" t="str"/>
    </row>
    <row r="185">
      <c r="A185" s="17" t="inlineStr">
        <is>
          <t>20</t>
        </is>
      </c>
      <c r="B185" s="17" t="inlineStr">
        <is>
          <t>Other Current Assets</t>
        </is>
      </c>
      <c r="C185" s="17" t="inlineStr">
        <is>
          <t>GST / tax receivables</t>
        </is>
      </c>
      <c r="D185" s="17" t="inlineStr">
        <is>
          <t>OCA_TAX</t>
        </is>
      </c>
      <c r="E185" s="121" t="n">
        <v>0</v>
      </c>
      <c r="F185" s="121" t="n">
        <v>0</v>
      </c>
      <c r="G185" s="59" t="str"/>
    </row>
    <row r="186">
      <c r="A186" s="17" t="inlineStr">
        <is>
          <t>20</t>
        </is>
      </c>
      <c r="B186" s="17" t="inlineStr">
        <is>
          <t>Other Current Assets</t>
        </is>
      </c>
      <c r="C186" s="17" t="inlineStr">
        <is>
          <t>Other current assets</t>
        </is>
      </c>
      <c r="D186" s="17" t="inlineStr">
        <is>
          <t>OCA_OTHER</t>
        </is>
      </c>
      <c r="E186" s="121" t="n">
        <v>0</v>
      </c>
      <c r="F186" s="121" t="n">
        <v>0</v>
      </c>
      <c r="G186" s="59" t="str"/>
    </row>
    <row r="187">
      <c r="A187" s="65" t="inlineStr">
        <is>
          <t>20</t>
        </is>
      </c>
      <c r="B187" s="65" t="inlineStr">
        <is>
          <t>Other Current Assets</t>
        </is>
      </c>
      <c r="C187" s="65" t="inlineStr">
        <is>
          <t>Total — Other Current Assets</t>
        </is>
      </c>
      <c r="D187" s="65" t="inlineStr">
        <is>
          <t>__TOTAL__</t>
        </is>
      </c>
      <c r="E187" s="122">
        <f>SUM(E183:E186)</f>
        <v/>
      </c>
      <c r="F187" s="122">
        <f>SUM(F183:F186)</f>
        <v/>
      </c>
      <c r="G187" s="65" t="str"/>
    </row>
    <row r="188">
      <c r="A188" s="17" t="inlineStr">
        <is>
          <t>21</t>
        </is>
      </c>
      <c r="B188" s="17" t="inlineStr">
        <is>
          <t>Revenue from Operations</t>
        </is>
      </c>
      <c r="C188" s="17" t="inlineStr">
        <is>
          <t>Sale of products</t>
        </is>
      </c>
      <c r="D188" s="17" t="inlineStr">
        <is>
          <t>REV_PRODUCTS</t>
        </is>
      </c>
      <c r="E188" s="121" t="n">
        <v>0</v>
      </c>
      <c r="F188" s="121" t="n">
        <v>0</v>
      </c>
      <c r="G188" s="59" t="str"/>
    </row>
    <row r="189">
      <c r="A189" s="17" t="inlineStr">
        <is>
          <t>21</t>
        </is>
      </c>
      <c r="B189" s="17" t="inlineStr">
        <is>
          <t>Revenue from Operations</t>
        </is>
      </c>
      <c r="C189" s="17" t="inlineStr">
        <is>
          <t>Sale of services</t>
        </is>
      </c>
      <c r="D189" s="17" t="inlineStr">
        <is>
          <t>REV_SERVICES</t>
        </is>
      </c>
      <c r="E189" s="121" t="n">
        <v>0</v>
      </c>
      <c r="F189" s="121" t="n">
        <v>0</v>
      </c>
      <c r="G189" s="59" t="str"/>
    </row>
    <row r="190">
      <c r="A190" s="17" t="inlineStr">
        <is>
          <t>21</t>
        </is>
      </c>
      <c r="B190" s="17" t="inlineStr">
        <is>
          <t>Revenue from Operations</t>
        </is>
      </c>
      <c r="C190" s="17" t="inlineStr">
        <is>
          <t>Other operating revenue</t>
        </is>
      </c>
      <c r="D190" s="17" t="inlineStr">
        <is>
          <t>REV_OTHER</t>
        </is>
      </c>
      <c r="E190" s="121" t="n">
        <v>0</v>
      </c>
      <c r="F190" s="121" t="n">
        <v>0</v>
      </c>
      <c r="G190" s="59" t="str"/>
    </row>
    <row r="191">
      <c r="A191" s="17" t="inlineStr">
        <is>
          <t>21</t>
        </is>
      </c>
      <c r="B191" s="17" t="inlineStr">
        <is>
          <t>Revenue from Operations</t>
        </is>
      </c>
      <c r="C191" s="17" t="inlineStr">
        <is>
          <t>Less: excise / similar levies</t>
        </is>
      </c>
      <c r="D191" s="17" t="inlineStr">
        <is>
          <t>REV_LEVY</t>
        </is>
      </c>
      <c r="E191" s="121" t="n">
        <v>0</v>
      </c>
      <c r="F191" s="121" t="n">
        <v>0</v>
      </c>
      <c r="G191" s="59" t="str"/>
    </row>
    <row r="192">
      <c r="A192" s="65" t="inlineStr">
        <is>
          <t>21</t>
        </is>
      </c>
      <c r="B192" s="65" t="inlineStr">
        <is>
          <t>Revenue from Operations</t>
        </is>
      </c>
      <c r="C192" s="65" t="inlineStr">
        <is>
          <t>Total — Revenue from Operations</t>
        </is>
      </c>
      <c r="D192" s="65" t="inlineStr">
        <is>
          <t>__TOTAL__</t>
        </is>
      </c>
      <c r="E192" s="122">
        <f>SUM(E188:E191)</f>
        <v/>
      </c>
      <c r="F192" s="122">
        <f>SUM(F188:F191)</f>
        <v/>
      </c>
      <c r="G192" s="65" t="str"/>
    </row>
    <row r="193">
      <c r="A193" s="17" t="inlineStr">
        <is>
          <t>22</t>
        </is>
      </c>
      <c r="B193" s="17" t="inlineStr">
        <is>
          <t>Other Income</t>
        </is>
      </c>
      <c r="C193" s="17" t="inlineStr">
        <is>
          <t>Interest income</t>
        </is>
      </c>
      <c r="D193" s="17" t="inlineStr">
        <is>
          <t>OI_INTEREST</t>
        </is>
      </c>
      <c r="E193" s="121" t="n">
        <v>0</v>
      </c>
      <c r="F193" s="121" t="n">
        <v>0</v>
      </c>
      <c r="G193" s="59" t="str"/>
    </row>
    <row r="194">
      <c r="A194" s="17" t="inlineStr">
        <is>
          <t>22</t>
        </is>
      </c>
      <c r="B194" s="17" t="inlineStr">
        <is>
          <t>Other Income</t>
        </is>
      </c>
      <c r="C194" s="17" t="inlineStr">
        <is>
          <t>Dividend income</t>
        </is>
      </c>
      <c r="D194" s="17" t="inlineStr">
        <is>
          <t>OI_DIV</t>
        </is>
      </c>
      <c r="E194" s="121" t="n">
        <v>0</v>
      </c>
      <c r="F194" s="121" t="n">
        <v>0</v>
      </c>
      <c r="G194" s="59" t="str"/>
    </row>
    <row r="195">
      <c r="A195" s="17" t="inlineStr">
        <is>
          <t>22</t>
        </is>
      </c>
      <c r="B195" s="17" t="inlineStr">
        <is>
          <t>Other Income</t>
        </is>
      </c>
      <c r="C195" s="17" t="inlineStr">
        <is>
          <t>Profit on sale of assets / investments</t>
        </is>
      </c>
      <c r="D195" s="17" t="inlineStr">
        <is>
          <t>OI_PROFITSALE</t>
        </is>
      </c>
      <c r="E195" s="121" t="n">
        <v>0</v>
      </c>
      <c r="F195" s="121" t="n">
        <v>0</v>
      </c>
      <c r="G195" s="59" t="str"/>
    </row>
    <row r="196">
      <c r="A196" s="17" t="inlineStr">
        <is>
          <t>22</t>
        </is>
      </c>
      <c r="B196" s="17" t="inlineStr">
        <is>
          <t>Other Income</t>
        </is>
      </c>
      <c r="C196" s="17" t="inlineStr">
        <is>
          <t>Other non-operating income</t>
        </is>
      </c>
      <c r="D196" s="17" t="inlineStr">
        <is>
          <t>OI_OTHER</t>
        </is>
      </c>
      <c r="E196" s="121" t="n">
        <v>0</v>
      </c>
      <c r="F196" s="121" t="n">
        <v>0</v>
      </c>
      <c r="G196" s="59" t="str"/>
    </row>
    <row r="197">
      <c r="A197" s="65" t="inlineStr">
        <is>
          <t>22</t>
        </is>
      </c>
      <c r="B197" s="65" t="inlineStr">
        <is>
          <t>Other Income</t>
        </is>
      </c>
      <c r="C197" s="65" t="inlineStr">
        <is>
          <t>Total — Other Income</t>
        </is>
      </c>
      <c r="D197" s="65" t="inlineStr">
        <is>
          <t>__TOTAL__</t>
        </is>
      </c>
      <c r="E197" s="122">
        <f>SUM(E193:E196)</f>
        <v/>
      </c>
      <c r="F197" s="122">
        <f>SUM(F193:F196)</f>
        <v/>
      </c>
      <c r="G197" s="65" t="str"/>
    </row>
    <row r="198">
      <c r="A198" s="17" t="inlineStr">
        <is>
          <t>23</t>
        </is>
      </c>
      <c r="B198" s="17" t="inlineStr">
        <is>
          <t>Cost of Materials Consumed</t>
        </is>
      </c>
      <c r="C198" s="17" t="inlineStr">
        <is>
          <t>Opening raw materials</t>
        </is>
      </c>
      <c r="D198" s="17" t="inlineStr">
        <is>
          <t>CMC_OPEN</t>
        </is>
      </c>
      <c r="E198" s="121" t="n">
        <v>0</v>
      </c>
      <c r="F198" s="121" t="n">
        <v>0</v>
      </c>
      <c r="G198" s="59" t="str"/>
    </row>
    <row r="199">
      <c r="A199" s="17" t="inlineStr">
        <is>
          <t>23</t>
        </is>
      </c>
      <c r="B199" s="17" t="inlineStr">
        <is>
          <t>Cost of Materials Consumed</t>
        </is>
      </c>
      <c r="C199" s="17" t="inlineStr">
        <is>
          <t>Purchases / inward</t>
        </is>
      </c>
      <c r="D199" s="17" t="inlineStr">
        <is>
          <t>CMC_PUR</t>
        </is>
      </c>
      <c r="E199" s="121" t="n">
        <v>0</v>
      </c>
      <c r="F199" s="121" t="n">
        <v>0</v>
      </c>
      <c r="G199" s="59" t="str"/>
    </row>
    <row r="200">
      <c r="A200" s="17" t="inlineStr">
        <is>
          <t>23</t>
        </is>
      </c>
      <c r="B200" s="17" t="inlineStr">
        <is>
          <t>Cost of Materials Consumed</t>
        </is>
      </c>
      <c r="C200" s="17" t="inlineStr">
        <is>
          <t>Closing raw materials</t>
        </is>
      </c>
      <c r="D200" s="17" t="inlineStr">
        <is>
          <t>CMC_CLOSE</t>
        </is>
      </c>
      <c r="E200" s="121" t="n">
        <v>0</v>
      </c>
      <c r="F200" s="121" t="n">
        <v>0</v>
      </c>
      <c r="G200" s="59" t="str"/>
    </row>
    <row r="201">
      <c r="A201" s="17" t="inlineStr">
        <is>
          <t>23</t>
        </is>
      </c>
      <c r="B201" s="17" t="inlineStr">
        <is>
          <t>Cost of Materials Consumed</t>
        </is>
      </c>
      <c r="C201" s="17" t="inlineStr">
        <is>
          <t>Other material consumption</t>
        </is>
      </c>
      <c r="D201" s="17" t="inlineStr">
        <is>
          <t>CMC_OTHER</t>
        </is>
      </c>
      <c r="E201" s="121" t="n">
        <v>0</v>
      </c>
      <c r="F201" s="121" t="n">
        <v>0</v>
      </c>
      <c r="G201" s="59" t="str"/>
    </row>
    <row r="202">
      <c r="A202" s="65" t="inlineStr">
        <is>
          <t>23</t>
        </is>
      </c>
      <c r="B202" s="65" t="inlineStr">
        <is>
          <t>Cost of Materials Consumed</t>
        </is>
      </c>
      <c r="C202" s="65" t="inlineStr">
        <is>
          <t>Total — Cost of Materials Consumed</t>
        </is>
      </c>
      <c r="D202" s="65" t="inlineStr">
        <is>
          <t>__TOTAL__</t>
        </is>
      </c>
      <c r="E202" s="122">
        <f>SUM(E198:E201)</f>
        <v/>
      </c>
      <c r="F202" s="122">
        <f>SUM(F198:F201)</f>
        <v/>
      </c>
      <c r="G202" s="65" t="str"/>
    </row>
    <row r="203">
      <c r="A203" s="17" t="inlineStr">
        <is>
          <t>24</t>
        </is>
      </c>
      <c r="B203" s="17" t="inlineStr">
        <is>
          <t>Purchases of Stock-in-Trade</t>
        </is>
      </c>
      <c r="C203" s="17" t="inlineStr">
        <is>
          <t>Purchases of stock-in-trade</t>
        </is>
      </c>
      <c r="D203" s="17" t="inlineStr">
        <is>
          <t>PUR_SIT</t>
        </is>
      </c>
      <c r="E203" s="121" t="n">
        <v>0</v>
      </c>
      <c r="F203" s="121" t="n">
        <v>0</v>
      </c>
      <c r="G203" s="59" t="str"/>
    </row>
    <row r="204">
      <c r="A204" s="65" t="inlineStr">
        <is>
          <t>24</t>
        </is>
      </c>
      <c r="B204" s="65" t="inlineStr">
        <is>
          <t>Purchases of Stock-in-Trade</t>
        </is>
      </c>
      <c r="C204" s="65" t="inlineStr">
        <is>
          <t>Total — Purchases of Stock-in-Trade</t>
        </is>
      </c>
      <c r="D204" s="65" t="inlineStr">
        <is>
          <t>__TOTAL__</t>
        </is>
      </c>
      <c r="E204" s="122">
        <f>SUM(E203:E203)</f>
        <v/>
      </c>
      <c r="F204" s="122">
        <f>SUM(F203:F203)</f>
        <v/>
      </c>
      <c r="G204" s="65" t="str"/>
    </row>
    <row r="205">
      <c r="A205" s="17" t="inlineStr">
        <is>
          <t>25</t>
        </is>
      </c>
      <c r="B205" s="17" t="inlineStr">
        <is>
          <t>Changes in Inventories</t>
        </is>
      </c>
      <c r="C205" s="17" t="inlineStr">
        <is>
          <t>Opening finished goods / WIP / SIT</t>
        </is>
      </c>
      <c r="D205" s="17" t="inlineStr">
        <is>
          <t>CHG_OPEN</t>
        </is>
      </c>
      <c r="E205" s="121" t="n">
        <v>0</v>
      </c>
      <c r="F205" s="121" t="n">
        <v>0</v>
      </c>
      <c r="G205" s="59" t="str"/>
    </row>
    <row r="206">
      <c r="A206" s="17" t="inlineStr">
        <is>
          <t>25</t>
        </is>
      </c>
      <c r="B206" s="17" t="inlineStr">
        <is>
          <t>Changes in Inventories</t>
        </is>
      </c>
      <c r="C206" s="17" t="inlineStr">
        <is>
          <t>Closing finished goods / WIP / SIT</t>
        </is>
      </c>
      <c r="D206" s="17" t="inlineStr">
        <is>
          <t>CHG_CLOSE</t>
        </is>
      </c>
      <c r="E206" s="121" t="n">
        <v>0</v>
      </c>
      <c r="F206" s="121" t="n">
        <v>0</v>
      </c>
      <c r="G206" s="59" t="str"/>
    </row>
    <row r="207">
      <c r="A207" s="65" t="inlineStr">
        <is>
          <t>25</t>
        </is>
      </c>
      <c r="B207" s="65" t="inlineStr">
        <is>
          <t>Changes in Inventories</t>
        </is>
      </c>
      <c r="C207" s="65" t="inlineStr">
        <is>
          <t>Total — Changes in Inventories</t>
        </is>
      </c>
      <c r="D207" s="65" t="inlineStr">
        <is>
          <t>__TOTAL__</t>
        </is>
      </c>
      <c r="E207" s="122">
        <f>SUM(E205:E206)</f>
        <v/>
      </c>
      <c r="F207" s="122">
        <f>SUM(F205:F206)</f>
        <v/>
      </c>
      <c r="G207" s="65" t="str"/>
    </row>
    <row r="208">
      <c r="A208" s="17" t="inlineStr">
        <is>
          <t>26</t>
        </is>
      </c>
      <c r="B208" s="17" t="inlineStr">
        <is>
          <t>Employee Benefits Expense</t>
        </is>
      </c>
      <c r="C208" s="17" t="inlineStr">
        <is>
          <t>Salaries and wages</t>
        </is>
      </c>
      <c r="D208" s="17" t="inlineStr">
        <is>
          <t>EMP_SAL</t>
        </is>
      </c>
      <c r="E208" s="121" t="n">
        <v>0</v>
      </c>
      <c r="F208" s="121" t="n">
        <v>0</v>
      </c>
      <c r="G208" s="59" t="str"/>
    </row>
    <row r="209">
      <c r="A209" s="17" t="inlineStr">
        <is>
          <t>26</t>
        </is>
      </c>
      <c r="B209" s="17" t="inlineStr">
        <is>
          <t>Employee Benefits Expense</t>
        </is>
      </c>
      <c r="C209" s="17" t="inlineStr">
        <is>
          <t>Contribution to funds</t>
        </is>
      </c>
      <c r="D209" s="17" t="inlineStr">
        <is>
          <t>EMP_FUNDS</t>
        </is>
      </c>
      <c r="E209" s="121" t="n">
        <v>0</v>
      </c>
      <c r="F209" s="121" t="n">
        <v>0</v>
      </c>
      <c r="G209" s="59" t="str"/>
    </row>
    <row r="210">
      <c r="A210" s="17" t="inlineStr">
        <is>
          <t>26</t>
        </is>
      </c>
      <c r="B210" s="17" t="inlineStr">
        <is>
          <t>Employee Benefits Expense</t>
        </is>
      </c>
      <c r="C210" s="17" t="inlineStr">
        <is>
          <t>Staff welfare</t>
        </is>
      </c>
      <c r="D210" s="17" t="inlineStr">
        <is>
          <t>EMP_WELFARE</t>
        </is>
      </c>
      <c r="E210" s="121" t="n">
        <v>0</v>
      </c>
      <c r="F210" s="121" t="n">
        <v>0</v>
      </c>
      <c r="G210" s="59" t="str"/>
    </row>
    <row r="211">
      <c r="A211" s="17" t="inlineStr">
        <is>
          <t>26</t>
        </is>
      </c>
      <c r="B211" s="17" t="inlineStr">
        <is>
          <t>Employee Benefits Expense</t>
        </is>
      </c>
      <c r="C211" s="17" t="inlineStr">
        <is>
          <t>Other employee benefits</t>
        </is>
      </c>
      <c r="D211" s="17" t="inlineStr">
        <is>
          <t>EMP_OTHER</t>
        </is>
      </c>
      <c r="E211" s="121" t="n">
        <v>0</v>
      </c>
      <c r="F211" s="121" t="n">
        <v>0</v>
      </c>
      <c r="G211" s="59" t="str"/>
    </row>
    <row r="212">
      <c r="A212" s="65" t="inlineStr">
        <is>
          <t>26</t>
        </is>
      </c>
      <c r="B212" s="65" t="inlineStr">
        <is>
          <t>Employee Benefits Expense</t>
        </is>
      </c>
      <c r="C212" s="65" t="inlineStr">
        <is>
          <t>Total — Employee Benefits Expense</t>
        </is>
      </c>
      <c r="D212" s="65" t="inlineStr">
        <is>
          <t>__TOTAL__</t>
        </is>
      </c>
      <c r="E212" s="122">
        <f>SUM(E208:E211)</f>
        <v/>
      </c>
      <c r="F212" s="122">
        <f>SUM(F208:F211)</f>
        <v/>
      </c>
      <c r="G212" s="65" t="str"/>
    </row>
    <row r="213">
      <c r="A213" s="17" t="inlineStr">
        <is>
          <t>27</t>
        </is>
      </c>
      <c r="B213" s="17" t="inlineStr">
        <is>
          <t>Finance Costs</t>
        </is>
      </c>
      <c r="C213" s="17" t="inlineStr">
        <is>
          <t>Interest expense</t>
        </is>
      </c>
      <c r="D213" s="17" t="inlineStr">
        <is>
          <t>FIN_INT</t>
        </is>
      </c>
      <c r="E213" s="121" t="n">
        <v>0</v>
      </c>
      <c r="F213" s="121" t="n">
        <v>0</v>
      </c>
      <c r="G213" s="59" t="str"/>
    </row>
    <row r="214">
      <c r="A214" s="17" t="inlineStr">
        <is>
          <t>27</t>
        </is>
      </c>
      <c r="B214" s="17" t="inlineStr">
        <is>
          <t>Finance Costs</t>
        </is>
      </c>
      <c r="C214" s="17" t="inlineStr">
        <is>
          <t>Other borrowing costs</t>
        </is>
      </c>
      <c r="D214" s="17" t="inlineStr">
        <is>
          <t>FIN_OTHER</t>
        </is>
      </c>
      <c r="E214" s="121" t="n">
        <v>0</v>
      </c>
      <c r="F214" s="121" t="n">
        <v>0</v>
      </c>
      <c r="G214" s="59" t="str"/>
    </row>
    <row r="215">
      <c r="A215" s="17" t="inlineStr">
        <is>
          <t>27</t>
        </is>
      </c>
      <c r="B215" s="17" t="inlineStr">
        <is>
          <t>Finance Costs</t>
        </is>
      </c>
      <c r="C215" s="17" t="inlineStr">
        <is>
          <t>Exchange differences regarded as finance costs</t>
        </is>
      </c>
      <c r="D215" s="17" t="inlineStr">
        <is>
          <t>FIN_FX</t>
        </is>
      </c>
      <c r="E215" s="121" t="n">
        <v>0</v>
      </c>
      <c r="F215" s="121" t="n">
        <v>0</v>
      </c>
      <c r="G215" s="59" t="str"/>
    </row>
    <row r="216">
      <c r="A216" s="65" t="inlineStr">
        <is>
          <t>27</t>
        </is>
      </c>
      <c r="B216" s="65" t="inlineStr">
        <is>
          <t>Finance Costs</t>
        </is>
      </c>
      <c r="C216" s="65" t="inlineStr">
        <is>
          <t>Total — Finance Costs</t>
        </is>
      </c>
      <c r="D216" s="65" t="inlineStr">
        <is>
          <t>__TOTAL__</t>
        </is>
      </c>
      <c r="E216" s="122">
        <f>SUM(E213:E215)</f>
        <v/>
      </c>
      <c r="F216" s="122">
        <f>SUM(F213:F215)</f>
        <v/>
      </c>
      <c r="G216" s="65" t="str"/>
    </row>
    <row r="217">
      <c r="A217" s="17" t="inlineStr">
        <is>
          <t>28</t>
        </is>
      </c>
      <c r="B217" s="17" t="inlineStr">
        <is>
          <t>Depreciation and Amortisation</t>
        </is>
      </c>
      <c r="C217" s="17" t="inlineStr">
        <is>
          <t>Depreciation</t>
        </is>
      </c>
      <c r="D217" s="17" t="inlineStr">
        <is>
          <t>DEP</t>
        </is>
      </c>
      <c r="E217" s="121" t="n">
        <v>0</v>
      </c>
      <c r="F217" s="121" t="n">
        <v>0</v>
      </c>
      <c r="G217" s="59" t="str"/>
    </row>
    <row r="218">
      <c r="A218" s="17" t="inlineStr">
        <is>
          <t>28</t>
        </is>
      </c>
      <c r="B218" s="17" t="inlineStr">
        <is>
          <t>Depreciation and Amortisation</t>
        </is>
      </c>
      <c r="C218" s="17" t="inlineStr">
        <is>
          <t>Amortisation</t>
        </is>
      </c>
      <c r="D218" s="17" t="inlineStr">
        <is>
          <t>AMORT</t>
        </is>
      </c>
      <c r="E218" s="121" t="n">
        <v>0</v>
      </c>
      <c r="F218" s="121" t="n">
        <v>0</v>
      </c>
      <c r="G218" s="59" t="str"/>
    </row>
    <row r="219">
      <c r="A219" s="65" t="inlineStr">
        <is>
          <t>28</t>
        </is>
      </c>
      <c r="B219" s="65" t="inlineStr">
        <is>
          <t>Depreciation and Amortisation</t>
        </is>
      </c>
      <c r="C219" s="65" t="inlineStr">
        <is>
          <t>Total — Depreciation and Amortisation</t>
        </is>
      </c>
      <c r="D219" s="65" t="inlineStr">
        <is>
          <t>__TOTAL__</t>
        </is>
      </c>
      <c r="E219" s="122">
        <f>SUM(E217:E218)</f>
        <v/>
      </c>
      <c r="F219" s="122">
        <f>SUM(F217:F218)</f>
        <v/>
      </c>
      <c r="G219" s="65" t="str"/>
    </row>
    <row r="220">
      <c r="A220" s="17" t="inlineStr">
        <is>
          <t>29</t>
        </is>
      </c>
      <c r="B220" s="17" t="inlineStr">
        <is>
          <t>Other Expenses</t>
        </is>
      </c>
      <c r="C220" s="17" t="inlineStr">
        <is>
          <t>Power and fuel</t>
        </is>
      </c>
      <c r="D220" s="17" t="inlineStr">
        <is>
          <t>OE_POWER</t>
        </is>
      </c>
      <c r="E220" s="121" t="n">
        <v>0</v>
      </c>
      <c r="F220" s="121" t="n">
        <v>0</v>
      </c>
      <c r="G220" s="59" t="str"/>
    </row>
    <row r="221">
      <c r="A221" s="17" t="inlineStr">
        <is>
          <t>29</t>
        </is>
      </c>
      <c r="B221" s="17" t="inlineStr">
        <is>
          <t>Other Expenses</t>
        </is>
      </c>
      <c r="C221" s="17" t="inlineStr">
        <is>
          <t>Rent</t>
        </is>
      </c>
      <c r="D221" s="17" t="inlineStr">
        <is>
          <t>OE_RENT</t>
        </is>
      </c>
      <c r="E221" s="121" t="n">
        <v>0</v>
      </c>
      <c r="F221" s="121" t="n">
        <v>0</v>
      </c>
      <c r="G221" s="59" t="str"/>
    </row>
    <row r="222">
      <c r="A222" s="17" t="inlineStr">
        <is>
          <t>29</t>
        </is>
      </c>
      <c r="B222" s="17" t="inlineStr">
        <is>
          <t>Other Expenses</t>
        </is>
      </c>
      <c r="C222" s="17" t="inlineStr">
        <is>
          <t>Repairs and maintenance</t>
        </is>
      </c>
      <c r="D222" s="17" t="inlineStr">
        <is>
          <t>OE_REPAIR</t>
        </is>
      </c>
      <c r="E222" s="121" t="n">
        <v>0</v>
      </c>
      <c r="F222" s="121" t="n">
        <v>0</v>
      </c>
      <c r="G222" s="59" t="str"/>
    </row>
    <row r="223">
      <c r="A223" s="17" t="inlineStr">
        <is>
          <t>29</t>
        </is>
      </c>
      <c r="B223" s="17" t="inlineStr">
        <is>
          <t>Other Expenses</t>
        </is>
      </c>
      <c r="C223" s="17" t="inlineStr">
        <is>
          <t>Insurance</t>
        </is>
      </c>
      <c r="D223" s="17" t="inlineStr">
        <is>
          <t>OE_INS</t>
        </is>
      </c>
      <c r="E223" s="121" t="n">
        <v>0</v>
      </c>
      <c r="F223" s="121" t="n">
        <v>0</v>
      </c>
      <c r="G223" s="59" t="str"/>
    </row>
    <row r="224">
      <c r="A224" s="17" t="inlineStr">
        <is>
          <t>29</t>
        </is>
      </c>
      <c r="B224" s="17" t="inlineStr">
        <is>
          <t>Other Expenses</t>
        </is>
      </c>
      <c r="C224" s="17" t="inlineStr">
        <is>
          <t>Rates and taxes</t>
        </is>
      </c>
      <c r="D224" s="17" t="inlineStr">
        <is>
          <t>OE_RATES</t>
        </is>
      </c>
      <c r="E224" s="121" t="n">
        <v>0</v>
      </c>
      <c r="F224" s="121" t="n">
        <v>0</v>
      </c>
      <c r="G224" s="59" t="str"/>
    </row>
    <row r="225">
      <c r="A225" s="17" t="inlineStr">
        <is>
          <t>29</t>
        </is>
      </c>
      <c r="B225" s="17" t="inlineStr">
        <is>
          <t>Other Expenses</t>
        </is>
      </c>
      <c r="C225" s="17" t="inlineStr">
        <is>
          <t>Professional / legal</t>
        </is>
      </c>
      <c r="D225" s="17" t="inlineStr">
        <is>
          <t>OE_PROF</t>
        </is>
      </c>
      <c r="E225" s="121" t="n">
        <v>0</v>
      </c>
      <c r="F225" s="121" t="n">
        <v>0</v>
      </c>
      <c r="G225" s="59" t="str"/>
    </row>
    <row r="226">
      <c r="A226" s="17" t="inlineStr">
        <is>
          <t>29</t>
        </is>
      </c>
      <c r="B226" s="17" t="inlineStr">
        <is>
          <t>Other Expenses</t>
        </is>
      </c>
      <c r="C226" s="17" t="inlineStr">
        <is>
          <t>Auditor remuneration</t>
        </is>
      </c>
      <c r="D226" s="17" t="inlineStr">
        <is>
          <t>OE_AUD</t>
        </is>
      </c>
      <c r="E226" s="121" t="n">
        <v>0</v>
      </c>
      <c r="F226" s="121" t="n">
        <v>0</v>
      </c>
      <c r="G226" s="59" t="str"/>
    </row>
    <row r="227">
      <c r="A227" s="17" t="inlineStr">
        <is>
          <t>29</t>
        </is>
      </c>
      <c r="B227" s="17" t="inlineStr">
        <is>
          <t>Other Expenses</t>
        </is>
      </c>
      <c r="C227" s="17" t="inlineStr">
        <is>
          <t>Selling / distribution</t>
        </is>
      </c>
      <c r="D227" s="17" t="inlineStr">
        <is>
          <t>OE_SELL</t>
        </is>
      </c>
      <c r="E227" s="121" t="n">
        <v>0</v>
      </c>
      <c r="F227" s="121" t="n">
        <v>0</v>
      </c>
      <c r="G227" s="59" t="str"/>
    </row>
    <row r="228">
      <c r="A228" s="17" t="inlineStr">
        <is>
          <t>29</t>
        </is>
      </c>
      <c r="B228" s="17" t="inlineStr">
        <is>
          <t>Other Expenses</t>
        </is>
      </c>
      <c r="C228" s="17" t="inlineStr">
        <is>
          <t>Administrative expenses</t>
        </is>
      </c>
      <c r="D228" s="17" t="inlineStr">
        <is>
          <t>OE_ADMIN</t>
        </is>
      </c>
      <c r="E228" s="121" t="n">
        <v>0</v>
      </c>
      <c r="F228" s="121" t="n">
        <v>0</v>
      </c>
      <c r="G228" s="59" t="str"/>
    </row>
    <row r="229">
      <c r="A229" s="17" t="inlineStr">
        <is>
          <t>29</t>
        </is>
      </c>
      <c r="B229" s="17" t="inlineStr">
        <is>
          <t>Other Expenses</t>
        </is>
      </c>
      <c r="C229" s="17" t="inlineStr">
        <is>
          <t>Other expenses</t>
        </is>
      </c>
      <c r="D229" s="17" t="inlineStr">
        <is>
          <t>OE_OTHER</t>
        </is>
      </c>
      <c r="E229" s="121" t="n">
        <v>0</v>
      </c>
      <c r="F229" s="121" t="n">
        <v>0</v>
      </c>
      <c r="G229" s="59" t="str"/>
    </row>
    <row r="230">
      <c r="A230" s="65" t="inlineStr">
        <is>
          <t>29</t>
        </is>
      </c>
      <c r="B230" s="65" t="inlineStr">
        <is>
          <t>Other Expenses</t>
        </is>
      </c>
      <c r="C230" s="65" t="inlineStr">
        <is>
          <t>Total — Other Expenses</t>
        </is>
      </c>
      <c r="D230" s="65" t="inlineStr">
        <is>
          <t>__TOTAL__</t>
        </is>
      </c>
      <c r="E230" s="122">
        <f>SUM(E220:E229)</f>
        <v/>
      </c>
      <c r="F230" s="122">
        <f>SUM(F220:F229)</f>
        <v/>
      </c>
      <c r="G230" s="65" t="str"/>
    </row>
    <row r="231">
      <c r="A231" s="17" t="inlineStr">
        <is>
          <t>30</t>
        </is>
      </c>
      <c r="B231" s="17" t="inlineStr">
        <is>
          <t>Additional Regulatory Information</t>
        </is>
      </c>
      <c r="C231" s="17" t="inlineStr">
        <is>
          <t>Title deeds not held in name of company</t>
        </is>
      </c>
      <c r="D231" s="17" t="inlineStr">
        <is>
          <t>REG_TITLE</t>
        </is>
      </c>
      <c r="E231" s="121" t="n">
        <v>0</v>
      </c>
      <c r="F231" s="121" t="n">
        <v>0</v>
      </c>
      <c r="G231" s="59" t="str"/>
    </row>
    <row r="232">
      <c r="A232" s="17" t="inlineStr">
        <is>
          <t>30</t>
        </is>
      </c>
      <c r="B232" s="17" t="inlineStr">
        <is>
          <t>Additional Regulatory Information</t>
        </is>
      </c>
      <c r="C232" s="17" t="inlineStr">
        <is>
          <t>CWIP ageing / completion schedule</t>
        </is>
      </c>
      <c r="D232" s="17" t="inlineStr">
        <is>
          <t>REG_CWIP</t>
        </is>
      </c>
      <c r="E232" s="121" t="n">
        <v>0</v>
      </c>
      <c r="F232" s="121" t="n">
        <v>0</v>
      </c>
      <c r="G232" s="59" t="str"/>
    </row>
    <row r="233">
      <c r="A233" s="17" t="inlineStr">
        <is>
          <t>30</t>
        </is>
      </c>
      <c r="B233" s="17" t="inlineStr">
        <is>
          <t>Additional Regulatory Information</t>
        </is>
      </c>
      <c r="C233" s="17" t="inlineStr">
        <is>
          <t>Intangible assets under development ageing</t>
        </is>
      </c>
      <c r="D233" s="17" t="inlineStr">
        <is>
          <t>REG_IAUD</t>
        </is>
      </c>
      <c r="E233" s="121" t="n">
        <v>0</v>
      </c>
      <c r="F233" s="121" t="n">
        <v>0</v>
      </c>
      <c r="G233" s="59" t="str"/>
    </row>
    <row r="234">
      <c r="A234" s="17" t="inlineStr">
        <is>
          <t>30</t>
        </is>
      </c>
      <c r="B234" s="17" t="inlineStr">
        <is>
          <t>Additional Regulatory Information</t>
        </is>
      </c>
      <c r="C234" s="17" t="inlineStr">
        <is>
          <t>Benami property proceedings</t>
        </is>
      </c>
      <c r="D234" s="17" t="inlineStr">
        <is>
          <t>REG_BENAMI</t>
        </is>
      </c>
      <c r="E234" s="121" t="n">
        <v>0</v>
      </c>
      <c r="F234" s="121" t="n">
        <v>0</v>
      </c>
      <c r="G234" s="59" t="str"/>
    </row>
    <row r="235">
      <c r="A235" s="17" t="inlineStr">
        <is>
          <t>30</t>
        </is>
      </c>
      <c r="B235" s="17" t="inlineStr">
        <is>
          <t>Additional Regulatory Information</t>
        </is>
      </c>
      <c r="C235" s="17" t="inlineStr">
        <is>
          <t>Borrowings secured against current assets</t>
        </is>
      </c>
      <c r="D235" s="17" t="inlineStr">
        <is>
          <t>REG_CA_BORR</t>
        </is>
      </c>
      <c r="E235" s="121" t="n">
        <v>0</v>
      </c>
      <c r="F235" s="121" t="n">
        <v>0</v>
      </c>
      <c r="G235" s="59" t="str"/>
    </row>
    <row r="236">
      <c r="A236" s="17" t="inlineStr">
        <is>
          <t>30</t>
        </is>
      </c>
      <c r="B236" s="17" t="inlineStr">
        <is>
          <t>Additional Regulatory Information</t>
        </is>
      </c>
      <c r="C236" s="17" t="inlineStr">
        <is>
          <t>Wilful defaulter disclosure</t>
        </is>
      </c>
      <c r="D236" s="17" t="inlineStr">
        <is>
          <t>REG_WD</t>
        </is>
      </c>
      <c r="E236" s="121" t="n">
        <v>0</v>
      </c>
      <c r="F236" s="121" t="n">
        <v>0</v>
      </c>
      <c r="G236" s="59" t="str"/>
    </row>
    <row r="237">
      <c r="A237" s="17" t="inlineStr">
        <is>
          <t>30</t>
        </is>
      </c>
      <c r="B237" s="17" t="inlineStr">
        <is>
          <t>Additional Regulatory Information</t>
        </is>
      </c>
      <c r="C237" s="17" t="inlineStr">
        <is>
          <t>Relationship with struck-off companies</t>
        </is>
      </c>
      <c r="D237" s="17" t="inlineStr">
        <is>
          <t>REG_STRUCK</t>
        </is>
      </c>
      <c r="E237" s="121" t="n">
        <v>0</v>
      </c>
      <c r="F237" s="121" t="n">
        <v>0</v>
      </c>
      <c r="G237" s="59" t="str"/>
    </row>
    <row r="238">
      <c r="A238" s="17" t="inlineStr">
        <is>
          <t>30</t>
        </is>
      </c>
      <c r="B238" s="17" t="inlineStr">
        <is>
          <t>Additional Regulatory Information</t>
        </is>
      </c>
      <c r="C238" s="17" t="inlineStr">
        <is>
          <t>Ratios</t>
        </is>
      </c>
      <c r="D238" s="17" t="inlineStr">
        <is>
          <t>REG_RATIOS</t>
        </is>
      </c>
      <c r="E238" s="121" t="n">
        <v>0</v>
      </c>
      <c r="F238" s="121" t="n">
        <v>0</v>
      </c>
      <c r="G238" s="59" t="str"/>
    </row>
    <row r="239">
      <c r="A239" s="17" t="inlineStr">
        <is>
          <t>30</t>
        </is>
      </c>
      <c r="B239" s="17" t="inlineStr">
        <is>
          <t>Additional Regulatory Information</t>
        </is>
      </c>
      <c r="C239" s="17" t="inlineStr">
        <is>
          <t>Undisclosed income</t>
        </is>
      </c>
      <c r="D239" s="17" t="inlineStr">
        <is>
          <t>REG_UNDISC</t>
        </is>
      </c>
      <c r="E239" s="121" t="n">
        <v>0</v>
      </c>
      <c r="F239" s="121" t="n">
        <v>0</v>
      </c>
      <c r="G239" s="59" t="str"/>
    </row>
    <row r="240">
      <c r="A240" s="17" t="inlineStr">
        <is>
          <t>30</t>
        </is>
      </c>
      <c r="B240" s="17" t="inlineStr">
        <is>
          <t>Additional Regulatory Information</t>
        </is>
      </c>
      <c r="C240" s="17" t="inlineStr">
        <is>
          <t>Crypto / virtual currency</t>
        </is>
      </c>
      <c r="D240" s="17" t="inlineStr">
        <is>
          <t>REG_CRYPTO</t>
        </is>
      </c>
      <c r="E240" s="121" t="n">
        <v>0</v>
      </c>
      <c r="F240" s="121" t="n">
        <v>0</v>
      </c>
      <c r="G240" s="59" t="str"/>
    </row>
    <row r="241">
      <c r="A241" s="65" t="inlineStr">
        <is>
          <t>30</t>
        </is>
      </c>
      <c r="B241" s="65" t="inlineStr">
        <is>
          <t>Additional Regulatory Information</t>
        </is>
      </c>
      <c r="C241" s="65" t="inlineStr">
        <is>
          <t>Total — Additional Regulatory Information</t>
        </is>
      </c>
      <c r="D241" s="65" t="inlineStr">
        <is>
          <t>__TOTAL__</t>
        </is>
      </c>
      <c r="E241" s="122">
        <f>SUM(E231:E240)</f>
        <v/>
      </c>
      <c r="F241" s="122">
        <f>SUM(F231:F240)</f>
        <v/>
      </c>
      <c r="G241" s="65" t="str"/>
    </row>
    <row r="242">
      <c r="A242" s="17" t="inlineStr">
        <is>
          <t>31</t>
        </is>
      </c>
      <c r="B242" s="17" t="inlineStr">
        <is>
          <t>RBI NBFC Regulatory Disclosures</t>
        </is>
      </c>
      <c r="C242" s="17" t="inlineStr">
        <is>
          <t>Capital adequacy / CRAR</t>
        </is>
      </c>
      <c r="D242" s="17" t="inlineStr">
        <is>
          <t>RBI_CRAR</t>
        </is>
      </c>
      <c r="E242" s="121" t="n">
        <v>0</v>
      </c>
      <c r="F242" s="121" t="n">
        <v>0</v>
      </c>
      <c r="G242" s="59" t="str"/>
    </row>
    <row r="243">
      <c r="A243" s="17" t="inlineStr">
        <is>
          <t>31</t>
        </is>
      </c>
      <c r="B243" s="17" t="inlineStr">
        <is>
          <t>RBI NBFC Regulatory Disclosures</t>
        </is>
      </c>
      <c r="C243" s="17" t="inlineStr">
        <is>
          <t>NPA / asset classification</t>
        </is>
      </c>
      <c r="D243" s="17" t="inlineStr">
        <is>
          <t>RBI_NPA</t>
        </is>
      </c>
      <c r="E243" s="121" t="n">
        <v>0</v>
      </c>
      <c r="F243" s="121" t="n">
        <v>0</v>
      </c>
      <c r="G243" s="59" t="str"/>
    </row>
    <row r="244">
      <c r="A244" s="17" t="inlineStr">
        <is>
          <t>31</t>
        </is>
      </c>
      <c r="B244" s="17" t="inlineStr">
        <is>
          <t>RBI NBFC Regulatory Disclosures</t>
        </is>
      </c>
      <c r="C244" s="17" t="inlineStr">
        <is>
          <t>Provisioning</t>
        </is>
      </c>
      <c r="D244" s="17" t="inlineStr">
        <is>
          <t>RBI_PROV</t>
        </is>
      </c>
      <c r="E244" s="121" t="n">
        <v>0</v>
      </c>
      <c r="F244" s="121" t="n">
        <v>0</v>
      </c>
      <c r="G244" s="59" t="str"/>
    </row>
    <row r="245">
      <c r="A245" s="17" t="inlineStr">
        <is>
          <t>31</t>
        </is>
      </c>
      <c r="B245" s="17" t="inlineStr">
        <is>
          <t>RBI NBFC Regulatory Disclosures</t>
        </is>
      </c>
      <c r="C245" s="17" t="inlineStr">
        <is>
          <t>Exposure concentration</t>
        </is>
      </c>
      <c r="D245" s="17" t="inlineStr">
        <is>
          <t>RBI_EXPOS</t>
        </is>
      </c>
      <c r="E245" s="121" t="n">
        <v>0</v>
      </c>
      <c r="F245" s="121" t="n">
        <v>0</v>
      </c>
      <c r="G245" s="59" t="str"/>
    </row>
    <row r="246">
      <c r="A246" s="17" t="inlineStr">
        <is>
          <t>31</t>
        </is>
      </c>
      <c r="B246" s="17" t="inlineStr">
        <is>
          <t>RBI NBFC Regulatory Disclosures</t>
        </is>
      </c>
      <c r="C246" s="17" t="inlineStr">
        <is>
          <t>Liquidity / ALM</t>
        </is>
      </c>
      <c r="D246" s="17" t="inlineStr">
        <is>
          <t>RBI_ALM</t>
        </is>
      </c>
      <c r="E246" s="121" t="n">
        <v>0</v>
      </c>
      <c r="F246" s="121" t="n">
        <v>0</v>
      </c>
      <c r="G246" s="59" t="str"/>
    </row>
    <row r="247">
      <c r="A247" s="17" t="inlineStr">
        <is>
          <t>31</t>
        </is>
      </c>
      <c r="B247" s="17" t="inlineStr">
        <is>
          <t>RBI NBFC Regulatory Disclosures</t>
        </is>
      </c>
      <c r="C247" s="17" t="inlineStr">
        <is>
          <t>Public deposits</t>
        </is>
      </c>
      <c r="D247" s="17" t="inlineStr">
        <is>
          <t>RBI_DEP</t>
        </is>
      </c>
      <c r="E247" s="121" t="n">
        <v>0</v>
      </c>
      <c r="F247" s="121" t="n">
        <v>0</v>
      </c>
      <c r="G247" s="59" t="str"/>
    </row>
    <row r="248">
      <c r="A248" s="65" t="inlineStr">
        <is>
          <t>31</t>
        </is>
      </c>
      <c r="B248" s="65" t="inlineStr">
        <is>
          <t>RBI NBFC Regulatory Disclosures</t>
        </is>
      </c>
      <c r="C248" s="65" t="inlineStr">
        <is>
          <t>Total — RBI NBFC Regulatory Disclosures</t>
        </is>
      </c>
      <c r="D248" s="65" t="inlineStr">
        <is>
          <t>__TOTAL__</t>
        </is>
      </c>
      <c r="E248" s="122">
        <f>SUM(E242:E247)</f>
        <v/>
      </c>
      <c r="F248" s="122">
        <f>SUM(F242:F247)</f>
        <v/>
      </c>
      <c r="G248" s="65" t="str"/>
    </row>
    <row r="249">
      <c r="A249" s="17" t="n"/>
      <c r="B249" s="17" t="n"/>
      <c r="C249" s="17" t="n"/>
      <c r="D249" s="17" t="n"/>
      <c r="E249" s="17" t="n"/>
      <c r="F249" s="17" t="n"/>
      <c r="G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</row>
    <row r="251" ht="26" customHeight="1" s="82">
      <c r="A251" s="79" t="inlineStr">
        <is>
          <t>Validation</t>
        </is>
      </c>
      <c r="B251" s="1" t="n"/>
      <c r="C251" s="1" t="n"/>
      <c r="D251" s="1" t="n"/>
      <c r="E251" s="17" t="n"/>
      <c r="F251" s="17" t="n"/>
      <c r="G251" s="17" t="n"/>
    </row>
    <row r="252">
      <c r="A252" s="14" t="inlineStr">
        <is>
          <t>Check</t>
        </is>
      </c>
      <c r="B252" s="14" t="inlineStr">
        <is>
          <t>Current Period</t>
        </is>
      </c>
      <c r="C252" s="14" t="inlineStr">
        <is>
          <t>Previous Period</t>
        </is>
      </c>
      <c r="D252" s="14" t="inlineStr">
        <is>
          <t>Result</t>
        </is>
      </c>
      <c r="E252" s="17" t="n"/>
      <c r="F252" s="17" t="n"/>
      <c r="G252" s="17" t="n"/>
    </row>
    <row r="253">
      <c r="A253" s="17" t="inlineStr">
        <is>
          <t>Balance Sheet difference</t>
        </is>
      </c>
      <c r="B253" s="17">
        <f>C39-C24</f>
        <v/>
      </c>
      <c r="C253" s="17">
        <f>D39-D24</f>
        <v/>
      </c>
      <c r="D253" s="17">
        <f>IF(AND(ABS(B253)&lt;1,ABS(C253)&lt;1),"PASS","CHECK")</f>
        <v/>
      </c>
      <c r="E253" s="17" t="n"/>
      <c r="F253" s="17" t="n"/>
      <c r="G253" s="17" t="n"/>
    </row>
    <row r="254">
      <c r="A254" s="17" t="inlineStr">
        <is>
          <t>Notes / disclosures</t>
        </is>
      </c>
      <c r="B254" s="17" t="inlineStr">
        <is>
          <t>Review</t>
        </is>
      </c>
      <c r="C254" s="17" t="inlineStr">
        <is>
          <t>Review</t>
        </is>
      </c>
      <c r="D254" s="17" t="inlineStr">
        <is>
          <t>Review</t>
        </is>
      </c>
      <c r="E254" s="17" t="n"/>
      <c r="F254" s="17" t="n"/>
      <c r="G254" s="17" t="n"/>
    </row>
    <row r="255">
      <c r="A255" s="17" t="inlineStr">
        <is>
          <t>Profile readiness</t>
        </is>
      </c>
      <c r="B255" s="17" t="str"/>
      <c r="C255" s="17" t="str"/>
      <c r="D255" s="17">
        <f>IF(D253="PASS","READY FOR REVIEW","NOT READY")</f>
        <v/>
      </c>
      <c r="E255" s="17" t="n"/>
      <c r="F255" s="17" t="n"/>
      <c r="G255" s="17" t="n"/>
    </row>
    <row r="256"/>
    <row r="257"/>
    <row r="258"/>
    <row r="259">
      <c r="A259" s="101" t="inlineStr">
        <is>
          <t>Signatures / Certification</t>
        </is>
      </c>
      <c r="B259" s="101" t="str"/>
      <c r="C259" s="101" t="str"/>
      <c r="D259" s="101" t="str"/>
      <c r="E259" s="101" t="str"/>
      <c r="F259" s="101" t="str"/>
    </row>
    <row r="260">
      <c r="A260" s="112" t="inlineStr">
        <is>
          <t>Entity Signatory</t>
        </is>
      </c>
      <c r="B260" s="104">
        <f>'AAH Basic Info'!B13</f>
        <v/>
      </c>
      <c r="C260" s="115" t="inlineStr">
        <is>
          <t>Designation</t>
        </is>
      </c>
      <c r="D260" s="104">
        <f>'AAH Basic Info'!B14</f>
        <v/>
      </c>
      <c r="E260" s="115" t="inlineStr">
        <is>
          <t>DIN</t>
        </is>
      </c>
      <c r="F260" s="105">
        <f>'AAH Basic Info'!B15</f>
        <v/>
      </c>
    </row>
    <row r="261">
      <c r="A261" s="113" t="inlineStr">
        <is>
          <t>Signing Date</t>
        </is>
      </c>
      <c r="B261" s="107">
        <f>'AAH Basic Info'!B16</f>
        <v/>
      </c>
      <c r="C261" s="116" t="inlineStr">
        <is>
          <t>Place</t>
        </is>
      </c>
      <c r="D261" s="107">
        <f>'AAH Basic Info'!B17</f>
        <v/>
      </c>
      <c r="E261" s="116" t="str"/>
      <c r="F261" s="108" t="str"/>
    </row>
    <row r="262">
      <c r="A262" s="113" t="inlineStr">
        <is>
          <t>Audit Firm</t>
        </is>
      </c>
      <c r="B262" s="107">
        <f>'AAH Basic Info'!B18</f>
        <v/>
      </c>
      <c r="C262" s="116" t="inlineStr">
        <is>
          <t>FRN</t>
        </is>
      </c>
      <c r="D262" s="107">
        <f>'AAH Basic Info'!B19</f>
        <v/>
      </c>
      <c r="E262" s="116" t="str"/>
      <c r="F262" s="108" t="str"/>
    </row>
    <row r="263">
      <c r="A263" s="113" t="inlineStr">
        <is>
          <t>Signing CA</t>
        </is>
      </c>
      <c r="B263" s="107">
        <f>'AAH Basic Info'!B20</f>
        <v/>
      </c>
      <c r="C263" s="116" t="inlineStr">
        <is>
          <t>Designation</t>
        </is>
      </c>
      <c r="D263" s="107">
        <f>'AAH Basic Info'!B21</f>
        <v/>
      </c>
      <c r="E263" s="116" t="inlineStr">
        <is>
          <t>Membership No.</t>
        </is>
      </c>
      <c r="F263" s="108">
        <f>'AAH Basic Info'!B22</f>
        <v/>
      </c>
    </row>
    <row r="264">
      <c r="A264" s="114" t="inlineStr">
        <is>
          <t>Audit Place</t>
        </is>
      </c>
      <c r="B264" s="110">
        <f>'AAH Basic Info'!B23</f>
        <v/>
      </c>
      <c r="C264" s="117" t="inlineStr">
        <is>
          <t>Signing Date</t>
        </is>
      </c>
      <c r="D264" s="110">
        <f>'AAH Basic Info'!B30</f>
        <v/>
      </c>
      <c r="E264" s="117" t="str"/>
      <c r="F264" s="111" t="str"/>
    </row>
  </sheetData>
  <mergeCells count="6">
    <mergeCell ref="A1:G1"/>
    <mergeCell ref="A6:D6"/>
    <mergeCell ref="A67:G67"/>
    <mergeCell ref="A2:G2"/>
    <mergeCell ref="A251:D251"/>
    <mergeCell ref="A42:D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NBFC — Ind AS — Schedule III Division III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MCA + RBI | Official source: https://www.mca.gov.in/Ministry/pdf/NotificationScheduleIII_12102018.pdf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ASSETS</t>
        </is>
      </c>
      <c r="B8" s="42" t="str"/>
      <c r="C8" s="118" t="n"/>
      <c r="D8" s="118" t="n"/>
      <c r="E8" s="17" t="n"/>
      <c r="F8" s="17" t="n"/>
      <c r="G8" s="17" t="n"/>
    </row>
    <row r="9">
      <c r="A9" s="61" t="inlineStr">
        <is>
          <t>Financial Assets</t>
        </is>
      </c>
      <c r="B9" s="61" t="str"/>
      <c r="C9" s="119" t="n"/>
      <c r="D9" s="119" t="n"/>
      <c r="E9" s="17" t="n"/>
      <c r="F9" s="17" t="n"/>
      <c r="G9" s="17" t="n"/>
    </row>
    <row r="10">
      <c r="A10" s="17" t="inlineStr">
        <is>
          <t>Cash and Cash Equivalents</t>
        </is>
      </c>
      <c r="B10" s="17" t="inlineStr">
        <is>
          <t>1</t>
        </is>
      </c>
      <c r="C10" s="120">
        <f>E82</f>
        <v/>
      </c>
      <c r="D10" s="120">
        <f>F82</f>
        <v/>
      </c>
      <c r="E10" s="17" t="n"/>
      <c r="F10" s="17" t="n"/>
      <c r="G10" s="17" t="n"/>
    </row>
    <row r="11">
      <c r="A11" s="17" t="inlineStr">
        <is>
          <t>Bank Balance other than above</t>
        </is>
      </c>
      <c r="B11" s="17" t="inlineStr">
        <is>
          <t>2</t>
        </is>
      </c>
      <c r="C11" s="120">
        <f>E84</f>
        <v/>
      </c>
      <c r="D11" s="120">
        <f>F84</f>
        <v/>
      </c>
      <c r="E11" s="17" t="n"/>
      <c r="F11" s="17" t="n"/>
      <c r="G11" s="17" t="n"/>
    </row>
    <row r="12">
      <c r="A12" s="17" t="inlineStr">
        <is>
          <t>Derivative Financial Instruments</t>
        </is>
      </c>
      <c r="B12" s="17" t="inlineStr">
        <is>
          <t>3</t>
        </is>
      </c>
      <c r="C12" s="120">
        <f>E87</f>
        <v/>
      </c>
      <c r="D12" s="120">
        <f>F87</f>
        <v/>
      </c>
      <c r="E12" s="17" t="n"/>
      <c r="F12" s="17" t="n"/>
      <c r="G12" s="17" t="n"/>
    </row>
    <row r="13">
      <c r="A13" s="17" t="inlineStr">
        <is>
          <t>Receivables</t>
        </is>
      </c>
      <c r="B13" s="17" t="inlineStr">
        <is>
          <t>4</t>
        </is>
      </c>
      <c r="C13" s="120">
        <f>E90</f>
        <v/>
      </c>
      <c r="D13" s="120">
        <f>F90</f>
        <v/>
      </c>
      <c r="E13" s="17" t="n"/>
      <c r="F13" s="17" t="n"/>
      <c r="G13" s="17" t="n"/>
    </row>
    <row r="14">
      <c r="A14" s="17" t="inlineStr">
        <is>
          <t>Loans</t>
        </is>
      </c>
      <c r="B14" s="17" t="inlineStr">
        <is>
          <t>5</t>
        </is>
      </c>
      <c r="C14" s="120">
        <f>E95</f>
        <v/>
      </c>
      <c r="D14" s="120">
        <f>F95</f>
        <v/>
      </c>
      <c r="E14" s="17" t="n"/>
      <c r="F14" s="17" t="n"/>
      <c r="G14" s="17" t="n"/>
    </row>
    <row r="15">
      <c r="A15" s="17" t="inlineStr">
        <is>
          <t>Investments</t>
        </is>
      </c>
      <c r="B15" s="17" t="inlineStr">
        <is>
          <t>6</t>
        </is>
      </c>
      <c r="C15" s="120">
        <f>E100</f>
        <v/>
      </c>
      <c r="D15" s="120">
        <f>F100</f>
        <v/>
      </c>
      <c r="E15" s="17" t="n"/>
      <c r="F15" s="17" t="n"/>
      <c r="G15" s="17" t="n"/>
    </row>
    <row r="16">
      <c r="A16" s="17" t="inlineStr">
        <is>
          <t>Other Financial Assets</t>
        </is>
      </c>
      <c r="B16" s="17" t="inlineStr">
        <is>
          <t>7</t>
        </is>
      </c>
      <c r="C16" s="120">
        <f>E102</f>
        <v/>
      </c>
      <c r="D16" s="120">
        <f>F102</f>
        <v/>
      </c>
      <c r="E16" s="17" t="n"/>
      <c r="F16" s="17" t="n"/>
      <c r="G16" s="17" t="n"/>
    </row>
    <row r="17">
      <c r="A17" s="61" t="inlineStr">
        <is>
          <t>Non-financial Assets</t>
        </is>
      </c>
      <c r="B17" s="61" t="str"/>
      <c r="C17" s="119" t="n"/>
      <c r="D17" s="119" t="n"/>
      <c r="E17" s="17" t="n"/>
      <c r="F17" s="17" t="n"/>
      <c r="G17" s="17" t="n"/>
    </row>
    <row r="18">
      <c r="A18" s="17" t="inlineStr">
        <is>
          <t>Inventories</t>
        </is>
      </c>
      <c r="B18" s="17" t="inlineStr">
        <is>
          <t>8</t>
        </is>
      </c>
      <c r="C18" s="120">
        <f>E104</f>
        <v/>
      </c>
      <c r="D18" s="120">
        <f>F104</f>
        <v/>
      </c>
      <c r="E18" s="17" t="n"/>
      <c r="F18" s="17" t="n"/>
      <c r="G18" s="17" t="n"/>
    </row>
    <row r="19">
      <c r="A19" s="17" t="inlineStr">
        <is>
          <t>Current Tax Assets (Net)</t>
        </is>
      </c>
      <c r="B19" s="17" t="inlineStr">
        <is>
          <t>9</t>
        </is>
      </c>
      <c r="C19" s="120">
        <f>E105</f>
        <v/>
      </c>
      <c r="D19" s="120">
        <f>F105</f>
        <v/>
      </c>
      <c r="E19" s="17" t="n"/>
      <c r="F19" s="17" t="n"/>
      <c r="G19" s="17" t="n"/>
    </row>
    <row r="20">
      <c r="A20" s="17" t="inlineStr">
        <is>
          <t>Deferred Tax Assets (Net)</t>
        </is>
      </c>
      <c r="B20" s="17" t="inlineStr">
        <is>
          <t>10</t>
        </is>
      </c>
      <c r="C20" s="120">
        <f>E108</f>
        <v/>
      </c>
      <c r="D20" s="120">
        <f>F108</f>
        <v/>
      </c>
      <c r="E20" s="17" t="n"/>
      <c r="F20" s="17" t="n"/>
      <c r="G20" s="17" t="n"/>
    </row>
    <row r="21">
      <c r="A21" s="17" t="inlineStr">
        <is>
          <t>Investment Property</t>
        </is>
      </c>
      <c r="B21" s="17" t="inlineStr">
        <is>
          <t>11</t>
        </is>
      </c>
      <c r="C21" s="120">
        <f>E112</f>
        <v/>
      </c>
      <c r="D21" s="120">
        <f>F112</f>
        <v/>
      </c>
      <c r="E21" s="17" t="n"/>
      <c r="F21" s="17" t="n"/>
      <c r="G21" s="17" t="n"/>
    </row>
    <row r="22">
      <c r="A22" s="17" t="inlineStr">
        <is>
          <t>Biological Assets other than Bearer Plants</t>
        </is>
      </c>
      <c r="B22" s="17" t="inlineStr">
        <is>
          <t>12</t>
        </is>
      </c>
      <c r="C22" s="120">
        <f>E114</f>
        <v/>
      </c>
      <c r="D22" s="120">
        <f>F114</f>
        <v/>
      </c>
      <c r="E22" s="17" t="n"/>
      <c r="F22" s="17" t="n"/>
      <c r="G22" s="17" t="n"/>
    </row>
    <row r="23">
      <c r="A23" s="17" t="inlineStr">
        <is>
          <t>Property, Plant and Equipment</t>
        </is>
      </c>
      <c r="B23" s="17" t="inlineStr">
        <is>
          <t>13</t>
        </is>
      </c>
      <c r="C23" s="120">
        <f>E116</f>
        <v/>
      </c>
      <c r="D23" s="120">
        <f>F116</f>
        <v/>
      </c>
      <c r="E23" s="17" t="n"/>
      <c r="F23" s="17" t="n"/>
      <c r="G23" s="17" t="n"/>
    </row>
    <row r="24">
      <c r="A24" s="17" t="inlineStr">
        <is>
          <t>Capital Work-in-Progress</t>
        </is>
      </c>
      <c r="B24" s="17" t="inlineStr">
        <is>
          <t>14</t>
        </is>
      </c>
      <c r="C24" s="120">
        <f>E118</f>
        <v/>
      </c>
      <c r="D24" s="120">
        <f>F118</f>
        <v/>
      </c>
      <c r="E24" s="17" t="n"/>
      <c r="F24" s="17" t="n"/>
      <c r="G24" s="17" t="n"/>
    </row>
    <row r="25">
      <c r="A25" s="17" t="inlineStr">
        <is>
          <t>Intangible Assets under Development</t>
        </is>
      </c>
      <c r="B25" s="17" t="inlineStr">
        <is>
          <t>15</t>
        </is>
      </c>
      <c r="C25" s="120">
        <f>E120</f>
        <v/>
      </c>
      <c r="D25" s="120">
        <f>F120</f>
        <v/>
      </c>
      <c r="E25" s="17" t="n"/>
      <c r="F25" s="17" t="n"/>
      <c r="G25" s="17" t="n"/>
    </row>
    <row r="26">
      <c r="A26" s="17" t="inlineStr">
        <is>
          <t>Goodwill</t>
        </is>
      </c>
      <c r="B26" s="17" t="inlineStr">
        <is>
          <t>16</t>
        </is>
      </c>
      <c r="C26" s="120">
        <f>E122</f>
        <v/>
      </c>
      <c r="D26" s="120">
        <f>F122</f>
        <v/>
      </c>
      <c r="E26" s="17" t="n"/>
      <c r="F26" s="17" t="n"/>
      <c r="G26" s="17" t="n"/>
    </row>
    <row r="27">
      <c r="A27" s="17" t="inlineStr">
        <is>
          <t>Other Intangible Assets</t>
        </is>
      </c>
      <c r="B27" s="17" t="inlineStr">
        <is>
          <t>17</t>
        </is>
      </c>
      <c r="C27" s="120">
        <f>E124</f>
        <v/>
      </c>
      <c r="D27" s="120">
        <f>F124</f>
        <v/>
      </c>
      <c r="E27" s="17" t="n"/>
      <c r="F27" s="17" t="n"/>
      <c r="G27" s="17" t="n"/>
    </row>
    <row r="28">
      <c r="A28" s="17" t="inlineStr">
        <is>
          <t>Other Non-financial Assets</t>
        </is>
      </c>
      <c r="B28" s="17" t="inlineStr">
        <is>
          <t>18</t>
        </is>
      </c>
      <c r="C28" s="120">
        <f>E126</f>
        <v/>
      </c>
      <c r="D28" s="120">
        <f>F126</f>
        <v/>
      </c>
      <c r="E28" s="17" t="n"/>
      <c r="F28" s="17" t="n"/>
      <c r="G28" s="17" t="n"/>
    </row>
    <row r="29">
      <c r="A29" s="65" t="inlineStr">
        <is>
          <t>TOTAL ASSETS</t>
        </is>
      </c>
      <c r="B29" s="65" t="str"/>
      <c r="C29" s="122">
        <f>SUM(C10,C11,C12,C13,C14,C15,C16,C18,C19,C20,C21,C22,C23,C24,C25,C26,C27,C28)</f>
        <v/>
      </c>
      <c r="D29" s="122">
        <f>SUM(D10,D11,D12,D13,D14,D15,D16,D18,D19,D20,D21,D22,D23,D24,D25,D26,D27,D28)</f>
        <v/>
      </c>
      <c r="E29" s="17" t="n"/>
      <c r="F29" s="17" t="n"/>
      <c r="G29" s="17" t="n"/>
    </row>
    <row r="30">
      <c r="A30" s="42" t="inlineStr">
        <is>
          <t>LIABILITIES AND EQUITY</t>
        </is>
      </c>
      <c r="B30" s="42" t="str"/>
      <c r="C30" s="118" t="n"/>
      <c r="D30" s="118" t="n"/>
      <c r="E30" s="17" t="n"/>
      <c r="F30" s="17" t="n"/>
      <c r="G30" s="17" t="n"/>
    </row>
    <row r="31">
      <c r="A31" s="61" t="inlineStr">
        <is>
          <t>Financial Liabilities</t>
        </is>
      </c>
      <c r="B31" s="61" t="str"/>
      <c r="C31" s="119" t="n"/>
      <c r="D31" s="119" t="n"/>
      <c r="E31" s="17" t="n"/>
      <c r="F31" s="17" t="n"/>
      <c r="G31" s="17" t="n"/>
    </row>
    <row r="32">
      <c r="A32" s="17" t="inlineStr">
        <is>
          <t>Derivative Financial Instruments</t>
        </is>
      </c>
      <c r="B32" s="17" t="inlineStr">
        <is>
          <t>3</t>
        </is>
      </c>
      <c r="C32" s="120">
        <f>E87</f>
        <v/>
      </c>
      <c r="D32" s="120">
        <f>F87</f>
        <v/>
      </c>
      <c r="E32" s="17" t="n"/>
      <c r="F32" s="17" t="n"/>
      <c r="G32" s="17" t="n"/>
    </row>
    <row r="33">
      <c r="A33" s="17" t="inlineStr">
        <is>
          <t>Payables</t>
        </is>
      </c>
      <c r="B33" s="17" t="inlineStr">
        <is>
          <t>19</t>
        </is>
      </c>
      <c r="C33" s="120">
        <f>E129</f>
        <v/>
      </c>
      <c r="D33" s="120">
        <f>F129</f>
        <v/>
      </c>
      <c r="E33" s="17" t="n"/>
      <c r="F33" s="17" t="n"/>
      <c r="G33" s="17" t="n"/>
    </row>
    <row r="34">
      <c r="A34" s="17" t="inlineStr">
        <is>
          <t>Debt Securities</t>
        </is>
      </c>
      <c r="B34" s="17" t="inlineStr">
        <is>
          <t>20</t>
        </is>
      </c>
      <c r="C34" s="120">
        <f>E131</f>
        <v/>
      </c>
      <c r="D34" s="120">
        <f>F131</f>
        <v/>
      </c>
      <c r="E34" s="17" t="n"/>
      <c r="F34" s="17" t="n"/>
      <c r="G34" s="17" t="n"/>
    </row>
    <row r="35">
      <c r="A35" s="17" t="inlineStr">
        <is>
          <t>Borrowings (other than Debt Securities)</t>
        </is>
      </c>
      <c r="B35" s="17" t="inlineStr">
        <is>
          <t>21</t>
        </is>
      </c>
      <c r="C35" s="120">
        <f>E133</f>
        <v/>
      </c>
      <c r="D35" s="120">
        <f>F133</f>
        <v/>
      </c>
      <c r="E35" s="17" t="n"/>
      <c r="F35" s="17" t="n"/>
      <c r="G35" s="17" t="n"/>
    </row>
    <row r="36">
      <c r="A36" s="17" t="inlineStr">
        <is>
          <t>Deposits</t>
        </is>
      </c>
      <c r="B36" s="17" t="inlineStr">
        <is>
          <t>22</t>
        </is>
      </c>
      <c r="C36" s="120">
        <f>E135</f>
        <v/>
      </c>
      <c r="D36" s="120">
        <f>F135</f>
        <v/>
      </c>
      <c r="E36" s="17" t="n"/>
      <c r="F36" s="17" t="n"/>
      <c r="G36" s="17" t="n"/>
    </row>
    <row r="37">
      <c r="A37" s="17" t="inlineStr">
        <is>
          <t>Subordinated Liabilities</t>
        </is>
      </c>
      <c r="B37" s="17" t="inlineStr">
        <is>
          <t>23</t>
        </is>
      </c>
      <c r="C37" s="120">
        <f>E137</f>
        <v/>
      </c>
      <c r="D37" s="120">
        <f>F137</f>
        <v/>
      </c>
      <c r="E37" s="17" t="n"/>
      <c r="F37" s="17" t="n"/>
      <c r="G37" s="17" t="n"/>
    </row>
    <row r="38">
      <c r="A38" s="17" t="inlineStr">
        <is>
          <t>Other Financial Liabilities</t>
        </is>
      </c>
      <c r="B38" s="17" t="inlineStr">
        <is>
          <t>24</t>
        </is>
      </c>
      <c r="C38" s="120">
        <f>E139</f>
        <v/>
      </c>
      <c r="D38" s="120">
        <f>F139</f>
        <v/>
      </c>
      <c r="E38" s="17" t="n"/>
      <c r="F38" s="17" t="n"/>
      <c r="G38" s="17" t="n"/>
    </row>
    <row r="39">
      <c r="A39" s="61" t="inlineStr">
        <is>
          <t>Non-financial Liabilities</t>
        </is>
      </c>
      <c r="B39" s="61" t="str"/>
      <c r="C39" s="119" t="n"/>
      <c r="D39" s="119" t="n"/>
      <c r="E39" s="17" t="n"/>
      <c r="F39" s="17" t="n"/>
      <c r="G39" s="17" t="n"/>
    </row>
    <row r="40">
      <c r="A40" s="17" t="inlineStr">
        <is>
          <t>Current Tax Liabilities (Net)</t>
        </is>
      </c>
      <c r="B40" s="17" t="inlineStr">
        <is>
          <t>9</t>
        </is>
      </c>
      <c r="C40" s="120">
        <f>E106</f>
        <v/>
      </c>
      <c r="D40" s="120">
        <f>F106</f>
        <v/>
      </c>
      <c r="E40" s="17" t="n"/>
      <c r="F40" s="17" t="n"/>
      <c r="G40" s="17" t="n"/>
    </row>
    <row r="41">
      <c r="A41" s="17" t="inlineStr">
        <is>
          <t>Provisions</t>
        </is>
      </c>
      <c r="B41" s="17" t="inlineStr">
        <is>
          <t>25</t>
        </is>
      </c>
      <c r="C41" s="120">
        <f>E141</f>
        <v/>
      </c>
      <c r="D41" s="120">
        <f>F141</f>
        <v/>
      </c>
      <c r="E41" s="17" t="n"/>
      <c r="F41" s="17" t="n"/>
      <c r="G41" s="17" t="n"/>
    </row>
    <row r="42">
      <c r="A42" s="17" t="inlineStr">
        <is>
          <t>Deferred Tax Liabilities (Net)</t>
        </is>
      </c>
      <c r="B42" s="17" t="inlineStr">
        <is>
          <t>10</t>
        </is>
      </c>
      <c r="C42" s="120">
        <f>E109</f>
        <v/>
      </c>
      <c r="D42" s="120">
        <f>F109</f>
        <v/>
      </c>
      <c r="E42" s="17" t="n"/>
      <c r="F42" s="17" t="n"/>
      <c r="G42" s="17" t="n"/>
    </row>
    <row r="43">
      <c r="A43" s="17" t="inlineStr">
        <is>
          <t>Other Non-financial Liabilities</t>
        </is>
      </c>
      <c r="B43" s="17" t="inlineStr">
        <is>
          <t>26</t>
        </is>
      </c>
      <c r="C43" s="120">
        <f>E143</f>
        <v/>
      </c>
      <c r="D43" s="120">
        <f>F143</f>
        <v/>
      </c>
      <c r="E43" s="17" t="n"/>
      <c r="F43" s="17" t="n"/>
      <c r="G43" s="17" t="n"/>
    </row>
    <row r="44">
      <c r="A44" s="61" t="inlineStr">
        <is>
          <t>Equity</t>
        </is>
      </c>
      <c r="B44" s="61" t="str"/>
      <c r="C44" s="119" t="n"/>
      <c r="D44" s="119" t="n"/>
      <c r="E44" s="17" t="n"/>
      <c r="F44" s="17" t="n"/>
      <c r="G44" s="17" t="n"/>
    </row>
    <row r="45">
      <c r="A45" s="17" t="inlineStr">
        <is>
          <t>Equity Share Capital</t>
        </is>
      </c>
      <c r="B45" s="17" t="inlineStr">
        <is>
          <t>27</t>
        </is>
      </c>
      <c r="C45" s="120">
        <f>E145</f>
        <v/>
      </c>
      <c r="D45" s="120">
        <f>F145</f>
        <v/>
      </c>
      <c r="E45" s="17" t="n"/>
      <c r="F45" s="17" t="n"/>
      <c r="G45" s="17" t="n"/>
    </row>
    <row r="46">
      <c r="A46" s="17" t="inlineStr">
        <is>
          <t>Other Equity</t>
        </is>
      </c>
      <c r="B46" s="17" t="inlineStr">
        <is>
          <t>28</t>
        </is>
      </c>
      <c r="C46" s="120">
        <f>E147</f>
        <v/>
      </c>
      <c r="D46" s="120">
        <f>F147</f>
        <v/>
      </c>
      <c r="E46" s="17" t="n"/>
      <c r="F46" s="17" t="n"/>
      <c r="G46" s="17" t="n"/>
    </row>
    <row r="47">
      <c r="A47" s="65" t="inlineStr">
        <is>
          <t>TOTAL LIABILITIES AND EQUITY</t>
        </is>
      </c>
      <c r="B47" s="65" t="str"/>
      <c r="C47" s="122">
        <f>SUM(C32,C33,C34,C35,C36,C37,C38,C40,C41,C42,C43,C45,C46)</f>
        <v/>
      </c>
      <c r="D47" s="122">
        <f>SUM(D32,D33,D34,D35,D36,D37,D38,D40,D41,D42,D43,D45,D46)</f>
        <v/>
      </c>
      <c r="E47" s="17" t="n"/>
      <c r="F47" s="17" t="n"/>
      <c r="G47" s="17" t="n"/>
    </row>
    <row r="48">
      <c r="A48" s="17" t="n"/>
      <c r="B48" s="17" t="n"/>
      <c r="C48" s="120" t="n"/>
      <c r="D48" s="120" t="n"/>
      <c r="E48" s="17" t="n"/>
      <c r="F48" s="17" t="n"/>
      <c r="G48" s="17" t="n"/>
    </row>
    <row r="49">
      <c r="A49" s="17" t="n"/>
      <c r="B49" s="17" t="n"/>
      <c r="C49" s="120" t="n"/>
      <c r="D49" s="120" t="n"/>
      <c r="E49" s="17" t="n"/>
      <c r="F49" s="17" t="n"/>
      <c r="G49" s="17" t="n"/>
    </row>
    <row r="50">
      <c r="A50" s="71" t="inlineStr">
        <is>
          <t>Statement of Profit &amp; Loss / Income &amp; Expenditure / Revenue Account</t>
        </is>
      </c>
      <c r="B50" s="1" t="n"/>
      <c r="C50" s="1" t="n"/>
      <c r="D50" s="1" t="n"/>
      <c r="E50" s="17" t="n"/>
      <c r="F50" s="17" t="n"/>
      <c r="G50" s="17" t="n"/>
    </row>
    <row r="51">
      <c r="A51" s="14" t="inlineStr">
        <is>
          <t>Particulars</t>
        </is>
      </c>
      <c r="B51" s="14" t="inlineStr">
        <is>
          <t>Note No.</t>
        </is>
      </c>
      <c r="C51" s="123" t="inlineStr">
        <is>
          <t>Current Reporting Period</t>
        </is>
      </c>
      <c r="D51" s="123" t="inlineStr">
        <is>
          <t>Previous Reporting Period</t>
        </is>
      </c>
      <c r="E51" s="17" t="n"/>
      <c r="F51" s="17" t="n"/>
      <c r="G51" s="17" t="n"/>
    </row>
    <row r="52">
      <c r="A52" s="42" t="inlineStr">
        <is>
          <t>REVENUE FROM OPERATIONS</t>
        </is>
      </c>
      <c r="B52" s="42" t="str"/>
      <c r="C52" s="118" t="n"/>
      <c r="D52" s="118" t="n"/>
      <c r="E52" s="17" t="n"/>
      <c r="F52" s="17" t="n"/>
      <c r="G52" s="17" t="n"/>
    </row>
    <row r="53">
      <c r="A53" s="17" t="inlineStr">
        <is>
          <t>Interest Income</t>
        </is>
      </c>
      <c r="B53" s="17" t="inlineStr">
        <is>
          <t>29</t>
        </is>
      </c>
      <c r="C53" s="120">
        <f>E149</f>
        <v/>
      </c>
      <c r="D53" s="120">
        <f>F149</f>
        <v/>
      </c>
      <c r="E53" s="17" t="n"/>
      <c r="F53" s="17" t="n"/>
      <c r="G53" s="17" t="n"/>
    </row>
    <row r="54">
      <c r="A54" s="17" t="inlineStr">
        <is>
          <t>Dividend Income</t>
        </is>
      </c>
      <c r="B54" s="17" t="inlineStr">
        <is>
          <t>30</t>
        </is>
      </c>
      <c r="C54" s="120">
        <f>E151</f>
        <v/>
      </c>
      <c r="D54" s="120">
        <f>F151</f>
        <v/>
      </c>
      <c r="E54" s="17" t="n"/>
      <c r="F54" s="17" t="n"/>
      <c r="G54" s="17" t="n"/>
    </row>
    <row r="55">
      <c r="A55" s="17" t="inlineStr">
        <is>
          <t>Rental Income</t>
        </is>
      </c>
      <c r="B55" s="17" t="inlineStr">
        <is>
          <t>31</t>
        </is>
      </c>
      <c r="C55" s="120">
        <f>E153</f>
        <v/>
      </c>
      <c r="D55" s="120">
        <f>F153</f>
        <v/>
      </c>
      <c r="E55" s="17" t="n"/>
      <c r="F55" s="17" t="n"/>
      <c r="G55" s="17" t="n"/>
    </row>
    <row r="56">
      <c r="A56" s="17" t="inlineStr">
        <is>
          <t>Fees and Commission Income</t>
        </is>
      </c>
      <c r="B56" s="17" t="inlineStr">
        <is>
          <t>32</t>
        </is>
      </c>
      <c r="C56" s="120">
        <f>E155</f>
        <v/>
      </c>
      <c r="D56" s="120">
        <f>F155</f>
        <v/>
      </c>
      <c r="E56" s="17" t="n"/>
      <c r="F56" s="17" t="n"/>
      <c r="G56" s="17" t="n"/>
    </row>
    <row r="57">
      <c r="A57" s="17" t="inlineStr">
        <is>
          <t>Net Gain on Fair Value Changes</t>
        </is>
      </c>
      <c r="B57" s="17" t="inlineStr">
        <is>
          <t>33</t>
        </is>
      </c>
      <c r="C57" s="120">
        <f>E157</f>
        <v/>
      </c>
      <c r="D57" s="120">
        <f>F157</f>
        <v/>
      </c>
      <c r="E57" s="17" t="n"/>
      <c r="F57" s="17" t="n"/>
      <c r="G57" s="17" t="n"/>
    </row>
    <row r="58">
      <c r="A58" s="17" t="inlineStr">
        <is>
          <t>Net Gain on Derecognition</t>
        </is>
      </c>
      <c r="B58" s="17" t="inlineStr">
        <is>
          <t>34</t>
        </is>
      </c>
      <c r="C58" s="120">
        <f>E159</f>
        <v/>
      </c>
      <c r="D58" s="120">
        <f>F159</f>
        <v/>
      </c>
      <c r="E58" s="17" t="n"/>
      <c r="F58" s="17" t="n"/>
      <c r="G58" s="17" t="n"/>
    </row>
    <row r="59">
      <c r="A59" s="17" t="inlineStr">
        <is>
          <t>Sale of Products</t>
        </is>
      </c>
      <c r="B59" s="17" t="inlineStr">
        <is>
          <t>35</t>
        </is>
      </c>
      <c r="C59" s="120">
        <f>E161</f>
        <v/>
      </c>
      <c r="D59" s="120">
        <f>F161</f>
        <v/>
      </c>
      <c r="E59" s="17" t="n"/>
      <c r="F59" s="17" t="n"/>
      <c r="G59" s="17" t="n"/>
    </row>
    <row r="60">
      <c r="A60" s="17" t="inlineStr">
        <is>
          <t>Sale of Services</t>
        </is>
      </c>
      <c r="B60" s="17" t="inlineStr">
        <is>
          <t>36</t>
        </is>
      </c>
      <c r="C60" s="120">
        <f>E163</f>
        <v/>
      </c>
      <c r="D60" s="120">
        <f>F163</f>
        <v/>
      </c>
      <c r="E60" s="17" t="n"/>
      <c r="F60" s="17" t="n"/>
      <c r="G60" s="17" t="n"/>
    </row>
    <row r="61">
      <c r="A61" s="17" t="inlineStr">
        <is>
          <t>Other Income</t>
        </is>
      </c>
      <c r="B61" s="17" t="inlineStr">
        <is>
          <t>37</t>
        </is>
      </c>
      <c r="C61" s="120">
        <f>E165</f>
        <v/>
      </c>
      <c r="D61" s="120">
        <f>F165</f>
        <v/>
      </c>
      <c r="E61" s="17" t="n"/>
      <c r="F61" s="17" t="n"/>
      <c r="G61" s="17" t="n"/>
    </row>
    <row r="62">
      <c r="A62" s="65" t="inlineStr">
        <is>
          <t>TOTAL INCOME</t>
        </is>
      </c>
      <c r="B62" s="65" t="str"/>
      <c r="C62" s="122">
        <f>SUM(C53,C54,C55,C56,C57,C58,C59,C60,C61)</f>
        <v/>
      </c>
      <c r="D62" s="122">
        <f>SUM(D53,D54,D55,D56,D57,D58,D59,D60,D61)</f>
        <v/>
      </c>
      <c r="E62" s="17" t="n"/>
      <c r="F62" s="17" t="n"/>
      <c r="G62" s="17" t="n"/>
    </row>
    <row r="63">
      <c r="A63" s="42" t="inlineStr">
        <is>
          <t>EXPENSES</t>
        </is>
      </c>
      <c r="B63" s="42" t="str"/>
      <c r="C63" s="118" t="n"/>
      <c r="D63" s="118" t="n"/>
      <c r="E63" s="17" t="n"/>
      <c r="F63" s="17" t="n"/>
      <c r="G63" s="17" t="n"/>
    </row>
    <row r="64">
      <c r="A64" s="17" t="inlineStr">
        <is>
          <t>Finance Costs</t>
        </is>
      </c>
      <c r="B64" s="17" t="inlineStr">
        <is>
          <t>38</t>
        </is>
      </c>
      <c r="C64" s="120">
        <f>E167</f>
        <v/>
      </c>
      <c r="D64" s="120">
        <f>F167</f>
        <v/>
      </c>
      <c r="E64" s="17" t="n"/>
      <c r="F64" s="17" t="n"/>
      <c r="G64" s="17" t="n"/>
    </row>
    <row r="65">
      <c r="A65" s="17" t="inlineStr">
        <is>
          <t>Fees and Commission Expense</t>
        </is>
      </c>
      <c r="B65" s="17" t="inlineStr">
        <is>
          <t>39</t>
        </is>
      </c>
      <c r="C65" s="120">
        <f>E169</f>
        <v/>
      </c>
      <c r="D65" s="120">
        <f>F169</f>
        <v/>
      </c>
      <c r="E65" s="17" t="n"/>
      <c r="F65" s="17" t="n"/>
      <c r="G65" s="17" t="n"/>
    </row>
    <row r="66">
      <c r="A66" s="17" t="inlineStr">
        <is>
          <t>Impairment on Financial Instruments</t>
        </is>
      </c>
      <c r="B66" s="17" t="inlineStr">
        <is>
          <t>40</t>
        </is>
      </c>
      <c r="C66" s="120">
        <f>E171</f>
        <v/>
      </c>
      <c r="D66" s="120">
        <f>F171</f>
        <v/>
      </c>
      <c r="E66" s="17" t="n"/>
      <c r="F66" s="17" t="n"/>
      <c r="G66" s="17" t="n"/>
    </row>
    <row r="67">
      <c r="A67" s="17" t="inlineStr">
        <is>
          <t>Employee Benefits Expense</t>
        </is>
      </c>
      <c r="B67" s="17" t="inlineStr">
        <is>
          <t>41</t>
        </is>
      </c>
      <c r="C67" s="120">
        <f>E173</f>
        <v/>
      </c>
      <c r="D67" s="120">
        <f>F173</f>
        <v/>
      </c>
      <c r="E67" s="17" t="n"/>
      <c r="F67" s="17" t="n"/>
      <c r="G67" s="17" t="n"/>
    </row>
    <row r="68">
      <c r="A68" s="17" t="inlineStr">
        <is>
          <t>Depreciation / Amortisation / Impairment</t>
        </is>
      </c>
      <c r="B68" s="17" t="inlineStr">
        <is>
          <t>42</t>
        </is>
      </c>
      <c r="C68" s="120">
        <f>E175</f>
        <v/>
      </c>
      <c r="D68" s="120">
        <f>F175</f>
        <v/>
      </c>
      <c r="E68" s="17" t="n"/>
      <c r="F68" s="17" t="n"/>
      <c r="G68" s="17" t="n"/>
    </row>
    <row r="69">
      <c r="A69" s="17" t="inlineStr">
        <is>
          <t>Other Expenses</t>
        </is>
      </c>
      <c r="B69" s="17" t="inlineStr">
        <is>
          <t>43</t>
        </is>
      </c>
      <c r="C69" s="120">
        <f>E177</f>
        <v/>
      </c>
      <c r="D69" s="120">
        <f>F177</f>
        <v/>
      </c>
      <c r="E69" s="17" t="n"/>
      <c r="F69" s="17" t="n"/>
      <c r="G69" s="17" t="n"/>
    </row>
    <row r="70">
      <c r="A70" s="65" t="inlineStr">
        <is>
          <t>TOTAL EXPENSES</t>
        </is>
      </c>
      <c r="B70" s="65" t="str"/>
      <c r="C70" s="122">
        <f>SUM(C64,C65,C66,C67,C68,C69)</f>
        <v/>
      </c>
      <c r="D70" s="122">
        <f>SUM(D64,D65,D66,D67,D68,D69)</f>
        <v/>
      </c>
      <c r="E70" s="17" t="n"/>
      <c r="F70" s="17" t="n"/>
      <c r="G70" s="17" t="n"/>
    </row>
    <row r="71">
      <c r="A71" s="65" t="inlineStr">
        <is>
          <t>Profit Before Tax</t>
        </is>
      </c>
      <c r="B71" s="65" t="str"/>
      <c r="C71" s="122">
        <f>C62-C70</f>
        <v/>
      </c>
      <c r="D71" s="122">
        <f>D62-D70</f>
        <v/>
      </c>
      <c r="E71" s="17" t="n"/>
      <c r="F71" s="17" t="n"/>
      <c r="G71" s="17" t="n"/>
    </row>
    <row r="72">
      <c r="A72" s="17" t="inlineStr">
        <is>
          <t>Current Tax</t>
        </is>
      </c>
      <c r="B72" s="17" t="inlineStr">
        <is>
          <t>—</t>
        </is>
      </c>
      <c r="C72" s="121" t="n"/>
      <c r="D72" s="121" t="n"/>
      <c r="E72" s="17" t="n"/>
      <c r="F72" s="17" t="n"/>
      <c r="G72" s="17" t="n"/>
    </row>
    <row r="73">
      <c r="A73" s="17" t="inlineStr">
        <is>
          <t>Deferred Tax</t>
        </is>
      </c>
      <c r="B73" s="17" t="inlineStr">
        <is>
          <t>—</t>
        </is>
      </c>
      <c r="C73" s="121" t="n"/>
      <c r="D73" s="121" t="n"/>
      <c r="E73" s="17" t="n"/>
      <c r="F73" s="17" t="n"/>
      <c r="G73" s="17" t="n"/>
    </row>
    <row r="74">
      <c r="A74" s="65" t="inlineStr">
        <is>
          <t>Profit for the Period</t>
        </is>
      </c>
      <c r="B74" s="65" t="str"/>
      <c r="C74" s="122">
        <f>C71-SUM(C72,C73)</f>
        <v/>
      </c>
      <c r="D74" s="122">
        <f>D71-SUM(D72,D73)</f>
        <v/>
      </c>
      <c r="E74" s="17" t="n"/>
      <c r="F74" s="17" t="n"/>
      <c r="G74" s="17" t="n"/>
    </row>
    <row r="75">
      <c r="A75" s="17" t="inlineStr">
        <is>
          <t>Other Comprehensive Income</t>
        </is>
      </c>
      <c r="B75" s="17" t="inlineStr">
        <is>
          <t>44</t>
        </is>
      </c>
      <c r="C75" s="120">
        <f>E179</f>
        <v/>
      </c>
      <c r="D75" s="120">
        <f>F179</f>
        <v/>
      </c>
      <c r="E75" s="17" t="n"/>
      <c r="F75" s="17" t="n"/>
      <c r="G75" s="17" t="n"/>
    </row>
    <row r="76">
      <c r="A76" s="65" t="inlineStr">
        <is>
          <t>Total Comprehensive Income</t>
        </is>
      </c>
      <c r="B76" s="65" t="str"/>
      <c r="C76" s="122">
        <f>C74+SUM(C75)</f>
        <v/>
      </c>
      <c r="D76" s="122">
        <f>D74+SUM(D75)</f>
        <v/>
      </c>
      <c r="E76" s="17" t="n"/>
      <c r="F76" s="17" t="n"/>
      <c r="G76" s="17" t="n"/>
    </row>
    <row r="77">
      <c r="A77" s="17" t="n"/>
      <c r="B77" s="17" t="n"/>
      <c r="C77" s="17" t="n"/>
      <c r="D77" s="17" t="n"/>
      <c r="E77" s="17" t="n"/>
      <c r="F77" s="17" t="n"/>
      <c r="G77" s="17" t="n"/>
    </row>
    <row r="78">
      <c r="A78" s="17" t="n"/>
      <c r="B78" s="17" t="n"/>
      <c r="C78" s="17" t="n"/>
      <c r="D78" s="17" t="n"/>
      <c r="E78" s="17" t="n"/>
      <c r="F78" s="17" t="n"/>
      <c r="G78" s="17" t="n"/>
    </row>
    <row r="79" ht="26" customHeight="1" s="82">
      <c r="A79" s="79" t="inlineStr">
        <is>
          <t>Notes / Schedules — linked source for face statements</t>
        </is>
      </c>
      <c r="B79" s="1" t="n"/>
      <c r="C79" s="1" t="n"/>
      <c r="D79" s="1" t="n"/>
      <c r="E79" s="1" t="n"/>
      <c r="F79" s="1" t="n"/>
      <c r="G79" s="1" t="n"/>
    </row>
    <row r="80">
      <c r="A80" s="14" t="inlineStr">
        <is>
          <t>Note</t>
        </is>
      </c>
      <c r="B80" s="14" t="inlineStr">
        <is>
          <t>Note Title</t>
        </is>
      </c>
      <c r="C80" s="14" t="inlineStr">
        <is>
          <t>Statutory Line Item</t>
        </is>
      </c>
      <c r="D80" s="14" t="inlineStr">
        <is>
          <t>AAH Mapping Key</t>
        </is>
      </c>
      <c r="E80" s="14" t="inlineStr">
        <is>
          <t>Current Period</t>
        </is>
      </c>
      <c r="F80" s="14" t="inlineStr">
        <is>
          <t>Previous Period</t>
        </is>
      </c>
      <c r="G80" s="14" t="inlineStr">
        <is>
          <t>Disclosure / Remarks</t>
        </is>
      </c>
    </row>
    <row r="81">
      <c r="A81" s="17" t="inlineStr">
        <is>
          <t>1</t>
        </is>
      </c>
      <c r="B81" s="17" t="inlineStr">
        <is>
          <t>Cash and Cash Equivalents</t>
        </is>
      </c>
      <c r="C81" s="17" t="inlineStr">
        <is>
          <t>Cash and cash equivalents</t>
        </is>
      </c>
      <c r="D81" s="17" t="inlineStr">
        <is>
          <t>CASH</t>
        </is>
      </c>
      <c r="E81" s="121" t="n">
        <v>0</v>
      </c>
      <c r="F81" s="121" t="n">
        <v>0</v>
      </c>
      <c r="G81" s="59" t="str"/>
    </row>
    <row r="82">
      <c r="A82" s="65" t="inlineStr">
        <is>
          <t>1</t>
        </is>
      </c>
      <c r="B82" s="65" t="inlineStr">
        <is>
          <t>Cash and Cash Equivalents</t>
        </is>
      </c>
      <c r="C82" s="65" t="inlineStr">
        <is>
          <t>Total — Cash and Cash Equivalents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inlineStr">
        <is>
          <t>2</t>
        </is>
      </c>
      <c r="B83" s="17" t="inlineStr">
        <is>
          <t>Bank Balance other than Cash and Cash Equivalents</t>
        </is>
      </c>
      <c r="C83" s="17" t="inlineStr">
        <is>
          <t>Other bank balances</t>
        </is>
      </c>
      <c r="D83" s="17" t="inlineStr">
        <is>
          <t>BANK_OTHER</t>
        </is>
      </c>
      <c r="E83" s="121" t="n">
        <v>0</v>
      </c>
      <c r="F83" s="121" t="n">
        <v>0</v>
      </c>
      <c r="G83" s="59" t="str"/>
    </row>
    <row r="84">
      <c r="A84" s="65" t="inlineStr">
        <is>
          <t>2</t>
        </is>
      </c>
      <c r="B84" s="65" t="inlineStr">
        <is>
          <t>Bank Balance other than Cash and Cash Equivalents</t>
        </is>
      </c>
      <c r="C84" s="65" t="inlineStr">
        <is>
          <t>Total — Bank Balance other than Cash and Cash Equivalents</t>
        </is>
      </c>
      <c r="D84" s="65" t="inlineStr">
        <is>
          <t>__TOTAL__</t>
        </is>
      </c>
      <c r="E84" s="122">
        <f>SUM(E83:E83)</f>
        <v/>
      </c>
      <c r="F84" s="122">
        <f>SUM(F83:F83)</f>
        <v/>
      </c>
      <c r="G84" s="65" t="str"/>
    </row>
    <row r="85">
      <c r="A85" s="17" t="inlineStr">
        <is>
          <t>3</t>
        </is>
      </c>
      <c r="B85" s="17" t="inlineStr">
        <is>
          <t>Derivative Financial Instruments</t>
        </is>
      </c>
      <c r="C85" s="17" t="inlineStr">
        <is>
          <t>Derivative financial assets</t>
        </is>
      </c>
      <c r="D85" s="17" t="inlineStr">
        <is>
          <t>DFA</t>
        </is>
      </c>
      <c r="E85" s="121" t="n">
        <v>0</v>
      </c>
      <c r="F85" s="121" t="n">
        <v>0</v>
      </c>
      <c r="G85" s="59" t="str"/>
    </row>
    <row r="86">
      <c r="A86" s="17" t="inlineStr">
        <is>
          <t>3</t>
        </is>
      </c>
      <c r="B86" s="17" t="inlineStr">
        <is>
          <t>Derivative Financial Instruments</t>
        </is>
      </c>
      <c r="C86" s="17" t="inlineStr">
        <is>
          <t>Derivative financial liabilities</t>
        </is>
      </c>
      <c r="D86" s="17" t="inlineStr">
        <is>
          <t>DFL</t>
        </is>
      </c>
      <c r="E86" s="121" t="n">
        <v>0</v>
      </c>
      <c r="F86" s="121" t="n">
        <v>0</v>
      </c>
      <c r="G86" s="59" t="str"/>
    </row>
    <row r="87">
      <c r="A87" s="65" t="inlineStr">
        <is>
          <t>3</t>
        </is>
      </c>
      <c r="B87" s="65" t="inlineStr">
        <is>
          <t>Derivative Financial Instruments</t>
        </is>
      </c>
      <c r="C87" s="65" t="inlineStr">
        <is>
          <t>Total — Derivative Financial Instruments</t>
        </is>
      </c>
      <c r="D87" s="65" t="inlineStr">
        <is>
          <t>__TOTAL__</t>
        </is>
      </c>
      <c r="E87" s="122">
        <f>SUM(E85:E86)</f>
        <v/>
      </c>
      <c r="F87" s="122">
        <f>SUM(F85:F86)</f>
        <v/>
      </c>
      <c r="G87" s="65" t="str"/>
    </row>
    <row r="88">
      <c r="A88" s="17" t="inlineStr">
        <is>
          <t>4</t>
        </is>
      </c>
      <c r="B88" s="17" t="inlineStr">
        <is>
          <t>Receivables</t>
        </is>
      </c>
      <c r="C88" s="17" t="inlineStr">
        <is>
          <t>Trade receivables</t>
        </is>
      </c>
      <c r="D88" s="17" t="inlineStr">
        <is>
          <t>REC_TRADE</t>
        </is>
      </c>
      <c r="E88" s="121" t="n">
        <v>0</v>
      </c>
      <c r="F88" s="121" t="n">
        <v>0</v>
      </c>
      <c r="G88" s="59" t="str"/>
    </row>
    <row r="89">
      <c r="A89" s="17" t="inlineStr">
        <is>
          <t>4</t>
        </is>
      </c>
      <c r="B89" s="17" t="inlineStr">
        <is>
          <t>Receivables</t>
        </is>
      </c>
      <c r="C89" s="17" t="inlineStr">
        <is>
          <t>Other receivables</t>
        </is>
      </c>
      <c r="D89" s="17" t="inlineStr">
        <is>
          <t>REC_OTHER</t>
        </is>
      </c>
      <c r="E89" s="121" t="n">
        <v>0</v>
      </c>
      <c r="F89" s="121" t="n">
        <v>0</v>
      </c>
      <c r="G89" s="59" t="str"/>
    </row>
    <row r="90">
      <c r="A90" s="65" t="inlineStr">
        <is>
          <t>4</t>
        </is>
      </c>
      <c r="B90" s="65" t="inlineStr">
        <is>
          <t>Receivables</t>
        </is>
      </c>
      <c r="C90" s="65" t="inlineStr">
        <is>
          <t>Total — Receivables</t>
        </is>
      </c>
      <c r="D90" s="65" t="inlineStr">
        <is>
          <t>__TOTAL__</t>
        </is>
      </c>
      <c r="E90" s="122">
        <f>SUM(E88:E89)</f>
        <v/>
      </c>
      <c r="F90" s="122">
        <f>SUM(F88:F89)</f>
        <v/>
      </c>
      <c r="G90" s="65" t="str"/>
    </row>
    <row r="91">
      <c r="A91" s="17" t="inlineStr">
        <is>
          <t>5</t>
        </is>
      </c>
      <c r="B91" s="17" t="inlineStr">
        <is>
          <t>Loans</t>
        </is>
      </c>
      <c r="C91" s="17" t="inlineStr">
        <is>
          <t>Retail loans</t>
        </is>
      </c>
      <c r="D91" s="17" t="inlineStr">
        <is>
          <t>LOAN_RETAIL</t>
        </is>
      </c>
      <c r="E91" s="121" t="n">
        <v>0</v>
      </c>
      <c r="F91" s="121" t="n">
        <v>0</v>
      </c>
      <c r="G91" s="59" t="str"/>
    </row>
    <row r="92">
      <c r="A92" s="17" t="inlineStr">
        <is>
          <t>5</t>
        </is>
      </c>
      <c r="B92" s="17" t="inlineStr">
        <is>
          <t>Loans</t>
        </is>
      </c>
      <c r="C92" s="17" t="inlineStr">
        <is>
          <t>Corporate loans</t>
        </is>
      </c>
      <c r="D92" s="17" t="inlineStr">
        <is>
          <t>LOAN_CORP</t>
        </is>
      </c>
      <c r="E92" s="121" t="n">
        <v>0</v>
      </c>
      <c r="F92" s="121" t="n">
        <v>0</v>
      </c>
      <c r="G92" s="59" t="str"/>
    </row>
    <row r="93">
      <c r="A93" s="17" t="inlineStr">
        <is>
          <t>5</t>
        </is>
      </c>
      <c r="B93" s="17" t="inlineStr">
        <is>
          <t>Loans</t>
        </is>
      </c>
      <c r="C93" s="17" t="inlineStr">
        <is>
          <t>Other loans</t>
        </is>
      </c>
      <c r="D93" s="17" t="inlineStr">
        <is>
          <t>LOAN_OTHER</t>
        </is>
      </c>
      <c r="E93" s="121" t="n">
        <v>0</v>
      </c>
      <c r="F93" s="121" t="n">
        <v>0</v>
      </c>
      <c r="G93" s="59" t="str"/>
    </row>
    <row r="94">
      <c r="A94" s="17" t="inlineStr">
        <is>
          <t>5</t>
        </is>
      </c>
      <c r="B94" s="17" t="inlineStr">
        <is>
          <t>Loans</t>
        </is>
      </c>
      <c r="C94" s="17" t="inlineStr">
        <is>
          <t>Impairment allowance</t>
        </is>
      </c>
      <c r="D94" s="17" t="inlineStr">
        <is>
          <t>LOAN_ECL</t>
        </is>
      </c>
      <c r="E94" s="121" t="n">
        <v>0</v>
      </c>
      <c r="F94" s="121" t="n">
        <v>0</v>
      </c>
      <c r="G94" s="59" t="str"/>
    </row>
    <row r="95">
      <c r="A95" s="65" t="inlineStr">
        <is>
          <t>5</t>
        </is>
      </c>
      <c r="B95" s="65" t="inlineStr">
        <is>
          <t>Loans</t>
        </is>
      </c>
      <c r="C95" s="65" t="inlineStr">
        <is>
          <t>Total — Loans</t>
        </is>
      </c>
      <c r="D95" s="65" t="inlineStr">
        <is>
          <t>__TOTAL__</t>
        </is>
      </c>
      <c r="E95" s="122">
        <f>SUM(E91:E94)</f>
        <v/>
      </c>
      <c r="F95" s="122">
        <f>SUM(F91:F94)</f>
        <v/>
      </c>
      <c r="G95" s="65" t="str"/>
    </row>
    <row r="96">
      <c r="A96" s="17" t="inlineStr">
        <is>
          <t>6</t>
        </is>
      </c>
      <c r="B96" s="17" t="inlineStr">
        <is>
          <t>Investments</t>
        </is>
      </c>
      <c r="C96" s="17" t="inlineStr">
        <is>
          <t>Debt securities</t>
        </is>
      </c>
      <c r="D96" s="17" t="inlineStr">
        <is>
          <t>INV_DEBT</t>
        </is>
      </c>
      <c r="E96" s="121" t="n">
        <v>0</v>
      </c>
      <c r="F96" s="121" t="n">
        <v>0</v>
      </c>
      <c r="G96" s="59" t="str"/>
    </row>
    <row r="97">
      <c r="A97" s="17" t="inlineStr">
        <is>
          <t>6</t>
        </is>
      </c>
      <c r="B97" s="17" t="inlineStr">
        <is>
          <t>Investments</t>
        </is>
      </c>
      <c r="C97" s="17" t="inlineStr">
        <is>
          <t>Equity instruments</t>
        </is>
      </c>
      <c r="D97" s="17" t="inlineStr">
        <is>
          <t>INV_EQ</t>
        </is>
      </c>
      <c r="E97" s="121" t="n">
        <v>0</v>
      </c>
      <c r="F97" s="121" t="n">
        <v>0</v>
      </c>
      <c r="G97" s="59" t="str"/>
    </row>
    <row r="98">
      <c r="A98" s="17" t="inlineStr">
        <is>
          <t>6</t>
        </is>
      </c>
      <c r="B98" s="17" t="inlineStr">
        <is>
          <t>Investments</t>
        </is>
      </c>
      <c r="C98" s="17" t="inlineStr">
        <is>
          <t>Mutual funds</t>
        </is>
      </c>
      <c r="D98" s="17" t="inlineStr">
        <is>
          <t>INV_MF</t>
        </is>
      </c>
      <c r="E98" s="121" t="n">
        <v>0</v>
      </c>
      <c r="F98" s="121" t="n">
        <v>0</v>
      </c>
      <c r="G98" s="59" t="str"/>
    </row>
    <row r="99">
      <c r="A99" s="17" t="inlineStr">
        <is>
          <t>6</t>
        </is>
      </c>
      <c r="B99" s="17" t="inlineStr">
        <is>
          <t>Investments</t>
        </is>
      </c>
      <c r="C99" s="17" t="inlineStr">
        <is>
          <t>Other investments</t>
        </is>
      </c>
      <c r="D99" s="17" t="inlineStr">
        <is>
          <t>INV_OTHER</t>
        </is>
      </c>
      <c r="E99" s="121" t="n">
        <v>0</v>
      </c>
      <c r="F99" s="121" t="n">
        <v>0</v>
      </c>
      <c r="G99" s="59" t="str"/>
    </row>
    <row r="100">
      <c r="A100" s="65" t="inlineStr">
        <is>
          <t>6</t>
        </is>
      </c>
      <c r="B100" s="65" t="inlineStr">
        <is>
          <t>Investments</t>
        </is>
      </c>
      <c r="C100" s="65" t="inlineStr">
        <is>
          <t>Total — Investments</t>
        </is>
      </c>
      <c r="D100" s="65" t="inlineStr">
        <is>
          <t>__TOTAL__</t>
        </is>
      </c>
      <c r="E100" s="122">
        <f>SUM(E96:E99)</f>
        <v/>
      </c>
      <c r="F100" s="122">
        <f>SUM(F96:F99)</f>
        <v/>
      </c>
      <c r="G100" s="65" t="str"/>
    </row>
    <row r="101">
      <c r="A101" s="17" t="inlineStr">
        <is>
          <t>7</t>
        </is>
      </c>
      <c r="B101" s="17" t="inlineStr">
        <is>
          <t>Other Financial Assets</t>
        </is>
      </c>
      <c r="C101" s="17" t="inlineStr">
        <is>
          <t>Other financial assets</t>
        </is>
      </c>
      <c r="D101" s="17" t="inlineStr">
        <is>
          <t>OFA</t>
        </is>
      </c>
      <c r="E101" s="121" t="n">
        <v>0</v>
      </c>
      <c r="F101" s="121" t="n">
        <v>0</v>
      </c>
      <c r="G101" s="59" t="str"/>
    </row>
    <row r="102">
      <c r="A102" s="65" t="inlineStr">
        <is>
          <t>7</t>
        </is>
      </c>
      <c r="B102" s="65" t="inlineStr">
        <is>
          <t>Other Financial Assets</t>
        </is>
      </c>
      <c r="C102" s="65" t="inlineStr">
        <is>
          <t>Total — Other Financial Assets</t>
        </is>
      </c>
      <c r="D102" s="65" t="inlineStr">
        <is>
          <t>__TOTAL__</t>
        </is>
      </c>
      <c r="E102" s="122">
        <f>SUM(E101:E101)</f>
        <v/>
      </c>
      <c r="F102" s="122">
        <f>SUM(F101:F101)</f>
        <v/>
      </c>
      <c r="G102" s="65" t="str"/>
    </row>
    <row r="103">
      <c r="A103" s="17" t="inlineStr">
        <is>
          <t>8</t>
        </is>
      </c>
      <c r="B103" s="17" t="inlineStr">
        <is>
          <t>Inventories</t>
        </is>
      </c>
      <c r="C103" s="17" t="inlineStr">
        <is>
          <t>Inventories</t>
        </is>
      </c>
      <c r="D103" s="17" t="inlineStr">
        <is>
          <t>INV</t>
        </is>
      </c>
      <c r="E103" s="121" t="n">
        <v>0</v>
      </c>
      <c r="F103" s="121" t="n">
        <v>0</v>
      </c>
      <c r="G103" s="59" t="str"/>
    </row>
    <row r="104">
      <c r="A104" s="65" t="inlineStr">
        <is>
          <t>8</t>
        </is>
      </c>
      <c r="B104" s="65" t="inlineStr">
        <is>
          <t>Inventories</t>
        </is>
      </c>
      <c r="C104" s="65" t="inlineStr">
        <is>
          <t>Total — Inventories</t>
        </is>
      </c>
      <c r="D104" s="65" t="inlineStr">
        <is>
          <t>__TOTAL__</t>
        </is>
      </c>
      <c r="E104" s="122">
        <f>SUM(E103:E103)</f>
        <v/>
      </c>
      <c r="F104" s="122">
        <f>SUM(F103:F103)</f>
        <v/>
      </c>
      <c r="G104" s="65" t="str"/>
    </row>
    <row r="105">
      <c r="A105" s="17" t="inlineStr">
        <is>
          <t>9</t>
        </is>
      </c>
      <c r="B105" s="17" t="inlineStr">
        <is>
          <t>Current Tax Assets / Liabilities</t>
        </is>
      </c>
      <c r="C105" s="17" t="inlineStr">
        <is>
          <t>Current tax asset</t>
        </is>
      </c>
      <c r="D105" s="17" t="inlineStr">
        <is>
          <t>CTA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9</t>
        </is>
      </c>
      <c r="B106" s="17" t="inlineStr">
        <is>
          <t>Current Tax Assets / Liabilities</t>
        </is>
      </c>
      <c r="C106" s="17" t="inlineStr">
        <is>
          <t>Current tax liability</t>
        </is>
      </c>
      <c r="D106" s="17" t="inlineStr">
        <is>
          <t>CTL</t>
        </is>
      </c>
      <c r="E106" s="121" t="n">
        <v>0</v>
      </c>
      <c r="F106" s="121" t="n">
        <v>0</v>
      </c>
      <c r="G106" s="59" t="str"/>
    </row>
    <row r="107">
      <c r="A107" s="65" t="inlineStr">
        <is>
          <t>9</t>
        </is>
      </c>
      <c r="B107" s="65" t="inlineStr">
        <is>
          <t>Current Tax Assets / Liabilities</t>
        </is>
      </c>
      <c r="C107" s="65" t="inlineStr">
        <is>
          <t>Total — Current Tax Assets / Liabilities</t>
        </is>
      </c>
      <c r="D107" s="65" t="inlineStr">
        <is>
          <t>__TOTAL__</t>
        </is>
      </c>
      <c r="E107" s="122">
        <f>SUM(E105:E106)</f>
        <v/>
      </c>
      <c r="F107" s="122">
        <f>SUM(F105:F106)</f>
        <v/>
      </c>
      <c r="G107" s="65" t="str"/>
    </row>
    <row r="108">
      <c r="A108" s="17" t="inlineStr">
        <is>
          <t>10</t>
        </is>
      </c>
      <c r="B108" s="17" t="inlineStr">
        <is>
          <t>Deferred Tax Assets / Liabilities</t>
        </is>
      </c>
      <c r="C108" s="17" t="inlineStr">
        <is>
          <t>Deferred tax asset</t>
        </is>
      </c>
      <c r="D108" s="17" t="inlineStr">
        <is>
          <t>DTA</t>
        </is>
      </c>
      <c r="E108" s="121" t="n">
        <v>0</v>
      </c>
      <c r="F108" s="121" t="n">
        <v>0</v>
      </c>
      <c r="G108" s="59" t="str"/>
    </row>
    <row r="109">
      <c r="A109" s="17" t="inlineStr">
        <is>
          <t>10</t>
        </is>
      </c>
      <c r="B109" s="17" t="inlineStr">
        <is>
          <t>Deferred Tax Assets / Liabilities</t>
        </is>
      </c>
      <c r="C109" s="17" t="inlineStr">
        <is>
          <t>Deferred tax liability</t>
        </is>
      </c>
      <c r="D109" s="17" t="inlineStr">
        <is>
          <t>DTL</t>
        </is>
      </c>
      <c r="E109" s="121" t="n">
        <v>0</v>
      </c>
      <c r="F109" s="121" t="n">
        <v>0</v>
      </c>
      <c r="G109" s="59" t="str"/>
    </row>
    <row r="110">
      <c r="A110" s="65" t="inlineStr">
        <is>
          <t>10</t>
        </is>
      </c>
      <c r="B110" s="65" t="inlineStr">
        <is>
          <t>Deferred Tax Assets / Liabilities</t>
        </is>
      </c>
      <c r="C110" s="65" t="inlineStr">
        <is>
          <t>Total — Deferred Tax Assets / Liabilities</t>
        </is>
      </c>
      <c r="D110" s="65" t="inlineStr">
        <is>
          <t>__TOTAL__</t>
        </is>
      </c>
      <c r="E110" s="122">
        <f>SUM(E108:E109)</f>
        <v/>
      </c>
      <c r="F110" s="122">
        <f>SUM(F108:F109)</f>
        <v/>
      </c>
      <c r="G110" s="65" t="str"/>
    </row>
    <row r="111">
      <c r="A111" s="17" t="inlineStr">
        <is>
          <t>11</t>
        </is>
      </c>
      <c r="B111" s="17" t="inlineStr">
        <is>
          <t>Investment Property</t>
        </is>
      </c>
      <c r="C111" s="17" t="inlineStr">
        <is>
          <t>Investment property</t>
        </is>
      </c>
      <c r="D111" s="17" t="inlineStr">
        <is>
          <t>INVPROP</t>
        </is>
      </c>
      <c r="E111" s="121" t="n">
        <v>0</v>
      </c>
      <c r="F111" s="121" t="n">
        <v>0</v>
      </c>
      <c r="G111" s="59" t="str"/>
    </row>
    <row r="112">
      <c r="A112" s="65" t="inlineStr">
        <is>
          <t>11</t>
        </is>
      </c>
      <c r="B112" s="65" t="inlineStr">
        <is>
          <t>Investment Property</t>
        </is>
      </c>
      <c r="C112" s="65" t="inlineStr">
        <is>
          <t>Total — Investment Property</t>
        </is>
      </c>
      <c r="D112" s="65" t="inlineStr">
        <is>
          <t>__TOTAL__</t>
        </is>
      </c>
      <c r="E112" s="122">
        <f>SUM(E111:E111)</f>
        <v/>
      </c>
      <c r="F112" s="122">
        <f>SUM(F111:F111)</f>
        <v/>
      </c>
      <c r="G112" s="65" t="str"/>
    </row>
    <row r="113">
      <c r="A113" s="17" t="inlineStr">
        <is>
          <t>12</t>
        </is>
      </c>
      <c r="B113" s="17" t="inlineStr">
        <is>
          <t>Biological Assets</t>
        </is>
      </c>
      <c r="C113" s="17" t="inlineStr">
        <is>
          <t>Biological assets</t>
        </is>
      </c>
      <c r="D113" s="17" t="inlineStr">
        <is>
          <t>BIO</t>
        </is>
      </c>
      <c r="E113" s="121" t="n">
        <v>0</v>
      </c>
      <c r="F113" s="121" t="n">
        <v>0</v>
      </c>
      <c r="G113" s="59" t="str"/>
    </row>
    <row r="114">
      <c r="A114" s="65" t="inlineStr">
        <is>
          <t>12</t>
        </is>
      </c>
      <c r="B114" s="65" t="inlineStr">
        <is>
          <t>Biological Assets</t>
        </is>
      </c>
      <c r="C114" s="65" t="inlineStr">
        <is>
          <t>Total — Biological Assets</t>
        </is>
      </c>
      <c r="D114" s="65" t="inlineStr">
        <is>
          <t>__TOTAL__</t>
        </is>
      </c>
      <c r="E114" s="122">
        <f>SUM(E113:E113)</f>
        <v/>
      </c>
      <c r="F114" s="122">
        <f>SUM(F113:F113)</f>
        <v/>
      </c>
      <c r="G114" s="65" t="str"/>
    </row>
    <row r="115">
      <c r="A115" s="17" t="inlineStr">
        <is>
          <t>13</t>
        </is>
      </c>
      <c r="B115" s="17" t="inlineStr">
        <is>
          <t>Property, Plant and Equipment</t>
        </is>
      </c>
      <c r="C115" s="17" t="inlineStr">
        <is>
          <t>PPE</t>
        </is>
      </c>
      <c r="D115" s="17" t="inlineStr">
        <is>
          <t>PPE</t>
        </is>
      </c>
      <c r="E115" s="121" t="n">
        <v>0</v>
      </c>
      <c r="F115" s="121" t="n">
        <v>0</v>
      </c>
      <c r="G115" s="59" t="str"/>
    </row>
    <row r="116">
      <c r="A116" s="65" t="inlineStr">
        <is>
          <t>13</t>
        </is>
      </c>
      <c r="B116" s="65" t="inlineStr">
        <is>
          <t>Property, Plant and Equipment</t>
        </is>
      </c>
      <c r="C116" s="65" t="inlineStr">
        <is>
          <t>Total — Property, Plant and Equipment</t>
        </is>
      </c>
      <c r="D116" s="65" t="inlineStr">
        <is>
          <t>__TOTAL__</t>
        </is>
      </c>
      <c r="E116" s="122">
        <f>SUM(E115:E115)</f>
        <v/>
      </c>
      <c r="F116" s="122">
        <f>SUM(F115:F115)</f>
        <v/>
      </c>
      <c r="G116" s="65" t="str"/>
    </row>
    <row r="117">
      <c r="A117" s="17" t="inlineStr">
        <is>
          <t>14</t>
        </is>
      </c>
      <c r="B117" s="17" t="inlineStr">
        <is>
          <t>Capital Work-in-Progress</t>
        </is>
      </c>
      <c r="C117" s="17" t="inlineStr">
        <is>
          <t>CWIP</t>
        </is>
      </c>
      <c r="D117" s="17" t="inlineStr">
        <is>
          <t>CWIP</t>
        </is>
      </c>
      <c r="E117" s="121" t="n">
        <v>0</v>
      </c>
      <c r="F117" s="121" t="n">
        <v>0</v>
      </c>
      <c r="G117" s="59" t="str"/>
    </row>
    <row r="118">
      <c r="A118" s="65" t="inlineStr">
        <is>
          <t>14</t>
        </is>
      </c>
      <c r="B118" s="65" t="inlineStr">
        <is>
          <t>Capital Work-in-Progress</t>
        </is>
      </c>
      <c r="C118" s="65" t="inlineStr">
        <is>
          <t>Total — Capital Work-in-Progress</t>
        </is>
      </c>
      <c r="D118" s="65" t="inlineStr">
        <is>
          <t>__TOTAL__</t>
        </is>
      </c>
      <c r="E118" s="122">
        <f>SUM(E117:E117)</f>
        <v/>
      </c>
      <c r="F118" s="122">
        <f>SUM(F117:F117)</f>
        <v/>
      </c>
      <c r="G118" s="65" t="str"/>
    </row>
    <row r="119">
      <c r="A119" s="17" t="inlineStr">
        <is>
          <t>15</t>
        </is>
      </c>
      <c r="B119" s="17" t="inlineStr">
        <is>
          <t>Intangible Assets under Development</t>
        </is>
      </c>
      <c r="C119" s="17" t="inlineStr">
        <is>
          <t>IAUD</t>
        </is>
      </c>
      <c r="D119" s="17" t="inlineStr">
        <is>
          <t>IAUD</t>
        </is>
      </c>
      <c r="E119" s="121" t="n">
        <v>0</v>
      </c>
      <c r="F119" s="121" t="n">
        <v>0</v>
      </c>
      <c r="G119" s="59" t="str"/>
    </row>
    <row r="120">
      <c r="A120" s="65" t="inlineStr">
        <is>
          <t>15</t>
        </is>
      </c>
      <c r="B120" s="65" t="inlineStr">
        <is>
          <t>Intangible Assets under Development</t>
        </is>
      </c>
      <c r="C120" s="65" t="inlineStr">
        <is>
          <t>Total — Intangible Assets under Development</t>
        </is>
      </c>
      <c r="D120" s="65" t="inlineStr">
        <is>
          <t>__TOTAL__</t>
        </is>
      </c>
      <c r="E120" s="122">
        <f>SUM(E119:E119)</f>
        <v/>
      </c>
      <c r="F120" s="122">
        <f>SUM(F119:F119)</f>
        <v/>
      </c>
      <c r="G120" s="65" t="str"/>
    </row>
    <row r="121">
      <c r="A121" s="17" t="inlineStr">
        <is>
          <t>16</t>
        </is>
      </c>
      <c r="B121" s="17" t="inlineStr">
        <is>
          <t>Goodwill</t>
        </is>
      </c>
      <c r="C121" s="17" t="inlineStr">
        <is>
          <t>Goodwill</t>
        </is>
      </c>
      <c r="D121" s="17" t="inlineStr">
        <is>
          <t>GOODWILL</t>
        </is>
      </c>
      <c r="E121" s="121" t="n">
        <v>0</v>
      </c>
      <c r="F121" s="121" t="n">
        <v>0</v>
      </c>
      <c r="G121" s="59" t="str"/>
    </row>
    <row r="122">
      <c r="A122" s="65" t="inlineStr">
        <is>
          <t>16</t>
        </is>
      </c>
      <c r="B122" s="65" t="inlineStr">
        <is>
          <t>Goodwill</t>
        </is>
      </c>
      <c r="C122" s="65" t="inlineStr">
        <is>
          <t>Total — Goodwill</t>
        </is>
      </c>
      <c r="D122" s="65" t="inlineStr">
        <is>
          <t>__TOTAL__</t>
        </is>
      </c>
      <c r="E122" s="122">
        <f>SUM(E121:E121)</f>
        <v/>
      </c>
      <c r="F122" s="122">
        <f>SUM(F121:F121)</f>
        <v/>
      </c>
      <c r="G122" s="65" t="str"/>
    </row>
    <row r="123">
      <c r="A123" s="17" t="inlineStr">
        <is>
          <t>17</t>
        </is>
      </c>
      <c r="B123" s="17" t="inlineStr">
        <is>
          <t>Other Intangible Assets</t>
        </is>
      </c>
      <c r="C123" s="17" t="inlineStr">
        <is>
          <t>Other intangible assets</t>
        </is>
      </c>
      <c r="D123" s="17" t="inlineStr">
        <is>
          <t>INTANG</t>
        </is>
      </c>
      <c r="E123" s="121" t="n">
        <v>0</v>
      </c>
      <c r="F123" s="121" t="n">
        <v>0</v>
      </c>
      <c r="G123" s="59" t="str"/>
    </row>
    <row r="124">
      <c r="A124" s="65" t="inlineStr">
        <is>
          <t>17</t>
        </is>
      </c>
      <c r="B124" s="65" t="inlineStr">
        <is>
          <t>Other Intangible Assets</t>
        </is>
      </c>
      <c r="C124" s="65" t="inlineStr">
        <is>
          <t>Total — Other Intangible Assets</t>
        </is>
      </c>
      <c r="D124" s="65" t="inlineStr">
        <is>
          <t>__TOTAL__</t>
        </is>
      </c>
      <c r="E124" s="122">
        <f>SUM(E123:E123)</f>
        <v/>
      </c>
      <c r="F124" s="122">
        <f>SUM(F123:F123)</f>
        <v/>
      </c>
      <c r="G124" s="65" t="str"/>
    </row>
    <row r="125">
      <c r="A125" s="17" t="inlineStr">
        <is>
          <t>18</t>
        </is>
      </c>
      <c r="B125" s="17" t="inlineStr">
        <is>
          <t>Other Non-financial Assets</t>
        </is>
      </c>
      <c r="C125" s="17" t="inlineStr">
        <is>
          <t>Other non-financial assets</t>
        </is>
      </c>
      <c r="D125" s="17" t="inlineStr">
        <is>
          <t>ONFA</t>
        </is>
      </c>
      <c r="E125" s="121" t="n">
        <v>0</v>
      </c>
      <c r="F125" s="121" t="n">
        <v>0</v>
      </c>
      <c r="G125" s="59" t="str"/>
    </row>
    <row r="126">
      <c r="A126" s="65" t="inlineStr">
        <is>
          <t>18</t>
        </is>
      </c>
      <c r="B126" s="65" t="inlineStr">
        <is>
          <t>Other Non-financial Assets</t>
        </is>
      </c>
      <c r="C126" s="65" t="inlineStr">
        <is>
          <t>Total — Other Non-financial Assets</t>
        </is>
      </c>
      <c r="D126" s="65" t="inlineStr">
        <is>
          <t>__TOTAL__</t>
        </is>
      </c>
      <c r="E126" s="122">
        <f>SUM(E125:E125)</f>
        <v/>
      </c>
      <c r="F126" s="122">
        <f>SUM(F125:F125)</f>
        <v/>
      </c>
      <c r="G126" s="65" t="str"/>
    </row>
    <row r="127">
      <c r="A127" s="17" t="inlineStr">
        <is>
          <t>19</t>
        </is>
      </c>
      <c r="B127" s="17" t="inlineStr">
        <is>
          <t>Payables</t>
        </is>
      </c>
      <c r="C127" s="17" t="inlineStr">
        <is>
          <t>Trade payables</t>
        </is>
      </c>
      <c r="D127" s="17" t="inlineStr">
        <is>
          <t>PAY_TRADE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19</t>
        </is>
      </c>
      <c r="B128" s="17" t="inlineStr">
        <is>
          <t>Payables</t>
        </is>
      </c>
      <c r="C128" s="17" t="inlineStr">
        <is>
          <t>Other payables</t>
        </is>
      </c>
      <c r="D128" s="17" t="inlineStr">
        <is>
          <t>PAY_OTHER</t>
        </is>
      </c>
      <c r="E128" s="121" t="n">
        <v>0</v>
      </c>
      <c r="F128" s="121" t="n">
        <v>0</v>
      </c>
      <c r="G128" s="59" t="str"/>
    </row>
    <row r="129">
      <c r="A129" s="65" t="inlineStr">
        <is>
          <t>19</t>
        </is>
      </c>
      <c r="B129" s="65" t="inlineStr">
        <is>
          <t>Payables</t>
        </is>
      </c>
      <c r="C129" s="65" t="inlineStr">
        <is>
          <t>Total — Payables</t>
        </is>
      </c>
      <c r="D129" s="65" t="inlineStr">
        <is>
          <t>__TOTAL__</t>
        </is>
      </c>
      <c r="E129" s="122">
        <f>SUM(E127:E128)</f>
        <v/>
      </c>
      <c r="F129" s="122">
        <f>SUM(F127:F128)</f>
        <v/>
      </c>
      <c r="G129" s="65" t="str"/>
    </row>
    <row r="130">
      <c r="A130" s="17" t="inlineStr">
        <is>
          <t>20</t>
        </is>
      </c>
      <c r="B130" s="17" t="inlineStr">
        <is>
          <t>Debt Securities</t>
        </is>
      </c>
      <c r="C130" s="17" t="inlineStr">
        <is>
          <t>Debt securities</t>
        </is>
      </c>
      <c r="D130" s="17" t="inlineStr">
        <is>
          <t>DEBTSEC</t>
        </is>
      </c>
      <c r="E130" s="121" t="n">
        <v>0</v>
      </c>
      <c r="F130" s="121" t="n">
        <v>0</v>
      </c>
      <c r="G130" s="59" t="str"/>
    </row>
    <row r="131">
      <c r="A131" s="65" t="inlineStr">
        <is>
          <t>20</t>
        </is>
      </c>
      <c r="B131" s="65" t="inlineStr">
        <is>
          <t>Debt Securities</t>
        </is>
      </c>
      <c r="C131" s="65" t="inlineStr">
        <is>
          <t>Total — Debt Securities</t>
        </is>
      </c>
      <c r="D131" s="65" t="inlineStr">
        <is>
          <t>__TOTAL__</t>
        </is>
      </c>
      <c r="E131" s="122">
        <f>SUM(E130:E130)</f>
        <v/>
      </c>
      <c r="F131" s="122">
        <f>SUM(F130:F130)</f>
        <v/>
      </c>
      <c r="G131" s="65" t="str"/>
    </row>
    <row r="132">
      <c r="A132" s="17" t="inlineStr">
        <is>
          <t>21</t>
        </is>
      </c>
      <c r="B132" s="17" t="inlineStr">
        <is>
          <t>Borrowings other than Debt Securities</t>
        </is>
      </c>
      <c r="C132" s="17" t="inlineStr">
        <is>
          <t>Borrowings</t>
        </is>
      </c>
      <c r="D132" s="17" t="inlineStr">
        <is>
          <t>BORR</t>
        </is>
      </c>
      <c r="E132" s="121" t="n">
        <v>0</v>
      </c>
      <c r="F132" s="121" t="n">
        <v>0</v>
      </c>
      <c r="G132" s="59" t="str"/>
    </row>
    <row r="133">
      <c r="A133" s="65" t="inlineStr">
        <is>
          <t>21</t>
        </is>
      </c>
      <c r="B133" s="65" t="inlineStr">
        <is>
          <t>Borrowings other than Debt Securities</t>
        </is>
      </c>
      <c r="C133" s="65" t="inlineStr">
        <is>
          <t>Total — Borrowings other than Debt Securities</t>
        </is>
      </c>
      <c r="D133" s="65" t="inlineStr">
        <is>
          <t>__TOTAL__</t>
        </is>
      </c>
      <c r="E133" s="122">
        <f>SUM(E132:E132)</f>
        <v/>
      </c>
      <c r="F133" s="122">
        <f>SUM(F132:F132)</f>
        <v/>
      </c>
      <c r="G133" s="65" t="str"/>
    </row>
    <row r="134">
      <c r="A134" s="17" t="inlineStr">
        <is>
          <t>22</t>
        </is>
      </c>
      <c r="B134" s="17" t="inlineStr">
        <is>
          <t>Deposits</t>
        </is>
      </c>
      <c r="C134" s="17" t="inlineStr">
        <is>
          <t>Deposits</t>
        </is>
      </c>
      <c r="D134" s="17" t="inlineStr">
        <is>
          <t>DEPOSITS</t>
        </is>
      </c>
      <c r="E134" s="121" t="n">
        <v>0</v>
      </c>
      <c r="F134" s="121" t="n">
        <v>0</v>
      </c>
      <c r="G134" s="59" t="str"/>
    </row>
    <row r="135">
      <c r="A135" s="65" t="inlineStr">
        <is>
          <t>22</t>
        </is>
      </c>
      <c r="B135" s="65" t="inlineStr">
        <is>
          <t>Deposits</t>
        </is>
      </c>
      <c r="C135" s="65" t="inlineStr">
        <is>
          <t>Total — Deposits</t>
        </is>
      </c>
      <c r="D135" s="65" t="inlineStr">
        <is>
          <t>__TOTAL__</t>
        </is>
      </c>
      <c r="E135" s="122">
        <f>SUM(E134:E134)</f>
        <v/>
      </c>
      <c r="F135" s="122">
        <f>SUM(F134:F134)</f>
        <v/>
      </c>
      <c r="G135" s="65" t="str"/>
    </row>
    <row r="136">
      <c r="A136" s="17" t="inlineStr">
        <is>
          <t>23</t>
        </is>
      </c>
      <c r="B136" s="17" t="inlineStr">
        <is>
          <t>Subordinated Liabilities</t>
        </is>
      </c>
      <c r="C136" s="17" t="inlineStr">
        <is>
          <t>Subordinated liabilities</t>
        </is>
      </c>
      <c r="D136" s="17" t="inlineStr">
        <is>
          <t>SUBLIAB</t>
        </is>
      </c>
      <c r="E136" s="121" t="n">
        <v>0</v>
      </c>
      <c r="F136" s="121" t="n">
        <v>0</v>
      </c>
      <c r="G136" s="59" t="str"/>
    </row>
    <row r="137">
      <c r="A137" s="65" t="inlineStr">
        <is>
          <t>23</t>
        </is>
      </c>
      <c r="B137" s="65" t="inlineStr">
        <is>
          <t>Subordinated Liabilities</t>
        </is>
      </c>
      <c r="C137" s="65" t="inlineStr">
        <is>
          <t>Total — Subordinated Liabilities</t>
        </is>
      </c>
      <c r="D137" s="65" t="inlineStr">
        <is>
          <t>__TOTAL__</t>
        </is>
      </c>
      <c r="E137" s="122">
        <f>SUM(E136:E136)</f>
        <v/>
      </c>
      <c r="F137" s="122">
        <f>SUM(F136:F136)</f>
        <v/>
      </c>
      <c r="G137" s="65" t="str"/>
    </row>
    <row r="138">
      <c r="A138" s="17" t="inlineStr">
        <is>
          <t>24</t>
        </is>
      </c>
      <c r="B138" s="17" t="inlineStr">
        <is>
          <t>Other Financial Liabilities</t>
        </is>
      </c>
      <c r="C138" s="17" t="inlineStr">
        <is>
          <t>Other financial liabilities</t>
        </is>
      </c>
      <c r="D138" s="17" t="inlineStr">
        <is>
          <t>OFL</t>
        </is>
      </c>
      <c r="E138" s="121" t="n">
        <v>0</v>
      </c>
      <c r="F138" s="121" t="n">
        <v>0</v>
      </c>
      <c r="G138" s="59" t="str"/>
    </row>
    <row r="139">
      <c r="A139" s="65" t="inlineStr">
        <is>
          <t>24</t>
        </is>
      </c>
      <c r="B139" s="65" t="inlineStr">
        <is>
          <t>Other Financial Liabilities</t>
        </is>
      </c>
      <c r="C139" s="65" t="inlineStr">
        <is>
          <t>Total — Other Financial Liabilities</t>
        </is>
      </c>
      <c r="D139" s="65" t="inlineStr">
        <is>
          <t>__TOTAL__</t>
        </is>
      </c>
      <c r="E139" s="122">
        <f>SUM(E138:E138)</f>
        <v/>
      </c>
      <c r="F139" s="122">
        <f>SUM(F138:F138)</f>
        <v/>
      </c>
      <c r="G139" s="65" t="str"/>
    </row>
    <row r="140">
      <c r="A140" s="17" t="inlineStr">
        <is>
          <t>25</t>
        </is>
      </c>
      <c r="B140" s="17" t="inlineStr">
        <is>
          <t>Provisions</t>
        </is>
      </c>
      <c r="C140" s="17" t="inlineStr">
        <is>
          <t>Provisions</t>
        </is>
      </c>
      <c r="D140" s="17" t="inlineStr">
        <is>
          <t>PROV</t>
        </is>
      </c>
      <c r="E140" s="121" t="n">
        <v>0</v>
      </c>
      <c r="F140" s="121" t="n">
        <v>0</v>
      </c>
      <c r="G140" s="59" t="str"/>
    </row>
    <row r="141">
      <c r="A141" s="65" t="inlineStr">
        <is>
          <t>25</t>
        </is>
      </c>
      <c r="B141" s="65" t="inlineStr">
        <is>
          <t>Provisions</t>
        </is>
      </c>
      <c r="C141" s="65" t="inlineStr">
        <is>
          <t>Total — Provisions</t>
        </is>
      </c>
      <c r="D141" s="65" t="inlineStr">
        <is>
          <t>__TOTAL__</t>
        </is>
      </c>
      <c r="E141" s="122">
        <f>SUM(E140:E140)</f>
        <v/>
      </c>
      <c r="F141" s="122">
        <f>SUM(F140:F140)</f>
        <v/>
      </c>
      <c r="G141" s="65" t="str"/>
    </row>
    <row r="142">
      <c r="A142" s="17" t="inlineStr">
        <is>
          <t>26</t>
        </is>
      </c>
      <c r="B142" s="17" t="inlineStr">
        <is>
          <t>Other Non-financial Liabilities</t>
        </is>
      </c>
      <c r="C142" s="17" t="inlineStr">
        <is>
          <t>Other non-financial liabilities</t>
        </is>
      </c>
      <c r="D142" s="17" t="inlineStr">
        <is>
          <t>ONFL</t>
        </is>
      </c>
      <c r="E142" s="121" t="n">
        <v>0</v>
      </c>
      <c r="F142" s="121" t="n">
        <v>0</v>
      </c>
      <c r="G142" s="59" t="str"/>
    </row>
    <row r="143">
      <c r="A143" s="65" t="inlineStr">
        <is>
          <t>26</t>
        </is>
      </c>
      <c r="B143" s="65" t="inlineStr">
        <is>
          <t>Other Non-financial Liabilities</t>
        </is>
      </c>
      <c r="C143" s="65" t="inlineStr">
        <is>
          <t>Total — Other Non-financial Liabilities</t>
        </is>
      </c>
      <c r="D143" s="65" t="inlineStr">
        <is>
          <t>__TOTAL__</t>
        </is>
      </c>
      <c r="E143" s="122">
        <f>SUM(E142:E142)</f>
        <v/>
      </c>
      <c r="F143" s="122">
        <f>SUM(F142:F142)</f>
        <v/>
      </c>
      <c r="G143" s="65" t="str"/>
    </row>
    <row r="144">
      <c r="A144" s="17" t="inlineStr">
        <is>
          <t>27</t>
        </is>
      </c>
      <c r="B144" s="17" t="inlineStr">
        <is>
          <t>Equity Share Capital</t>
        </is>
      </c>
      <c r="C144" s="17" t="inlineStr">
        <is>
          <t>Equity share capital</t>
        </is>
      </c>
      <c r="D144" s="17" t="inlineStr">
        <is>
          <t>EQ_CAP</t>
        </is>
      </c>
      <c r="E144" s="121" t="n">
        <v>0</v>
      </c>
      <c r="F144" s="121" t="n">
        <v>0</v>
      </c>
      <c r="G144" s="59" t="str"/>
    </row>
    <row r="145">
      <c r="A145" s="65" t="inlineStr">
        <is>
          <t>27</t>
        </is>
      </c>
      <c r="B145" s="65" t="inlineStr">
        <is>
          <t>Equity Share Capital</t>
        </is>
      </c>
      <c r="C145" s="65" t="inlineStr">
        <is>
          <t>Total — Equity Share Capital</t>
        </is>
      </c>
      <c r="D145" s="65" t="inlineStr">
        <is>
          <t>__TOTAL__</t>
        </is>
      </c>
      <c r="E145" s="122">
        <f>SUM(E144:E144)</f>
        <v/>
      </c>
      <c r="F145" s="122">
        <f>SUM(F144:F144)</f>
        <v/>
      </c>
      <c r="G145" s="65" t="str"/>
    </row>
    <row r="146">
      <c r="A146" s="17" t="inlineStr">
        <is>
          <t>28</t>
        </is>
      </c>
      <c r="B146" s="17" t="inlineStr">
        <is>
          <t>Other Equity</t>
        </is>
      </c>
      <c r="C146" s="17" t="inlineStr">
        <is>
          <t>Other equity</t>
        </is>
      </c>
      <c r="D146" s="17" t="inlineStr">
        <is>
          <t>OTHER_EQ</t>
        </is>
      </c>
      <c r="E146" s="121" t="n">
        <v>0</v>
      </c>
      <c r="F146" s="121" t="n">
        <v>0</v>
      </c>
      <c r="G146" s="59" t="str"/>
    </row>
    <row r="147">
      <c r="A147" s="65" t="inlineStr">
        <is>
          <t>28</t>
        </is>
      </c>
      <c r="B147" s="65" t="inlineStr">
        <is>
          <t>Other Equity</t>
        </is>
      </c>
      <c r="C147" s="65" t="inlineStr">
        <is>
          <t>Total — Other Equity</t>
        </is>
      </c>
      <c r="D147" s="65" t="inlineStr">
        <is>
          <t>__TOTAL__</t>
        </is>
      </c>
      <c r="E147" s="122">
        <f>SUM(E146:E146)</f>
        <v/>
      </c>
      <c r="F147" s="122">
        <f>SUM(F146:F146)</f>
        <v/>
      </c>
      <c r="G147" s="65" t="str"/>
    </row>
    <row r="148">
      <c r="A148" s="17" t="inlineStr">
        <is>
          <t>29</t>
        </is>
      </c>
      <c r="B148" s="17" t="inlineStr">
        <is>
          <t>Interest Income</t>
        </is>
      </c>
      <c r="C148" s="17" t="inlineStr">
        <is>
          <t>Interest income</t>
        </is>
      </c>
      <c r="D148" s="17" t="inlineStr">
        <is>
          <t>INT_INC</t>
        </is>
      </c>
      <c r="E148" s="121" t="n">
        <v>0</v>
      </c>
      <c r="F148" s="121" t="n">
        <v>0</v>
      </c>
      <c r="G148" s="59" t="str"/>
    </row>
    <row r="149">
      <c r="A149" s="65" t="inlineStr">
        <is>
          <t>29</t>
        </is>
      </c>
      <c r="B149" s="65" t="inlineStr">
        <is>
          <t>Interest Income</t>
        </is>
      </c>
      <c r="C149" s="65" t="inlineStr">
        <is>
          <t>Total — Interest Income</t>
        </is>
      </c>
      <c r="D149" s="65" t="inlineStr">
        <is>
          <t>__TOTAL__</t>
        </is>
      </c>
      <c r="E149" s="122">
        <f>SUM(E148:E148)</f>
        <v/>
      </c>
      <c r="F149" s="122">
        <f>SUM(F148:F148)</f>
        <v/>
      </c>
      <c r="G149" s="65" t="str"/>
    </row>
    <row r="150">
      <c r="A150" s="17" t="inlineStr">
        <is>
          <t>30</t>
        </is>
      </c>
      <c r="B150" s="17" t="inlineStr">
        <is>
          <t>Dividend Income</t>
        </is>
      </c>
      <c r="C150" s="17" t="inlineStr">
        <is>
          <t>Dividend income</t>
        </is>
      </c>
      <c r="D150" s="17" t="inlineStr">
        <is>
          <t>DIV_INC</t>
        </is>
      </c>
      <c r="E150" s="121" t="n">
        <v>0</v>
      </c>
      <c r="F150" s="121" t="n">
        <v>0</v>
      </c>
      <c r="G150" s="59" t="str"/>
    </row>
    <row r="151">
      <c r="A151" s="65" t="inlineStr">
        <is>
          <t>30</t>
        </is>
      </c>
      <c r="B151" s="65" t="inlineStr">
        <is>
          <t>Dividend Income</t>
        </is>
      </c>
      <c r="C151" s="65" t="inlineStr">
        <is>
          <t>Total — Dividend Income</t>
        </is>
      </c>
      <c r="D151" s="65" t="inlineStr">
        <is>
          <t>__TOTAL__</t>
        </is>
      </c>
      <c r="E151" s="122">
        <f>SUM(E150:E150)</f>
        <v/>
      </c>
      <c r="F151" s="122">
        <f>SUM(F150:F150)</f>
        <v/>
      </c>
      <c r="G151" s="65" t="str"/>
    </row>
    <row r="152">
      <c r="A152" s="17" t="inlineStr">
        <is>
          <t>31</t>
        </is>
      </c>
      <c r="B152" s="17" t="inlineStr">
        <is>
          <t>Rental Income</t>
        </is>
      </c>
      <c r="C152" s="17" t="inlineStr">
        <is>
          <t>Rental income</t>
        </is>
      </c>
      <c r="D152" s="17" t="inlineStr">
        <is>
          <t>RENT_INC</t>
        </is>
      </c>
      <c r="E152" s="121" t="n">
        <v>0</v>
      </c>
      <c r="F152" s="121" t="n">
        <v>0</v>
      </c>
      <c r="G152" s="59" t="str"/>
    </row>
    <row r="153">
      <c r="A153" s="65" t="inlineStr">
        <is>
          <t>31</t>
        </is>
      </c>
      <c r="B153" s="65" t="inlineStr">
        <is>
          <t>Rental Income</t>
        </is>
      </c>
      <c r="C153" s="65" t="inlineStr">
        <is>
          <t>Total — Rental Income</t>
        </is>
      </c>
      <c r="D153" s="65" t="inlineStr">
        <is>
          <t>__TOTAL__</t>
        </is>
      </c>
      <c r="E153" s="122">
        <f>SUM(E152:E152)</f>
        <v/>
      </c>
      <c r="F153" s="122">
        <f>SUM(F152:F152)</f>
        <v/>
      </c>
      <c r="G153" s="65" t="str"/>
    </row>
    <row r="154">
      <c r="A154" s="17" t="inlineStr">
        <is>
          <t>32</t>
        </is>
      </c>
      <c r="B154" s="17" t="inlineStr">
        <is>
          <t>Fees and Commission Income</t>
        </is>
      </c>
      <c r="C154" s="17" t="inlineStr">
        <is>
          <t>Fees and commission income</t>
        </is>
      </c>
      <c r="D154" s="17" t="inlineStr">
        <is>
          <t>FEE_INC</t>
        </is>
      </c>
      <c r="E154" s="121" t="n">
        <v>0</v>
      </c>
      <c r="F154" s="121" t="n">
        <v>0</v>
      </c>
      <c r="G154" s="59" t="str"/>
    </row>
    <row r="155">
      <c r="A155" s="65" t="inlineStr">
        <is>
          <t>32</t>
        </is>
      </c>
      <c r="B155" s="65" t="inlineStr">
        <is>
          <t>Fees and Commission Income</t>
        </is>
      </c>
      <c r="C155" s="65" t="inlineStr">
        <is>
          <t>Total — Fees and Commission Income</t>
        </is>
      </c>
      <c r="D155" s="65" t="inlineStr">
        <is>
          <t>__TOTAL__</t>
        </is>
      </c>
      <c r="E155" s="122">
        <f>SUM(E154:E154)</f>
        <v/>
      </c>
      <c r="F155" s="122">
        <f>SUM(F154:F154)</f>
        <v/>
      </c>
      <c r="G155" s="65" t="str"/>
    </row>
    <row r="156">
      <c r="A156" s="17" t="inlineStr">
        <is>
          <t>33</t>
        </is>
      </c>
      <c r="B156" s="17" t="inlineStr">
        <is>
          <t>Net Gain on Fair Value Changes</t>
        </is>
      </c>
      <c r="C156" s="17" t="inlineStr">
        <is>
          <t>Fair value gain / loss</t>
        </is>
      </c>
      <c r="D156" s="17" t="inlineStr">
        <is>
          <t>FV_GAIN</t>
        </is>
      </c>
      <c r="E156" s="121" t="n">
        <v>0</v>
      </c>
      <c r="F156" s="121" t="n">
        <v>0</v>
      </c>
      <c r="G156" s="59" t="str"/>
    </row>
    <row r="157">
      <c r="A157" s="65" t="inlineStr">
        <is>
          <t>33</t>
        </is>
      </c>
      <c r="B157" s="65" t="inlineStr">
        <is>
          <t>Net Gain on Fair Value Changes</t>
        </is>
      </c>
      <c r="C157" s="65" t="inlineStr">
        <is>
          <t>Total — Net Gain on Fair Value Changes</t>
        </is>
      </c>
      <c r="D157" s="65" t="inlineStr">
        <is>
          <t>__TOTAL__</t>
        </is>
      </c>
      <c r="E157" s="122">
        <f>SUM(E156:E156)</f>
        <v/>
      </c>
      <c r="F157" s="122">
        <f>SUM(F156:F156)</f>
        <v/>
      </c>
      <c r="G157" s="65" t="str"/>
    </row>
    <row r="158">
      <c r="A158" s="17" t="inlineStr">
        <is>
          <t>34</t>
        </is>
      </c>
      <c r="B158" s="17" t="inlineStr">
        <is>
          <t>Net Gain on Derecognition</t>
        </is>
      </c>
      <c r="C158" s="17" t="inlineStr">
        <is>
          <t>Derecognition gain / loss</t>
        </is>
      </c>
      <c r="D158" s="17" t="inlineStr">
        <is>
          <t>DEREC_GAIN</t>
        </is>
      </c>
      <c r="E158" s="121" t="n">
        <v>0</v>
      </c>
      <c r="F158" s="121" t="n">
        <v>0</v>
      </c>
      <c r="G158" s="59" t="str"/>
    </row>
    <row r="159">
      <c r="A159" s="65" t="inlineStr">
        <is>
          <t>34</t>
        </is>
      </c>
      <c r="B159" s="65" t="inlineStr">
        <is>
          <t>Net Gain on Derecognition</t>
        </is>
      </c>
      <c r="C159" s="65" t="inlineStr">
        <is>
          <t>Total — Net Gain on Derecognition</t>
        </is>
      </c>
      <c r="D159" s="65" t="inlineStr">
        <is>
          <t>__TOTAL__</t>
        </is>
      </c>
      <c r="E159" s="122">
        <f>SUM(E158:E158)</f>
        <v/>
      </c>
      <c r="F159" s="122">
        <f>SUM(F158:F158)</f>
        <v/>
      </c>
      <c r="G159" s="65" t="str"/>
    </row>
    <row r="160">
      <c r="A160" s="17" t="inlineStr">
        <is>
          <t>35</t>
        </is>
      </c>
      <c r="B160" s="17" t="inlineStr">
        <is>
          <t>Sale of Products</t>
        </is>
      </c>
      <c r="C160" s="17" t="inlineStr">
        <is>
          <t>Sale of products</t>
        </is>
      </c>
      <c r="D160" s="17" t="inlineStr">
        <is>
          <t>SALE_PROD</t>
        </is>
      </c>
      <c r="E160" s="121" t="n">
        <v>0</v>
      </c>
      <c r="F160" s="121" t="n">
        <v>0</v>
      </c>
      <c r="G160" s="59" t="str"/>
    </row>
    <row r="161">
      <c r="A161" s="65" t="inlineStr">
        <is>
          <t>35</t>
        </is>
      </c>
      <c r="B161" s="65" t="inlineStr">
        <is>
          <t>Sale of Products</t>
        </is>
      </c>
      <c r="C161" s="65" t="inlineStr">
        <is>
          <t>Total — Sale of Products</t>
        </is>
      </c>
      <c r="D161" s="65" t="inlineStr">
        <is>
          <t>__TOTAL__</t>
        </is>
      </c>
      <c r="E161" s="122">
        <f>SUM(E160:E160)</f>
        <v/>
      </c>
      <c r="F161" s="122">
        <f>SUM(F160:F160)</f>
        <v/>
      </c>
      <c r="G161" s="65" t="str"/>
    </row>
    <row r="162">
      <c r="A162" s="17" t="inlineStr">
        <is>
          <t>36</t>
        </is>
      </c>
      <c r="B162" s="17" t="inlineStr">
        <is>
          <t>Sale of Services</t>
        </is>
      </c>
      <c r="C162" s="17" t="inlineStr">
        <is>
          <t>Sale of services</t>
        </is>
      </c>
      <c r="D162" s="17" t="inlineStr">
        <is>
          <t>SALE_SERV</t>
        </is>
      </c>
      <c r="E162" s="121" t="n">
        <v>0</v>
      </c>
      <c r="F162" s="121" t="n">
        <v>0</v>
      </c>
      <c r="G162" s="59" t="str"/>
    </row>
    <row r="163">
      <c r="A163" s="65" t="inlineStr">
        <is>
          <t>36</t>
        </is>
      </c>
      <c r="B163" s="65" t="inlineStr">
        <is>
          <t>Sale of Services</t>
        </is>
      </c>
      <c r="C163" s="65" t="inlineStr">
        <is>
          <t>Total — Sale of Services</t>
        </is>
      </c>
      <c r="D163" s="65" t="inlineStr">
        <is>
          <t>__TOTAL__</t>
        </is>
      </c>
      <c r="E163" s="122">
        <f>SUM(E162:E162)</f>
        <v/>
      </c>
      <c r="F163" s="122">
        <f>SUM(F162:F162)</f>
        <v/>
      </c>
      <c r="G163" s="65" t="str"/>
    </row>
    <row r="164">
      <c r="A164" s="17" t="inlineStr">
        <is>
          <t>37</t>
        </is>
      </c>
      <c r="B164" s="17" t="inlineStr">
        <is>
          <t>Other Income</t>
        </is>
      </c>
      <c r="C164" s="17" t="inlineStr">
        <is>
          <t>Other income</t>
        </is>
      </c>
      <c r="D164" s="17" t="inlineStr">
        <is>
          <t>OI</t>
        </is>
      </c>
      <c r="E164" s="121" t="n">
        <v>0</v>
      </c>
      <c r="F164" s="121" t="n">
        <v>0</v>
      </c>
      <c r="G164" s="59" t="str"/>
    </row>
    <row r="165">
      <c r="A165" s="65" t="inlineStr">
        <is>
          <t>37</t>
        </is>
      </c>
      <c r="B165" s="65" t="inlineStr">
        <is>
          <t>Other Income</t>
        </is>
      </c>
      <c r="C165" s="65" t="inlineStr">
        <is>
          <t>Total — Other Income</t>
        </is>
      </c>
      <c r="D165" s="65" t="inlineStr">
        <is>
          <t>__TOTAL__</t>
        </is>
      </c>
      <c r="E165" s="122">
        <f>SUM(E164:E164)</f>
        <v/>
      </c>
      <c r="F165" s="122">
        <f>SUM(F164:F164)</f>
        <v/>
      </c>
      <c r="G165" s="65" t="str"/>
    </row>
    <row r="166">
      <c r="A166" s="17" t="inlineStr">
        <is>
          <t>38</t>
        </is>
      </c>
      <c r="B166" s="17" t="inlineStr">
        <is>
          <t>Finance Costs</t>
        </is>
      </c>
      <c r="C166" s="17" t="inlineStr">
        <is>
          <t>Finance costs</t>
        </is>
      </c>
      <c r="D166" s="17" t="inlineStr">
        <is>
          <t>FIN</t>
        </is>
      </c>
      <c r="E166" s="121" t="n">
        <v>0</v>
      </c>
      <c r="F166" s="121" t="n">
        <v>0</v>
      </c>
      <c r="G166" s="59" t="str"/>
    </row>
    <row r="167">
      <c r="A167" s="65" t="inlineStr">
        <is>
          <t>38</t>
        </is>
      </c>
      <c r="B167" s="65" t="inlineStr">
        <is>
          <t>Finance Costs</t>
        </is>
      </c>
      <c r="C167" s="65" t="inlineStr">
        <is>
          <t>Total — Finance Costs</t>
        </is>
      </c>
      <c r="D167" s="65" t="inlineStr">
        <is>
          <t>__TOTAL__</t>
        </is>
      </c>
      <c r="E167" s="122">
        <f>SUM(E166:E166)</f>
        <v/>
      </c>
      <c r="F167" s="122">
        <f>SUM(F166:F166)</f>
        <v/>
      </c>
      <c r="G167" s="65" t="str"/>
    </row>
    <row r="168">
      <c r="A168" s="17" t="inlineStr">
        <is>
          <t>39</t>
        </is>
      </c>
      <c r="B168" s="17" t="inlineStr">
        <is>
          <t>Fees and Commission Expense</t>
        </is>
      </c>
      <c r="C168" s="17" t="inlineStr">
        <is>
          <t>Fees and commission expense</t>
        </is>
      </c>
      <c r="D168" s="17" t="inlineStr">
        <is>
          <t>FEE_EXP</t>
        </is>
      </c>
      <c r="E168" s="121" t="n">
        <v>0</v>
      </c>
      <c r="F168" s="121" t="n">
        <v>0</v>
      </c>
      <c r="G168" s="59" t="str"/>
    </row>
    <row r="169">
      <c r="A169" s="65" t="inlineStr">
        <is>
          <t>39</t>
        </is>
      </c>
      <c r="B169" s="65" t="inlineStr">
        <is>
          <t>Fees and Commission Expense</t>
        </is>
      </c>
      <c r="C169" s="65" t="inlineStr">
        <is>
          <t>Total — Fees and Commission Expense</t>
        </is>
      </c>
      <c r="D169" s="65" t="inlineStr">
        <is>
          <t>__TOTAL__</t>
        </is>
      </c>
      <c r="E169" s="122">
        <f>SUM(E168:E168)</f>
        <v/>
      </c>
      <c r="F169" s="122">
        <f>SUM(F168:F168)</f>
        <v/>
      </c>
      <c r="G169" s="65" t="str"/>
    </row>
    <row r="170">
      <c r="A170" s="17" t="inlineStr">
        <is>
          <t>40</t>
        </is>
      </c>
      <c r="B170" s="17" t="inlineStr">
        <is>
          <t>Impairment on Financial Instruments</t>
        </is>
      </c>
      <c r="C170" s="17" t="inlineStr">
        <is>
          <t>Impairment / ECL</t>
        </is>
      </c>
      <c r="D170" s="17" t="inlineStr">
        <is>
          <t>ECL_EXP</t>
        </is>
      </c>
      <c r="E170" s="121" t="n">
        <v>0</v>
      </c>
      <c r="F170" s="121" t="n">
        <v>0</v>
      </c>
      <c r="G170" s="59" t="str"/>
    </row>
    <row r="171">
      <c r="A171" s="65" t="inlineStr">
        <is>
          <t>40</t>
        </is>
      </c>
      <c r="B171" s="65" t="inlineStr">
        <is>
          <t>Impairment on Financial Instruments</t>
        </is>
      </c>
      <c r="C171" s="65" t="inlineStr">
        <is>
          <t>Total — Impairment on Financial Instruments</t>
        </is>
      </c>
      <c r="D171" s="65" t="inlineStr">
        <is>
          <t>__TOTAL__</t>
        </is>
      </c>
      <c r="E171" s="122">
        <f>SUM(E170:E170)</f>
        <v/>
      </c>
      <c r="F171" s="122">
        <f>SUM(F170:F170)</f>
        <v/>
      </c>
      <c r="G171" s="65" t="str"/>
    </row>
    <row r="172">
      <c r="A172" s="17" t="inlineStr">
        <is>
          <t>41</t>
        </is>
      </c>
      <c r="B172" s="17" t="inlineStr">
        <is>
          <t>Employee Benefits Expense</t>
        </is>
      </c>
      <c r="C172" s="17" t="inlineStr">
        <is>
          <t>Employee benefits</t>
        </is>
      </c>
      <c r="D172" s="17" t="inlineStr">
        <is>
          <t>EMP</t>
        </is>
      </c>
      <c r="E172" s="121" t="n">
        <v>0</v>
      </c>
      <c r="F172" s="121" t="n">
        <v>0</v>
      </c>
      <c r="G172" s="59" t="str"/>
    </row>
    <row r="173">
      <c r="A173" s="65" t="inlineStr">
        <is>
          <t>41</t>
        </is>
      </c>
      <c r="B173" s="65" t="inlineStr">
        <is>
          <t>Employee Benefits Expense</t>
        </is>
      </c>
      <c r="C173" s="65" t="inlineStr">
        <is>
          <t>Total — Employee Benefits Expense</t>
        </is>
      </c>
      <c r="D173" s="65" t="inlineStr">
        <is>
          <t>__TOTAL__</t>
        </is>
      </c>
      <c r="E173" s="122">
        <f>SUM(E172:E172)</f>
        <v/>
      </c>
      <c r="F173" s="122">
        <f>SUM(F172:F172)</f>
        <v/>
      </c>
      <c r="G173" s="65" t="str"/>
    </row>
    <row r="174">
      <c r="A174" s="17" t="inlineStr">
        <is>
          <t>42</t>
        </is>
      </c>
      <c r="B174" s="17" t="inlineStr">
        <is>
          <t>Depreciation / Amortisation / Impairment</t>
        </is>
      </c>
      <c r="C174" s="17" t="inlineStr">
        <is>
          <t>Depreciation / amortisation</t>
        </is>
      </c>
      <c r="D174" s="17" t="inlineStr">
        <is>
          <t>DEPAM</t>
        </is>
      </c>
      <c r="E174" s="121" t="n">
        <v>0</v>
      </c>
      <c r="F174" s="121" t="n">
        <v>0</v>
      </c>
      <c r="G174" s="59" t="str"/>
    </row>
    <row r="175">
      <c r="A175" s="65" t="inlineStr">
        <is>
          <t>42</t>
        </is>
      </c>
      <c r="B175" s="65" t="inlineStr">
        <is>
          <t>Depreciation / Amortisation / Impairment</t>
        </is>
      </c>
      <c r="C175" s="65" t="inlineStr">
        <is>
          <t>Total — Depreciation / Amortisation / Impairment</t>
        </is>
      </c>
      <c r="D175" s="65" t="inlineStr">
        <is>
          <t>__TOTAL__</t>
        </is>
      </c>
      <c r="E175" s="122">
        <f>SUM(E174:E174)</f>
        <v/>
      </c>
      <c r="F175" s="122">
        <f>SUM(F174:F174)</f>
        <v/>
      </c>
      <c r="G175" s="65" t="str"/>
    </row>
    <row r="176">
      <c r="A176" s="17" t="inlineStr">
        <is>
          <t>43</t>
        </is>
      </c>
      <c r="B176" s="17" t="inlineStr">
        <is>
          <t>Other Expenses</t>
        </is>
      </c>
      <c r="C176" s="17" t="inlineStr">
        <is>
          <t>Other expenses</t>
        </is>
      </c>
      <c r="D176" s="17" t="inlineStr">
        <is>
          <t>OE</t>
        </is>
      </c>
      <c r="E176" s="121" t="n">
        <v>0</v>
      </c>
      <c r="F176" s="121" t="n">
        <v>0</v>
      </c>
      <c r="G176" s="59" t="str"/>
    </row>
    <row r="177">
      <c r="A177" s="65" t="inlineStr">
        <is>
          <t>43</t>
        </is>
      </c>
      <c r="B177" s="65" t="inlineStr">
        <is>
          <t>Other Expenses</t>
        </is>
      </c>
      <c r="C177" s="65" t="inlineStr">
        <is>
          <t>Total — Other Expenses</t>
        </is>
      </c>
      <c r="D177" s="65" t="inlineStr">
        <is>
          <t>__TOTAL__</t>
        </is>
      </c>
      <c r="E177" s="122">
        <f>SUM(E176:E176)</f>
        <v/>
      </c>
      <c r="F177" s="122">
        <f>SUM(F176:F176)</f>
        <v/>
      </c>
      <c r="G177" s="65" t="str"/>
    </row>
    <row r="178">
      <c r="A178" s="17" t="inlineStr">
        <is>
          <t>44</t>
        </is>
      </c>
      <c r="B178" s="17" t="inlineStr">
        <is>
          <t>Other Comprehensive Income</t>
        </is>
      </c>
      <c r="C178" s="17" t="inlineStr">
        <is>
          <t>OCI</t>
        </is>
      </c>
      <c r="D178" s="17" t="inlineStr">
        <is>
          <t>OCI</t>
        </is>
      </c>
      <c r="E178" s="121" t="n">
        <v>0</v>
      </c>
      <c r="F178" s="121" t="n">
        <v>0</v>
      </c>
      <c r="G178" s="59" t="str"/>
    </row>
    <row r="179">
      <c r="A179" s="65" t="inlineStr">
        <is>
          <t>44</t>
        </is>
      </c>
      <c r="B179" s="65" t="inlineStr">
        <is>
          <t>Other Comprehensive Income</t>
        </is>
      </c>
      <c r="C179" s="65" t="inlineStr">
        <is>
          <t>Total — Other Comprehensive Income</t>
        </is>
      </c>
      <c r="D179" s="65" t="inlineStr">
        <is>
          <t>__TOTAL__</t>
        </is>
      </c>
      <c r="E179" s="122">
        <f>SUM(E178:E178)</f>
        <v/>
      </c>
      <c r="F179" s="122">
        <f>SUM(F178:F178)</f>
        <v/>
      </c>
      <c r="G179" s="65" t="str"/>
    </row>
    <row r="180">
      <c r="A180" s="17" t="inlineStr">
        <is>
          <t>45</t>
        </is>
      </c>
      <c r="B180" s="17" t="inlineStr">
        <is>
          <t>RBI / Schedule III Additional Disclosures</t>
        </is>
      </c>
      <c r="C180" s="17" t="inlineStr">
        <is>
          <t>RBI disclosures</t>
        </is>
      </c>
      <c r="D180" s="17" t="inlineStr">
        <is>
          <t>RBI_ALL</t>
        </is>
      </c>
      <c r="E180" s="121" t="n">
        <v>0</v>
      </c>
      <c r="F180" s="121" t="n">
        <v>0</v>
      </c>
      <c r="G180" s="59" t="str"/>
    </row>
    <row r="181">
      <c r="A181" s="65" t="inlineStr">
        <is>
          <t>45</t>
        </is>
      </c>
      <c r="B181" s="65" t="inlineStr">
        <is>
          <t>RBI / Schedule III Additional Disclosures</t>
        </is>
      </c>
      <c r="C181" s="65" t="inlineStr">
        <is>
          <t>Total — RBI / Schedule III Additional Disclosures</t>
        </is>
      </c>
      <c r="D181" s="65" t="inlineStr">
        <is>
          <t>__TOTAL__</t>
        </is>
      </c>
      <c r="E181" s="122">
        <f>SUM(E180:E180)</f>
        <v/>
      </c>
      <c r="F181" s="122">
        <f>SUM(F180:F180)</f>
        <v/>
      </c>
      <c r="G181" s="65" t="str"/>
    </row>
    <row r="182">
      <c r="A182" s="17" t="n"/>
      <c r="B182" s="17" t="n"/>
      <c r="C182" s="17" t="n"/>
      <c r="D182" s="17" t="n"/>
      <c r="E182" s="17" t="n"/>
      <c r="F182" s="17" t="n"/>
      <c r="G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</row>
    <row r="184" ht="26" customHeight="1" s="82">
      <c r="A184" s="79" t="inlineStr">
        <is>
          <t>Cash Flow Statement</t>
        </is>
      </c>
      <c r="B184" s="1" t="n"/>
      <c r="C184" s="1" t="n"/>
      <c r="D184" s="1" t="n"/>
      <c r="E184" s="1" t="n"/>
      <c r="F184" s="1" t="n"/>
      <c r="G184" s="1" t="n"/>
    </row>
    <row r="185">
      <c r="A185" s="14" t="inlineStr">
        <is>
          <t>Line Item</t>
        </is>
      </c>
      <c r="B185" s="14" t="inlineStr">
        <is>
          <t>AAH Mapping Key</t>
        </is>
      </c>
      <c r="C185" s="14" t="inlineStr">
        <is>
          <t>Current Period</t>
        </is>
      </c>
      <c r="D185" s="14" t="inlineStr">
        <is>
          <t>Previous Period</t>
        </is>
      </c>
      <c r="E185" s="14" t="inlineStr">
        <is>
          <t>Calculation / Rule</t>
        </is>
      </c>
      <c r="F185" s="14" t="inlineStr">
        <is>
          <t>Status</t>
        </is>
      </c>
      <c r="G185" s="14" t="inlineStr">
        <is>
          <t>Remarks</t>
        </is>
      </c>
    </row>
    <row r="186">
      <c r="A186" s="17" t="inlineStr">
        <is>
          <t>Profit before tax / operating surplus</t>
        </is>
      </c>
      <c r="B186" s="17" t="inlineStr">
        <is>
          <t>CFS_PBT</t>
        </is>
      </c>
      <c r="C186" s="121" t="n">
        <v>0</v>
      </c>
      <c r="D186" s="121" t="n">
        <v>0</v>
      </c>
      <c r="E186" s="17" t="inlineStr">
        <is>
          <t>To be populated/calculated by AAH mapping engine</t>
        </is>
      </c>
      <c r="F186" s="17" t="str"/>
      <c r="G186" s="80" t="str"/>
    </row>
    <row r="187">
      <c r="A187" s="17" t="inlineStr">
        <is>
          <t>Non-cash adjustments</t>
        </is>
      </c>
      <c r="B187" s="17" t="inlineStr">
        <is>
          <t>CFS_ADJ</t>
        </is>
      </c>
      <c r="C187" s="121" t="n">
        <v>0</v>
      </c>
      <c r="D187" s="121" t="n">
        <v>0</v>
      </c>
      <c r="E187" s="17" t="inlineStr">
        <is>
          <t>To be populated/calculated by AAH mapping engine</t>
        </is>
      </c>
      <c r="F187" s="17" t="str"/>
      <c r="G187" s="80" t="str"/>
    </row>
    <row r="188">
      <c r="A188" s="17" t="inlineStr">
        <is>
          <t>Working capital changes</t>
        </is>
      </c>
      <c r="B188" s="17" t="inlineStr">
        <is>
          <t>CFS_WC</t>
        </is>
      </c>
      <c r="C188" s="121" t="n">
        <v>0</v>
      </c>
      <c r="D188" s="121" t="n">
        <v>0</v>
      </c>
      <c r="E188" s="17" t="inlineStr">
        <is>
          <t>To be populated/calculated by AAH mapping engine</t>
        </is>
      </c>
      <c r="F188" s="17" t="str"/>
      <c r="G188" s="80" t="str"/>
    </row>
    <row r="189">
      <c r="A189" s="17" t="inlineStr">
        <is>
          <t>Taxes paid</t>
        </is>
      </c>
      <c r="B189" s="17" t="inlineStr">
        <is>
          <t>CFS_TAX</t>
        </is>
      </c>
      <c r="C189" s="121" t="n">
        <v>0</v>
      </c>
      <c r="D189" s="121" t="n">
        <v>0</v>
      </c>
      <c r="E189" s="17" t="inlineStr">
        <is>
          <t>To be populated/calculated by AAH mapping engine</t>
        </is>
      </c>
      <c r="F189" s="17" t="str"/>
      <c r="G189" s="80" t="str"/>
    </row>
    <row r="190">
      <c r="A190" s="17" t="inlineStr">
        <is>
          <t>Net cash from operating activities</t>
        </is>
      </c>
      <c r="B190" s="17" t="inlineStr">
        <is>
          <t>CFS_CFO</t>
        </is>
      </c>
      <c r="C190" s="121" t="n">
        <v>0</v>
      </c>
      <c r="D190" s="121" t="n">
        <v>0</v>
      </c>
      <c r="E190" s="17" t="inlineStr">
        <is>
          <t>To be populated/calculated by AAH mapping engine</t>
        </is>
      </c>
      <c r="F190" s="17" t="str"/>
      <c r="G190" s="80" t="str"/>
    </row>
    <row r="191">
      <c r="A191" s="17" t="inlineStr">
        <is>
          <t>Net cash from investing activities</t>
        </is>
      </c>
      <c r="B191" s="17" t="inlineStr">
        <is>
          <t>CFS_CFI</t>
        </is>
      </c>
      <c r="C191" s="121" t="n">
        <v>0</v>
      </c>
      <c r="D191" s="121" t="n">
        <v>0</v>
      </c>
      <c r="E191" s="17" t="inlineStr">
        <is>
          <t>To be populated/calculated by AAH mapping engine</t>
        </is>
      </c>
      <c r="F191" s="17" t="str"/>
      <c r="G191" s="80" t="str"/>
    </row>
    <row r="192">
      <c r="A192" s="17" t="inlineStr">
        <is>
          <t>Net cash from financing activities</t>
        </is>
      </c>
      <c r="B192" s="17" t="inlineStr">
        <is>
          <t>CFS_CFF</t>
        </is>
      </c>
      <c r="C192" s="121" t="n">
        <v>0</v>
      </c>
      <c r="D192" s="121" t="n">
        <v>0</v>
      </c>
      <c r="E192" s="17" t="inlineStr">
        <is>
          <t>To be populated/calculated by AAH mapping engine</t>
        </is>
      </c>
      <c r="F192" s="17" t="str"/>
      <c r="G192" s="80" t="str"/>
    </row>
    <row r="193">
      <c r="A193" s="17" t="inlineStr">
        <is>
          <t>Net increase / (decrease) in cash</t>
        </is>
      </c>
      <c r="B193" s="17" t="inlineStr">
        <is>
          <t>CFS_NET</t>
        </is>
      </c>
      <c r="C193" s="121" t="n">
        <v>0</v>
      </c>
      <c r="D193" s="121" t="n">
        <v>0</v>
      </c>
      <c r="E193" s="17" t="inlineStr">
        <is>
          <t>To be populated/calculated by AAH mapping engine</t>
        </is>
      </c>
      <c r="F193" s="17" t="str"/>
      <c r="G193" s="80" t="str"/>
    </row>
    <row r="194">
      <c r="A194" s="17" t="inlineStr">
        <is>
          <t>Opening cash and cash equivalents</t>
        </is>
      </c>
      <c r="B194" s="17" t="inlineStr">
        <is>
          <t>CFS_OPEN</t>
        </is>
      </c>
      <c r="C194" s="121" t="n">
        <v>0</v>
      </c>
      <c r="D194" s="121" t="n">
        <v>0</v>
      </c>
      <c r="E194" s="17" t="inlineStr">
        <is>
          <t>To be populated/calculated by AAH mapping engine</t>
        </is>
      </c>
      <c r="F194" s="17" t="str"/>
      <c r="G194" s="80" t="str"/>
    </row>
    <row r="195">
      <c r="A195" s="17" t="inlineStr">
        <is>
          <t>Closing cash and cash equivalents</t>
        </is>
      </c>
      <c r="B195" s="17" t="inlineStr">
        <is>
          <t>CFS_CLOSE</t>
        </is>
      </c>
      <c r="C195" s="121" t="n">
        <v>0</v>
      </c>
      <c r="D195" s="121" t="n">
        <v>0</v>
      </c>
      <c r="E195" s="17" t="inlineStr">
        <is>
          <t>To be populated/calculated by AAH mapping engine</t>
        </is>
      </c>
      <c r="F195" s="17" t="str"/>
      <c r="G195" s="80" t="str"/>
    </row>
    <row r="196">
      <c r="A196" s="17" t="n"/>
      <c r="B196" s="17" t="n"/>
      <c r="C196" s="17" t="n"/>
      <c r="D196" s="17" t="n"/>
      <c r="E196" s="17" t="n"/>
      <c r="F196" s="17" t="n"/>
      <c r="G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</row>
    <row r="198" ht="26" customHeight="1" s="82">
      <c r="A198" s="79" t="inlineStr">
        <is>
          <t>Statement of Changes in Equity / Unitholders' Equity</t>
        </is>
      </c>
      <c r="B198" s="1" t="n"/>
      <c r="C198" s="1" t="n"/>
      <c r="D198" s="1" t="n"/>
      <c r="E198" s="1" t="n"/>
      <c r="F198" s="1" t="n"/>
      <c r="G198" s="1" t="n"/>
    </row>
    <row r="199">
      <c r="A199" s="14" t="inlineStr">
        <is>
          <t>Line Item</t>
        </is>
      </c>
      <c r="B199" s="14" t="inlineStr">
        <is>
          <t>AAH Mapping Key</t>
        </is>
      </c>
      <c r="C199" s="14" t="inlineStr">
        <is>
          <t>Current Period</t>
        </is>
      </c>
      <c r="D199" s="14" t="inlineStr">
        <is>
          <t>Previous Period</t>
        </is>
      </c>
      <c r="E199" s="14" t="inlineStr">
        <is>
          <t>Calculation / Rule</t>
        </is>
      </c>
      <c r="F199" s="14" t="inlineStr">
        <is>
          <t>Status</t>
        </is>
      </c>
      <c r="G199" s="14" t="inlineStr">
        <is>
          <t>Remarks</t>
        </is>
      </c>
    </row>
    <row r="200">
      <c r="A200" s="17" t="inlineStr">
        <is>
          <t>Opening equity / unit capital</t>
        </is>
      </c>
      <c r="B200" s="17" t="inlineStr">
        <is>
          <t>SOE_OPEN</t>
        </is>
      </c>
      <c r="C200" s="121" t="n">
        <v>0</v>
      </c>
      <c r="D200" s="121" t="n">
        <v>0</v>
      </c>
      <c r="E200" s="17" t="inlineStr">
        <is>
          <t>To be populated/calculated by AAH mapping engine</t>
        </is>
      </c>
      <c r="F200" s="17" t="str"/>
      <c r="G200" s="80" t="str"/>
    </row>
    <row r="201">
      <c r="A201" s="17" t="inlineStr">
        <is>
          <t>Changes in capital / units</t>
        </is>
      </c>
      <c r="B201" s="17" t="inlineStr">
        <is>
          <t>SOE_CAPCHG</t>
        </is>
      </c>
      <c r="C201" s="121" t="n">
        <v>0</v>
      </c>
      <c r="D201" s="121" t="n">
        <v>0</v>
      </c>
      <c r="E201" s="17" t="inlineStr">
        <is>
          <t>To be populated/calculated by AAH mapping engine</t>
        </is>
      </c>
      <c r="F201" s="17" t="str"/>
      <c r="G201" s="80" t="str"/>
    </row>
    <row r="202">
      <c r="A202" s="17" t="inlineStr">
        <is>
          <t>Profit / loss for period</t>
        </is>
      </c>
      <c r="B202" s="17" t="inlineStr">
        <is>
          <t>SOE_PL</t>
        </is>
      </c>
      <c r="C202" s="121" t="n">
        <v>0</v>
      </c>
      <c r="D202" s="121" t="n">
        <v>0</v>
      </c>
      <c r="E202" s="17" t="inlineStr">
        <is>
          <t>To be populated/calculated by AAH mapping engine</t>
        </is>
      </c>
      <c r="F202" s="17" t="str"/>
      <c r="G202" s="80" t="str"/>
    </row>
    <row r="203">
      <c r="A203" s="17" t="inlineStr">
        <is>
          <t>Other comprehensive income / fair value movement</t>
        </is>
      </c>
      <c r="B203" s="17" t="inlineStr">
        <is>
          <t>SOE_OCI</t>
        </is>
      </c>
      <c r="C203" s="121" t="n">
        <v>0</v>
      </c>
      <c r="D203" s="121" t="n">
        <v>0</v>
      </c>
      <c r="E203" s="17" t="inlineStr">
        <is>
          <t>To be populated/calculated by AAH mapping engine</t>
        </is>
      </c>
      <c r="F203" s="17" t="str"/>
      <c r="G203" s="80" t="str"/>
    </row>
    <row r="204">
      <c r="A204" s="17" t="inlineStr">
        <is>
          <t>Distributions / drawings</t>
        </is>
      </c>
      <c r="B204" s="17" t="inlineStr">
        <is>
          <t>SOE_DIST</t>
        </is>
      </c>
      <c r="C204" s="121" t="n">
        <v>0</v>
      </c>
      <c r="D204" s="121" t="n">
        <v>0</v>
      </c>
      <c r="E204" s="17" t="inlineStr">
        <is>
          <t>To be populated/calculated by AAH mapping engine</t>
        </is>
      </c>
      <c r="F204" s="17" t="str"/>
      <c r="G204" s="80" t="str"/>
    </row>
    <row r="205">
      <c r="A205" s="17" t="inlineStr">
        <is>
          <t>Other movements</t>
        </is>
      </c>
      <c r="B205" s="17" t="inlineStr">
        <is>
          <t>SOE_OTHER</t>
        </is>
      </c>
      <c r="C205" s="121" t="n">
        <v>0</v>
      </c>
      <c r="D205" s="121" t="n">
        <v>0</v>
      </c>
      <c r="E205" s="17" t="inlineStr">
        <is>
          <t>To be populated/calculated by AAH mapping engine</t>
        </is>
      </c>
      <c r="F205" s="17" t="str"/>
      <c r="G205" s="80" t="str"/>
    </row>
    <row r="206">
      <c r="A206" s="17" t="inlineStr">
        <is>
          <t>Closing equity / unit capital</t>
        </is>
      </c>
      <c r="B206" s="17" t="inlineStr">
        <is>
          <t>SOE_CLOSE</t>
        </is>
      </c>
      <c r="C206" s="121" t="n">
        <v>0</v>
      </c>
      <c r="D206" s="121" t="n">
        <v>0</v>
      </c>
      <c r="E206" s="17" t="inlineStr">
        <is>
          <t>To be populated/calculated by AAH mapping engine</t>
        </is>
      </c>
      <c r="F206" s="17" t="str"/>
      <c r="G206" s="80" t="str"/>
    </row>
    <row r="207">
      <c r="A207" s="17" t="n"/>
      <c r="B207" s="17" t="n"/>
      <c r="C207" s="17" t="n"/>
      <c r="D207" s="17" t="n"/>
      <c r="E207" s="17" t="n"/>
      <c r="F207" s="17" t="n"/>
      <c r="G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</row>
    <row r="209" ht="26" customHeight="1" s="82">
      <c r="A209" s="79" t="inlineStr">
        <is>
          <t>Validation</t>
        </is>
      </c>
      <c r="B209" s="1" t="n"/>
      <c r="C209" s="1" t="n"/>
      <c r="D209" s="1" t="n"/>
      <c r="E209" s="17" t="n"/>
      <c r="F209" s="17" t="n"/>
      <c r="G209" s="17" t="n"/>
    </row>
    <row r="210">
      <c r="A210" s="14" t="inlineStr">
        <is>
          <t>Check</t>
        </is>
      </c>
      <c r="B210" s="14" t="inlineStr">
        <is>
          <t>Current Period</t>
        </is>
      </c>
      <c r="C210" s="14" t="inlineStr">
        <is>
          <t>Previous Period</t>
        </is>
      </c>
      <c r="D210" s="14" t="inlineStr">
        <is>
          <t>Result</t>
        </is>
      </c>
      <c r="E210" s="17" t="n"/>
      <c r="F210" s="17" t="n"/>
      <c r="G210" s="17" t="n"/>
    </row>
    <row r="211">
      <c r="A211" s="17" t="inlineStr">
        <is>
          <t>Balance Sheet difference</t>
        </is>
      </c>
      <c r="B211" s="17">
        <f>C29-C47</f>
        <v/>
      </c>
      <c r="C211" s="17">
        <f>D29-D47</f>
        <v/>
      </c>
      <c r="D211" s="17">
        <f>IF(AND(ABS(B211)&lt;1,ABS(C211)&lt;1),"PASS","CHECK")</f>
        <v/>
      </c>
      <c r="E211" s="17" t="n"/>
      <c r="F211" s="17" t="n"/>
      <c r="G211" s="17" t="n"/>
    </row>
    <row r="212">
      <c r="A212" s="17" t="inlineStr">
        <is>
          <t>Notes / disclosures</t>
        </is>
      </c>
      <c r="B212" s="17" t="inlineStr">
        <is>
          <t>Review</t>
        </is>
      </c>
      <c r="C212" s="17" t="inlineStr">
        <is>
          <t>Review</t>
        </is>
      </c>
      <c r="D212" s="17" t="inlineStr">
        <is>
          <t>Review</t>
        </is>
      </c>
      <c r="E212" s="17" t="n"/>
      <c r="F212" s="17" t="n"/>
      <c r="G212" s="17" t="n"/>
    </row>
    <row r="213">
      <c r="A213" s="17" t="inlineStr">
        <is>
          <t>Profile readiness</t>
        </is>
      </c>
      <c r="B213" s="17" t="str"/>
      <c r="C213" s="17" t="str"/>
      <c r="D213" s="17">
        <f>IF(D211="PASS","READY FOR REVIEW","NOT READY")</f>
        <v/>
      </c>
      <c r="E213" s="17" t="n"/>
      <c r="F213" s="17" t="n"/>
      <c r="G213" s="17" t="n"/>
    </row>
    <row r="214"/>
    <row r="215"/>
    <row r="216"/>
    <row r="217">
      <c r="A217" s="101" t="inlineStr">
        <is>
          <t>Signatures / Certification</t>
        </is>
      </c>
      <c r="B217" s="101" t="str"/>
      <c r="C217" s="101" t="str"/>
      <c r="D217" s="101" t="str"/>
      <c r="E217" s="101" t="str"/>
      <c r="F217" s="101" t="str"/>
    </row>
    <row r="218">
      <c r="A218" s="112" t="inlineStr">
        <is>
          <t>Entity Signatory</t>
        </is>
      </c>
      <c r="B218" s="104">
        <f>'AAH Basic Info'!B13</f>
        <v/>
      </c>
      <c r="C218" s="115" t="inlineStr">
        <is>
          <t>Designation</t>
        </is>
      </c>
      <c r="D218" s="104">
        <f>'AAH Basic Info'!B14</f>
        <v/>
      </c>
      <c r="E218" s="115" t="inlineStr">
        <is>
          <t>DIN</t>
        </is>
      </c>
      <c r="F218" s="105">
        <f>'AAH Basic Info'!B15</f>
        <v/>
      </c>
    </row>
    <row r="219">
      <c r="A219" s="113" t="inlineStr">
        <is>
          <t>Signing Date</t>
        </is>
      </c>
      <c r="B219" s="107">
        <f>'AAH Basic Info'!B16</f>
        <v/>
      </c>
      <c r="C219" s="116" t="inlineStr">
        <is>
          <t>Place</t>
        </is>
      </c>
      <c r="D219" s="107">
        <f>'AAH Basic Info'!B17</f>
        <v/>
      </c>
      <c r="E219" s="116" t="str"/>
      <c r="F219" s="108" t="str"/>
    </row>
    <row r="220">
      <c r="A220" s="113" t="inlineStr">
        <is>
          <t>Audit Firm</t>
        </is>
      </c>
      <c r="B220" s="107">
        <f>'AAH Basic Info'!B18</f>
        <v/>
      </c>
      <c r="C220" s="116" t="inlineStr">
        <is>
          <t>FRN</t>
        </is>
      </c>
      <c r="D220" s="107">
        <f>'AAH Basic Info'!B19</f>
        <v/>
      </c>
      <c r="E220" s="116" t="str"/>
      <c r="F220" s="108" t="str"/>
    </row>
    <row r="221">
      <c r="A221" s="113" t="inlineStr">
        <is>
          <t>Signing CA</t>
        </is>
      </c>
      <c r="B221" s="107">
        <f>'AAH Basic Info'!B20</f>
        <v/>
      </c>
      <c r="C221" s="116" t="inlineStr">
        <is>
          <t>Designation</t>
        </is>
      </c>
      <c r="D221" s="107">
        <f>'AAH Basic Info'!B21</f>
        <v/>
      </c>
      <c r="E221" s="116" t="inlineStr">
        <is>
          <t>Membership No.</t>
        </is>
      </c>
      <c r="F221" s="108">
        <f>'AAH Basic Info'!B22</f>
        <v/>
      </c>
    </row>
    <row r="222">
      <c r="A222" s="114" t="inlineStr">
        <is>
          <t>Audit Place</t>
        </is>
      </c>
      <c r="B222" s="110">
        <f>'AAH Basic Info'!B23</f>
        <v/>
      </c>
      <c r="C222" s="117" t="inlineStr">
        <is>
          <t>Signing Date</t>
        </is>
      </c>
      <c r="D222" s="110">
        <f>'AAH Basic Info'!B30</f>
        <v/>
      </c>
      <c r="E222" s="117" t="str"/>
      <c r="F222" s="111" t="str"/>
    </row>
  </sheetData>
  <mergeCells count="8">
    <mergeCell ref="A198:G198"/>
    <mergeCell ref="A1:G1"/>
    <mergeCell ref="A6:D6"/>
    <mergeCell ref="A79:G79"/>
    <mergeCell ref="A50:D50"/>
    <mergeCell ref="A184:G184"/>
    <mergeCell ref="A209:D209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Non-Corporate Entity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ICAI | Official source: https://www.icai.org/post/guidance-notes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OWNERS' FUNDS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61" t="inlineStr">
        <is>
          <t>Owners' Funds</t>
        </is>
      </c>
      <c r="B9" s="61" t="str"/>
      <c r="C9" s="119" t="n"/>
      <c r="D9" s="119" t="n"/>
      <c r="E9" s="17" t="n"/>
      <c r="F9" s="17" t="n"/>
      <c r="G9" s="17" t="n"/>
    </row>
    <row r="10">
      <c r="A10" s="17" t="inlineStr">
        <is>
          <t>Owners' / Partners' Capital Account</t>
        </is>
      </c>
      <c r="B10" s="17" t="inlineStr">
        <is>
          <t>3a</t>
        </is>
      </c>
      <c r="C10" s="120">
        <f>E76</f>
        <v/>
      </c>
      <c r="D10" s="120">
        <f>F76</f>
        <v/>
      </c>
      <c r="E10" s="17" t="n"/>
      <c r="F10" s="17" t="n"/>
      <c r="G10" s="17" t="n"/>
    </row>
    <row r="11">
      <c r="A11" s="17" t="inlineStr">
        <is>
          <t>Owners' / Partners' Current Account</t>
        </is>
      </c>
      <c r="B11" s="17" t="inlineStr">
        <is>
          <t>3b</t>
        </is>
      </c>
      <c r="C11" s="120">
        <f>E81</f>
        <v/>
      </c>
      <c r="D11" s="120">
        <f>F81</f>
        <v/>
      </c>
      <c r="E11" s="17" t="n"/>
      <c r="F11" s="17" t="n"/>
      <c r="G11" s="17" t="n"/>
    </row>
    <row r="12">
      <c r="A12" s="17" t="inlineStr">
        <is>
          <t>Reserves and Surplus</t>
        </is>
      </c>
      <c r="B12" s="17" t="inlineStr">
        <is>
          <t>4</t>
        </is>
      </c>
      <c r="C12" s="120">
        <f>E86</f>
        <v/>
      </c>
      <c r="D12" s="120">
        <f>F86</f>
        <v/>
      </c>
      <c r="E12" s="17" t="n"/>
      <c r="F12" s="17" t="n"/>
      <c r="G12" s="17" t="n"/>
    </row>
    <row r="13">
      <c r="A13" s="61" t="inlineStr">
        <is>
          <t>Non-current Liabilities</t>
        </is>
      </c>
      <c r="B13" s="61" t="str"/>
      <c r="C13" s="119" t="n"/>
      <c r="D13" s="119" t="n"/>
      <c r="E13" s="17" t="n"/>
      <c r="F13" s="17" t="n"/>
      <c r="G13" s="17" t="n"/>
    </row>
    <row r="14">
      <c r="A14" s="17" t="inlineStr">
        <is>
          <t>Long-term Borrowings</t>
        </is>
      </c>
      <c r="B14" s="17" t="inlineStr">
        <is>
          <t>5</t>
        </is>
      </c>
      <c r="C14" s="120">
        <f>E87+E88</f>
        <v/>
      </c>
      <c r="D14" s="120">
        <f>F87+F88</f>
        <v/>
      </c>
      <c r="E14" s="17" t="n"/>
      <c r="F14" s="17" t="n"/>
      <c r="G14" s="17" t="n"/>
    </row>
    <row r="15">
      <c r="A15" s="17" t="inlineStr">
        <is>
          <t>Deferred Tax Liabilities (Net)</t>
        </is>
      </c>
      <c r="B15" s="17" t="inlineStr">
        <is>
          <t>6</t>
        </is>
      </c>
      <c r="C15" s="120">
        <f>E93</f>
        <v/>
      </c>
      <c r="D15" s="120">
        <f>F93</f>
        <v/>
      </c>
      <c r="E15" s="17" t="n"/>
      <c r="F15" s="17" t="n"/>
      <c r="G15" s="17" t="n"/>
    </row>
    <row r="16">
      <c r="A16" s="17" t="inlineStr">
        <is>
          <t>Other Long-term Liabilities</t>
        </is>
      </c>
      <c r="B16" s="17" t="inlineStr">
        <is>
          <t>7</t>
        </is>
      </c>
      <c r="C16" s="120">
        <f>E96</f>
        <v/>
      </c>
      <c r="D16" s="120">
        <f>F96</f>
        <v/>
      </c>
      <c r="E16" s="17" t="n"/>
      <c r="F16" s="17" t="n"/>
      <c r="G16" s="17" t="n"/>
    </row>
    <row r="17">
      <c r="A17" s="17" t="inlineStr">
        <is>
          <t>Long-term Provisions</t>
        </is>
      </c>
      <c r="B17" s="17" t="inlineStr">
        <is>
          <t>8</t>
        </is>
      </c>
      <c r="C17" s="120">
        <f>E97</f>
        <v/>
      </c>
      <c r="D17" s="120">
        <f>F97</f>
        <v/>
      </c>
      <c r="E17" s="17" t="n"/>
      <c r="F17" s="17" t="n"/>
      <c r="G17" s="17" t="n"/>
    </row>
    <row r="18">
      <c r="A18" s="61" t="inlineStr">
        <is>
          <t>Current Liabilities</t>
        </is>
      </c>
      <c r="B18" s="61" t="str"/>
      <c r="C18" s="119" t="n"/>
      <c r="D18" s="119" t="n"/>
      <c r="E18" s="17" t="n"/>
      <c r="F18" s="17" t="n"/>
      <c r="G18" s="17" t="n"/>
    </row>
    <row r="19">
      <c r="A19" s="17" t="inlineStr">
        <is>
          <t>Short-term Borrowings</t>
        </is>
      </c>
      <c r="B19" s="17" t="inlineStr">
        <is>
          <t>5</t>
        </is>
      </c>
      <c r="C19" s="120">
        <f>E89+E90</f>
        <v/>
      </c>
      <c r="D19" s="120">
        <f>F89+F90</f>
        <v/>
      </c>
      <c r="E19" s="17" t="n"/>
      <c r="F19" s="17" t="n"/>
      <c r="G19" s="17" t="n"/>
    </row>
    <row r="20">
      <c r="A20" s="17" t="inlineStr">
        <is>
          <t>Trade Payables</t>
        </is>
      </c>
      <c r="B20" s="17" t="inlineStr">
        <is>
          <t>9</t>
        </is>
      </c>
      <c r="C20" s="120">
        <f>E102</f>
        <v/>
      </c>
      <c r="D20" s="120">
        <f>F102</f>
        <v/>
      </c>
      <c r="E20" s="17" t="n"/>
      <c r="F20" s="17" t="n"/>
      <c r="G20" s="17" t="n"/>
    </row>
    <row r="21">
      <c r="A21" s="17" t="inlineStr">
        <is>
          <t>Other Current Liabilities</t>
        </is>
      </c>
      <c r="B21" s="17" t="inlineStr">
        <is>
          <t>10</t>
        </is>
      </c>
      <c r="C21" s="120">
        <f>E107</f>
        <v/>
      </c>
      <c r="D21" s="120">
        <f>F107</f>
        <v/>
      </c>
      <c r="E21" s="17" t="n"/>
      <c r="F21" s="17" t="n"/>
      <c r="G21" s="17" t="n"/>
    </row>
    <row r="22">
      <c r="A22" s="17" t="inlineStr">
        <is>
          <t>Short-term Provisions</t>
        </is>
      </c>
      <c r="B22" s="17" t="inlineStr">
        <is>
          <t>8</t>
        </is>
      </c>
      <c r="C22" s="120">
        <f>E98</f>
        <v/>
      </c>
      <c r="D22" s="120">
        <f>F98</f>
        <v/>
      </c>
      <c r="E22" s="17" t="n"/>
      <c r="F22" s="17" t="n"/>
      <c r="G22" s="17" t="n"/>
    </row>
    <row r="23">
      <c r="A23" s="65" t="inlineStr">
        <is>
          <t>TOTAL OWNERS' FUNDS AND LIABILITIES</t>
        </is>
      </c>
      <c r="B23" s="65" t="str"/>
      <c r="C23" s="122">
        <f>SUM(C10,C11,C12,C14,C15,C16,C17,C19,C20,C21,C22)</f>
        <v/>
      </c>
      <c r="D23" s="122">
        <f>SUM(D10,D11,D12,D14,D15,D16,D17,D19,D20,D21,D22)</f>
        <v/>
      </c>
      <c r="E23" s="17" t="n"/>
      <c r="F23" s="17" t="n"/>
      <c r="G23" s="17" t="n"/>
    </row>
    <row r="24">
      <c r="A24" s="42" t="inlineStr">
        <is>
          <t>ASSETS</t>
        </is>
      </c>
      <c r="B24" s="42" t="str"/>
      <c r="C24" s="118" t="n"/>
      <c r="D24" s="118" t="n"/>
      <c r="E24" s="17" t="n"/>
      <c r="F24" s="17" t="n"/>
      <c r="G24" s="17" t="n"/>
    </row>
    <row r="25">
      <c r="A25" s="61" t="inlineStr">
        <is>
          <t>Non-current Assets</t>
        </is>
      </c>
      <c r="B25" s="61" t="str"/>
      <c r="C25" s="119" t="n"/>
      <c r="D25" s="119" t="n"/>
      <c r="E25" s="17" t="n"/>
      <c r="F25" s="17" t="n"/>
      <c r="G25" s="17" t="n"/>
    </row>
    <row r="26">
      <c r="A26" s="17" t="inlineStr">
        <is>
          <t>Property, Plant and Equipment / Intangibles / CWIP</t>
        </is>
      </c>
      <c r="B26" s="17" t="inlineStr">
        <is>
          <t>11</t>
        </is>
      </c>
      <c r="C26" s="120">
        <f>E112</f>
        <v/>
      </c>
      <c r="D26" s="120">
        <f>F112</f>
        <v/>
      </c>
      <c r="E26" s="17" t="n"/>
      <c r="F26" s="17" t="n"/>
      <c r="G26" s="17" t="n"/>
    </row>
    <row r="27">
      <c r="A27" s="17" t="inlineStr">
        <is>
          <t>Non-current Investments</t>
        </is>
      </c>
      <c r="B27" s="17" t="inlineStr">
        <is>
          <t>12</t>
        </is>
      </c>
      <c r="C27" s="120">
        <f>E113</f>
        <v/>
      </c>
      <c r="D27" s="120">
        <f>F113</f>
        <v/>
      </c>
      <c r="E27" s="17" t="n"/>
      <c r="F27" s="17" t="n"/>
      <c r="G27" s="17" t="n"/>
    </row>
    <row r="28">
      <c r="A28" s="17" t="inlineStr">
        <is>
          <t>Deferred Tax Assets (Net)</t>
        </is>
      </c>
      <c r="B28" s="17" t="inlineStr">
        <is>
          <t>6</t>
        </is>
      </c>
      <c r="C28" s="120">
        <f>E92</f>
        <v/>
      </c>
      <c r="D28" s="120">
        <f>F92</f>
        <v/>
      </c>
      <c r="E28" s="17" t="n"/>
      <c r="F28" s="17" t="n"/>
      <c r="G28" s="17" t="n"/>
    </row>
    <row r="29">
      <c r="A29" s="17" t="inlineStr">
        <is>
          <t>Long-term Loans and Advances</t>
        </is>
      </c>
      <c r="B29" s="17" t="inlineStr">
        <is>
          <t>13</t>
        </is>
      </c>
      <c r="C29" s="120">
        <f>E116</f>
        <v/>
      </c>
      <c r="D29" s="120">
        <f>F116</f>
        <v/>
      </c>
      <c r="E29" s="17" t="n"/>
      <c r="F29" s="17" t="n"/>
      <c r="G29" s="17" t="n"/>
    </row>
    <row r="30">
      <c r="A30" s="17" t="inlineStr">
        <is>
          <t>Other Non-current Assets</t>
        </is>
      </c>
      <c r="B30" s="17" t="inlineStr">
        <is>
          <t>14</t>
        </is>
      </c>
      <c r="C30" s="120">
        <f>E120</f>
        <v/>
      </c>
      <c r="D30" s="120">
        <f>F120</f>
        <v/>
      </c>
      <c r="E30" s="17" t="n"/>
      <c r="F30" s="17" t="n"/>
      <c r="G30" s="17" t="n"/>
    </row>
    <row r="31">
      <c r="A31" s="61" t="inlineStr">
        <is>
          <t>Current Assets</t>
        </is>
      </c>
      <c r="B31" s="61" t="str"/>
      <c r="C31" s="119" t="n"/>
      <c r="D31" s="119" t="n"/>
      <c r="E31" s="17" t="n"/>
      <c r="F31" s="17" t="n"/>
      <c r="G31" s="17" t="n"/>
    </row>
    <row r="32">
      <c r="A32" s="17" t="inlineStr">
        <is>
          <t>Current Investments</t>
        </is>
      </c>
      <c r="B32" s="17" t="inlineStr">
        <is>
          <t>12</t>
        </is>
      </c>
      <c r="C32" s="120">
        <f>E114</f>
        <v/>
      </c>
      <c r="D32" s="120">
        <f>F114</f>
        <v/>
      </c>
      <c r="E32" s="17" t="n"/>
      <c r="F32" s="17" t="n"/>
      <c r="G32" s="17" t="n"/>
    </row>
    <row r="33">
      <c r="A33" s="17" t="inlineStr">
        <is>
          <t>Inventories</t>
        </is>
      </c>
      <c r="B33" s="17" t="inlineStr">
        <is>
          <t>15</t>
        </is>
      </c>
      <c r="C33" s="120">
        <f>E126</f>
        <v/>
      </c>
      <c r="D33" s="120">
        <f>F126</f>
        <v/>
      </c>
      <c r="E33" s="17" t="n"/>
      <c r="F33" s="17" t="n"/>
      <c r="G33" s="17" t="n"/>
    </row>
    <row r="34">
      <c r="A34" s="17" t="inlineStr">
        <is>
          <t>Trade Receivables</t>
        </is>
      </c>
      <c r="B34" s="17" t="inlineStr">
        <is>
          <t>16</t>
        </is>
      </c>
      <c r="C34" s="120">
        <f>E130</f>
        <v/>
      </c>
      <c r="D34" s="120">
        <f>F130</f>
        <v/>
      </c>
      <c r="E34" s="17" t="n"/>
      <c r="F34" s="17" t="n"/>
      <c r="G34" s="17" t="n"/>
    </row>
    <row r="35">
      <c r="A35" s="17" t="inlineStr">
        <is>
          <t>Cash and Bank Balances</t>
        </is>
      </c>
      <c r="B35" s="17" t="inlineStr">
        <is>
          <t>17</t>
        </is>
      </c>
      <c r="C35" s="120">
        <f>E134</f>
        <v/>
      </c>
      <c r="D35" s="120">
        <f>F134</f>
        <v/>
      </c>
      <c r="E35" s="17" t="n"/>
      <c r="F35" s="17" t="n"/>
      <c r="G35" s="17" t="n"/>
    </row>
    <row r="36">
      <c r="A36" s="17" t="inlineStr">
        <is>
          <t>Short-term Loans and Advances</t>
        </is>
      </c>
      <c r="B36" s="17" t="inlineStr">
        <is>
          <t>13</t>
        </is>
      </c>
      <c r="C36" s="120">
        <f>E117</f>
        <v/>
      </c>
      <c r="D36" s="120">
        <f>F117</f>
        <v/>
      </c>
      <c r="E36" s="17" t="n"/>
      <c r="F36" s="17" t="n"/>
      <c r="G36" s="17" t="n"/>
    </row>
    <row r="37">
      <c r="A37" s="17" t="inlineStr">
        <is>
          <t>Other Current Assets</t>
        </is>
      </c>
      <c r="B37" s="17" t="inlineStr">
        <is>
          <t>18</t>
        </is>
      </c>
      <c r="C37" s="120">
        <f>E138</f>
        <v/>
      </c>
      <c r="D37" s="120">
        <f>F138</f>
        <v/>
      </c>
      <c r="E37" s="17" t="n"/>
      <c r="F37" s="17" t="n"/>
      <c r="G37" s="17" t="n"/>
    </row>
    <row r="38">
      <c r="A38" s="65" t="inlineStr">
        <is>
          <t>TOTAL ASSETS</t>
        </is>
      </c>
      <c r="B38" s="65" t="str"/>
      <c r="C38" s="122">
        <f>SUM(C26,C27,C28,C29,C30,C32,C33,C34,C35,C36,C37)</f>
        <v/>
      </c>
      <c r="D38" s="122">
        <f>SUM(D26,D27,D28,D29,D30,D32,D33,D34,D35,D36,D37)</f>
        <v/>
      </c>
      <c r="E38" s="17" t="n"/>
      <c r="F38" s="17" t="n"/>
      <c r="G38" s="17" t="n"/>
    </row>
    <row r="39">
      <c r="A39" s="17" t="n"/>
      <c r="B39" s="17" t="n"/>
      <c r="C39" s="120" t="n"/>
      <c r="D39" s="120" t="n"/>
      <c r="E39" s="17" t="n"/>
      <c r="F39" s="17" t="n"/>
      <c r="G39" s="17" t="n"/>
    </row>
    <row r="40">
      <c r="A40" s="17" t="n"/>
      <c r="B40" s="17" t="n"/>
      <c r="C40" s="120" t="n"/>
      <c r="D40" s="120" t="n"/>
      <c r="E40" s="17" t="n"/>
      <c r="F40" s="17" t="n"/>
      <c r="G40" s="17" t="n"/>
    </row>
    <row r="41">
      <c r="A41" s="71" t="inlineStr">
        <is>
          <t>Statement of Profit &amp; Loss / Income &amp; Expenditure / Revenue Account</t>
        </is>
      </c>
      <c r="B41" s="1" t="n"/>
      <c r="C41" s="1" t="n"/>
      <c r="D41" s="1" t="n"/>
      <c r="E41" s="17" t="n"/>
      <c r="F41" s="17" t="n"/>
      <c r="G41" s="17" t="n"/>
    </row>
    <row r="42">
      <c r="A42" s="14" t="inlineStr">
        <is>
          <t>Particulars</t>
        </is>
      </c>
      <c r="B42" s="14" t="inlineStr">
        <is>
          <t>Note No.</t>
        </is>
      </c>
      <c r="C42" s="123" t="inlineStr">
        <is>
          <t>Current Reporting Period</t>
        </is>
      </c>
      <c r="D42" s="123" t="inlineStr">
        <is>
          <t>Previous Reporting Period</t>
        </is>
      </c>
      <c r="E42" s="17" t="n"/>
      <c r="F42" s="17" t="n"/>
      <c r="G42" s="17" t="n"/>
    </row>
    <row r="43">
      <c r="A43" s="17" t="inlineStr">
        <is>
          <t>Revenue from Operations</t>
        </is>
      </c>
      <c r="B43" s="17" t="inlineStr">
        <is>
          <t>19</t>
        </is>
      </c>
      <c r="C43" s="120">
        <f>E142</f>
        <v/>
      </c>
      <c r="D43" s="120">
        <f>F142</f>
        <v/>
      </c>
      <c r="E43" s="17" t="n"/>
      <c r="F43" s="17" t="n"/>
      <c r="G43" s="17" t="n"/>
    </row>
    <row r="44">
      <c r="A44" s="17" t="inlineStr">
        <is>
          <t>Other Income</t>
        </is>
      </c>
      <c r="B44" s="17" t="inlineStr">
        <is>
          <t>20</t>
        </is>
      </c>
      <c r="C44" s="120">
        <f>E146</f>
        <v/>
      </c>
      <c r="D44" s="120">
        <f>F146</f>
        <v/>
      </c>
      <c r="E44" s="17" t="n"/>
      <c r="F44" s="17" t="n"/>
      <c r="G44" s="17" t="n"/>
    </row>
    <row r="45">
      <c r="A45" s="65" t="inlineStr">
        <is>
          <t>TOTAL INCOME</t>
        </is>
      </c>
      <c r="B45" s="65" t="str"/>
      <c r="C45" s="122">
        <f>SUM(C43,C44)</f>
        <v/>
      </c>
      <c r="D45" s="122">
        <f>SUM(D43,D44)</f>
        <v/>
      </c>
      <c r="E45" s="17" t="n"/>
      <c r="F45" s="17" t="n"/>
      <c r="G45" s="17" t="n"/>
    </row>
    <row r="46">
      <c r="A46" s="42" t="inlineStr">
        <is>
          <t>EXPENSES</t>
        </is>
      </c>
      <c r="B46" s="42" t="str"/>
      <c r="C46" s="118" t="n"/>
      <c r="D46" s="118" t="n"/>
      <c r="E46" s="17" t="n"/>
      <c r="F46" s="17" t="n"/>
      <c r="G46" s="17" t="n"/>
    </row>
    <row r="47">
      <c r="A47" s="17" t="inlineStr">
        <is>
          <t>Cost of Materials Consumed</t>
        </is>
      </c>
      <c r="B47" s="17" t="inlineStr">
        <is>
          <t>21</t>
        </is>
      </c>
      <c r="C47" s="120">
        <f>E147</f>
        <v/>
      </c>
      <c r="D47" s="120">
        <f>F147</f>
        <v/>
      </c>
      <c r="E47" s="17" t="n"/>
      <c r="F47" s="17" t="n"/>
      <c r="G47" s="17" t="n"/>
    </row>
    <row r="48">
      <c r="A48" s="17" t="inlineStr">
        <is>
          <t>Purchases of Stock-in-Trade</t>
        </is>
      </c>
      <c r="B48" s="17" t="inlineStr">
        <is>
          <t>21</t>
        </is>
      </c>
      <c r="C48" s="120">
        <f>E148</f>
        <v/>
      </c>
      <c r="D48" s="120">
        <f>F148</f>
        <v/>
      </c>
      <c r="E48" s="17" t="n"/>
      <c r="F48" s="17" t="n"/>
      <c r="G48" s="17" t="n"/>
    </row>
    <row r="49">
      <c r="A49" s="17" t="inlineStr">
        <is>
          <t>Changes in Inventories</t>
        </is>
      </c>
      <c r="B49" s="17" t="inlineStr">
        <is>
          <t>22</t>
        </is>
      </c>
      <c r="C49" s="120">
        <f>E151</f>
        <v/>
      </c>
      <c r="D49" s="120">
        <f>F151</f>
        <v/>
      </c>
      <c r="E49" s="17" t="n"/>
      <c r="F49" s="17" t="n"/>
      <c r="G49" s="17" t="n"/>
    </row>
    <row r="50">
      <c r="A50" s="17" t="inlineStr">
        <is>
          <t>Employee Benefits Expense</t>
        </is>
      </c>
      <c r="B50" s="17" t="inlineStr">
        <is>
          <t>23</t>
        </is>
      </c>
      <c r="C50" s="120">
        <f>E153</f>
        <v/>
      </c>
      <c r="D50" s="120">
        <f>F153</f>
        <v/>
      </c>
      <c r="E50" s="17" t="n"/>
      <c r="F50" s="17" t="n"/>
      <c r="G50" s="17" t="n"/>
    </row>
    <row r="51">
      <c r="A51" s="17" t="inlineStr">
        <is>
          <t>Finance Costs</t>
        </is>
      </c>
      <c r="B51" s="17" t="inlineStr">
        <is>
          <t>24</t>
        </is>
      </c>
      <c r="C51" s="120">
        <f>E155</f>
        <v/>
      </c>
      <c r="D51" s="120">
        <f>F155</f>
        <v/>
      </c>
      <c r="E51" s="17" t="n"/>
      <c r="F51" s="17" t="n"/>
      <c r="G51" s="17" t="n"/>
    </row>
    <row r="52">
      <c r="A52" s="17" t="inlineStr">
        <is>
          <t>Depreciation and Amortisation</t>
        </is>
      </c>
      <c r="B52" s="17" t="inlineStr">
        <is>
          <t>25</t>
        </is>
      </c>
      <c r="C52" s="120">
        <f>E158</f>
        <v/>
      </c>
      <c r="D52" s="120">
        <f>F158</f>
        <v/>
      </c>
      <c r="E52" s="17" t="n"/>
      <c r="F52" s="17" t="n"/>
      <c r="G52" s="17" t="n"/>
    </row>
    <row r="53">
      <c r="A53" s="17" t="inlineStr">
        <is>
          <t>Other Expenses</t>
        </is>
      </c>
      <c r="B53" s="17" t="inlineStr">
        <is>
          <t>26</t>
        </is>
      </c>
      <c r="C53" s="120">
        <f>E160</f>
        <v/>
      </c>
      <c r="D53" s="120">
        <f>F160</f>
        <v/>
      </c>
      <c r="E53" s="17" t="n"/>
      <c r="F53" s="17" t="n"/>
      <c r="G53" s="17" t="n"/>
    </row>
    <row r="54">
      <c r="A54" s="65" t="inlineStr">
        <is>
          <t>TOTAL EXPENSES</t>
        </is>
      </c>
      <c r="B54" s="65" t="str"/>
      <c r="C54" s="122">
        <f>SUM(C47,C48,C49,C50,C51,C52,C53)</f>
        <v/>
      </c>
      <c r="D54" s="122">
        <f>SUM(D47,D48,D49,D50,D51,D52,D53)</f>
        <v/>
      </c>
      <c r="E54" s="17" t="n"/>
      <c r="F54" s="17" t="n"/>
      <c r="G54" s="17" t="n"/>
    </row>
    <row r="55">
      <c r="A55" s="65" t="inlineStr">
        <is>
          <t>Profit before Exceptional / Extraordinary Items, Partners' Remuneration and Tax</t>
        </is>
      </c>
      <c r="B55" s="65" t="str"/>
      <c r="C55" s="122">
        <f>C45-C54</f>
        <v/>
      </c>
      <c r="D55" s="122">
        <f>D45-D54</f>
        <v/>
      </c>
      <c r="E55" s="17" t="n"/>
      <c r="F55" s="17" t="n"/>
      <c r="G55" s="17" t="n"/>
    </row>
    <row r="56">
      <c r="A56" s="17" t="inlineStr">
        <is>
          <t>Exceptional Items</t>
        </is>
      </c>
      <c r="B56" s="17" t="inlineStr">
        <is>
          <t>—</t>
        </is>
      </c>
      <c r="C56" s="121" t="n"/>
      <c r="D56" s="121" t="n"/>
      <c r="E56" s="17" t="n"/>
      <c r="F56" s="17" t="n"/>
      <c r="G56" s="17" t="n"/>
    </row>
    <row r="57">
      <c r="A57" s="65" t="inlineStr">
        <is>
          <t>Profit before Extraordinary Items, Partners' Remuneration and Tax</t>
        </is>
      </c>
      <c r="B57" s="65" t="str"/>
      <c r="C57" s="122">
        <f>C55-SUM(C56)</f>
        <v/>
      </c>
      <c r="D57" s="122">
        <f>D55-SUM(D56)</f>
        <v/>
      </c>
      <c r="E57" s="17" t="n"/>
      <c r="F57" s="17" t="n"/>
      <c r="G57" s="17" t="n"/>
    </row>
    <row r="58">
      <c r="A58" s="17" t="inlineStr">
        <is>
          <t>Extraordinary Items</t>
        </is>
      </c>
      <c r="B58" s="17" t="inlineStr">
        <is>
          <t>—</t>
        </is>
      </c>
      <c r="C58" s="121" t="n"/>
      <c r="D58" s="121" t="n"/>
      <c r="E58" s="17" t="n"/>
      <c r="F58" s="17" t="n"/>
      <c r="G58" s="17" t="n"/>
    </row>
    <row r="59">
      <c r="A59" s="17" t="inlineStr">
        <is>
          <t>Partners' Remuneration</t>
        </is>
      </c>
      <c r="B59" s="17" t="inlineStr">
        <is>
          <t>—</t>
        </is>
      </c>
      <c r="C59" s="121" t="n"/>
      <c r="D59" s="121" t="n"/>
      <c r="E59" s="17" t="n"/>
      <c r="F59" s="17" t="n"/>
      <c r="G59" s="17" t="n"/>
    </row>
    <row r="60">
      <c r="A60" s="65" t="inlineStr">
        <is>
          <t>Profit Before Tax</t>
        </is>
      </c>
      <c r="B60" s="65" t="str"/>
      <c r="C60" s="122">
        <f>C57-SUM(C58,C59)</f>
        <v/>
      </c>
      <c r="D60" s="122">
        <f>D57-SUM(D58,D59)</f>
        <v/>
      </c>
      <c r="E60" s="17" t="n"/>
      <c r="F60" s="17" t="n"/>
      <c r="G60" s="17" t="n"/>
    </row>
    <row r="61">
      <c r="A61" s="17" t="inlineStr">
        <is>
          <t>Current Tax</t>
        </is>
      </c>
      <c r="B61" s="17" t="inlineStr">
        <is>
          <t>—</t>
        </is>
      </c>
      <c r="C61" s="121" t="n"/>
      <c r="D61" s="121" t="n"/>
      <c r="E61" s="17" t="n"/>
      <c r="F61" s="17" t="n"/>
      <c r="G61" s="17" t="n"/>
    </row>
    <row r="62">
      <c r="A62" s="17" t="inlineStr">
        <is>
          <t>Deferred Tax</t>
        </is>
      </c>
      <c r="B62" s="17" t="inlineStr">
        <is>
          <t>—</t>
        </is>
      </c>
      <c r="C62" s="121" t="n"/>
      <c r="D62" s="121" t="n"/>
      <c r="E62" s="17" t="n"/>
      <c r="F62" s="17" t="n"/>
      <c r="G62" s="17" t="n"/>
    </row>
    <row r="63">
      <c r="A63" s="65" t="inlineStr">
        <is>
          <t>Profit/(Loss) for the Year</t>
        </is>
      </c>
      <c r="B63" s="65" t="str"/>
      <c r="C63" s="122">
        <f>C60-SUM(C61,C62)</f>
        <v/>
      </c>
      <c r="D63" s="122">
        <f>D60-SUM(D61,D62)</f>
        <v/>
      </c>
      <c r="E63" s="17" t="n"/>
      <c r="F63" s="17" t="n"/>
      <c r="G63" s="17" t="n"/>
    </row>
    <row r="64">
      <c r="A64" s="17" t="n"/>
      <c r="B64" s="17" t="n"/>
      <c r="C64" s="17" t="n"/>
      <c r="D64" s="17" t="n"/>
      <c r="E64" s="17" t="n"/>
      <c r="F64" s="17" t="n"/>
      <c r="G64" s="17" t="n"/>
    </row>
    <row r="65">
      <c r="A65" s="17" t="n"/>
      <c r="B65" s="17" t="n"/>
      <c r="C65" s="17" t="n"/>
      <c r="D65" s="17" t="n"/>
      <c r="E65" s="17" t="n"/>
      <c r="F65" s="17" t="n"/>
      <c r="G65" s="17" t="n"/>
    </row>
    <row r="66" ht="26" customHeight="1" s="82">
      <c r="A66" s="79" t="inlineStr">
        <is>
          <t>Notes / Schedules — linked source for face statements</t>
        </is>
      </c>
      <c r="B66" s="1" t="n"/>
      <c r="C66" s="1" t="n"/>
      <c r="D66" s="1" t="n"/>
      <c r="E66" s="1" t="n"/>
      <c r="F66" s="1" t="n"/>
      <c r="G66" s="1" t="n"/>
    </row>
    <row r="67">
      <c r="A67" s="14" t="inlineStr">
        <is>
          <t>Note</t>
        </is>
      </c>
      <c r="B67" s="14" t="inlineStr">
        <is>
          <t>Note Title</t>
        </is>
      </c>
      <c r="C67" s="14" t="inlineStr">
        <is>
          <t>Statutory Line Item</t>
        </is>
      </c>
      <c r="D67" s="14" t="inlineStr">
        <is>
          <t>AAH Mapping Key</t>
        </is>
      </c>
      <c r="E67" s="14" t="inlineStr">
        <is>
          <t>Current Period</t>
        </is>
      </c>
      <c r="F67" s="14" t="inlineStr">
        <is>
          <t>Previous Period</t>
        </is>
      </c>
      <c r="G67" s="14" t="inlineStr">
        <is>
          <t>Disclosure / Remarks</t>
        </is>
      </c>
    </row>
    <row r="68">
      <c r="A68" s="17" t="inlineStr">
        <is>
          <t>1</t>
        </is>
      </c>
      <c r="B68" s="17" t="inlineStr">
        <is>
          <t>Brief about the Entity</t>
        </is>
      </c>
      <c r="C68" s="17" t="inlineStr">
        <is>
          <t>Entity information / constitution / nature</t>
        </is>
      </c>
      <c r="D68" s="17" t="inlineStr">
        <is>
          <t>ENTITY_INFO</t>
        </is>
      </c>
      <c r="E68" s="121" t="n">
        <v>0</v>
      </c>
      <c r="F68" s="121" t="n">
        <v>0</v>
      </c>
      <c r="G68" s="59" t="str"/>
    </row>
    <row r="69">
      <c r="A69" s="65" t="inlineStr">
        <is>
          <t>1</t>
        </is>
      </c>
      <c r="B69" s="65" t="inlineStr">
        <is>
          <t>Brief about the Entity</t>
        </is>
      </c>
      <c r="C69" s="65" t="inlineStr">
        <is>
          <t>Total — Brief about the Entity</t>
        </is>
      </c>
      <c r="D69" s="65" t="inlineStr">
        <is>
          <t>__TOTAL__</t>
        </is>
      </c>
      <c r="E69" s="122">
        <f>SUM(E68:E68)</f>
        <v/>
      </c>
      <c r="F69" s="122">
        <f>SUM(F68:F68)</f>
        <v/>
      </c>
      <c r="G69" s="65" t="str"/>
    </row>
    <row r="70">
      <c r="A70" s="17" t="inlineStr">
        <is>
          <t>2</t>
        </is>
      </c>
      <c r="B70" s="17" t="inlineStr">
        <is>
          <t>Summary of Significant Accounting Policies</t>
        </is>
      </c>
      <c r="C70" s="17" t="inlineStr">
        <is>
          <t>Accounting policies disclosure</t>
        </is>
      </c>
      <c r="D70" s="17" t="inlineStr">
        <is>
          <t>POLICIES</t>
        </is>
      </c>
      <c r="E70" s="121" t="n">
        <v>0</v>
      </c>
      <c r="F70" s="121" t="n">
        <v>0</v>
      </c>
      <c r="G70" s="59" t="str"/>
    </row>
    <row r="71">
      <c r="A71" s="65" t="inlineStr">
        <is>
          <t>2</t>
        </is>
      </c>
      <c r="B71" s="65" t="inlineStr">
        <is>
          <t>Summary of Significant Accounting Policies</t>
        </is>
      </c>
      <c r="C71" s="65" t="inlineStr">
        <is>
          <t>Total — Summary of Significant Accounting Policies</t>
        </is>
      </c>
      <c r="D71" s="65" t="inlineStr">
        <is>
          <t>__TOTAL__</t>
        </is>
      </c>
      <c r="E71" s="122">
        <f>SUM(E70:E70)</f>
        <v/>
      </c>
      <c r="F71" s="122">
        <f>SUM(F70:F70)</f>
        <v/>
      </c>
      <c r="G71" s="65" t="str"/>
    </row>
    <row r="72">
      <c r="A72" s="17" t="inlineStr">
        <is>
          <t>3a</t>
        </is>
      </c>
      <c r="B72" s="17" t="inlineStr">
        <is>
          <t>Owners' / Partners' Capital Account</t>
        </is>
      </c>
      <c r="C72" s="17" t="inlineStr">
        <is>
          <t>Opening capital</t>
        </is>
      </c>
      <c r="D72" s="17" t="inlineStr">
        <is>
          <t>CAP_OPEN</t>
        </is>
      </c>
      <c r="E72" s="121" t="n">
        <v>0</v>
      </c>
      <c r="F72" s="121" t="n">
        <v>0</v>
      </c>
      <c r="G72" s="59" t="str"/>
    </row>
    <row r="73">
      <c r="A73" s="17" t="inlineStr">
        <is>
          <t>3a</t>
        </is>
      </c>
      <c r="B73" s="17" t="inlineStr">
        <is>
          <t>Owners' / Partners' Capital Account</t>
        </is>
      </c>
      <c r="C73" s="17" t="inlineStr">
        <is>
          <t>Capital introduced</t>
        </is>
      </c>
      <c r="D73" s="17" t="inlineStr">
        <is>
          <t>CAP_ADD</t>
        </is>
      </c>
      <c r="E73" s="121" t="n">
        <v>0</v>
      </c>
      <c r="F73" s="121" t="n">
        <v>0</v>
      </c>
      <c r="G73" s="59" t="str"/>
    </row>
    <row r="74">
      <c r="A74" s="17" t="inlineStr">
        <is>
          <t>3a</t>
        </is>
      </c>
      <c r="B74" s="17" t="inlineStr">
        <is>
          <t>Owners' / Partners' Capital Account</t>
        </is>
      </c>
      <c r="C74" s="17" t="inlineStr">
        <is>
          <t>Withdrawals / drawings</t>
        </is>
      </c>
      <c r="D74" s="17" t="inlineStr">
        <is>
          <t>CAP_DRAW</t>
        </is>
      </c>
      <c r="E74" s="121" t="n">
        <v>0</v>
      </c>
      <c r="F74" s="121" t="n">
        <v>0</v>
      </c>
      <c r="G74" s="59" t="str"/>
    </row>
    <row r="75">
      <c r="A75" s="17" t="inlineStr">
        <is>
          <t>3a</t>
        </is>
      </c>
      <c r="B75" s="17" t="inlineStr">
        <is>
          <t>Owners' / Partners' Capital Account</t>
        </is>
      </c>
      <c r="C75" s="17" t="inlineStr">
        <is>
          <t>Share of profit / loss</t>
        </is>
      </c>
      <c r="D75" s="17" t="inlineStr">
        <is>
          <t>CAP_SHAREPL</t>
        </is>
      </c>
      <c r="E75" s="121" t="n">
        <v>0</v>
      </c>
      <c r="F75" s="121" t="n">
        <v>0</v>
      </c>
      <c r="G75" s="59" t="str"/>
    </row>
    <row r="76">
      <c r="A76" s="65" t="inlineStr">
        <is>
          <t>3a</t>
        </is>
      </c>
      <c r="B76" s="65" t="inlineStr">
        <is>
          <t>Owners' / Partners' Capital Account</t>
        </is>
      </c>
      <c r="C76" s="65" t="inlineStr">
        <is>
          <t>Total — Owners' / Partners' Capital Account</t>
        </is>
      </c>
      <c r="D76" s="65" t="inlineStr">
        <is>
          <t>__TOTAL__</t>
        </is>
      </c>
      <c r="E76" s="122">
        <f>SUM(E72:E75)</f>
        <v/>
      </c>
      <c r="F76" s="122">
        <f>SUM(F72:F75)</f>
        <v/>
      </c>
      <c r="G76" s="65" t="str"/>
    </row>
    <row r="77">
      <c r="A77" s="17" t="inlineStr">
        <is>
          <t>3b</t>
        </is>
      </c>
      <c r="B77" s="17" t="inlineStr">
        <is>
          <t>Owners' / Partners' Current Account</t>
        </is>
      </c>
      <c r="C77" s="17" t="inlineStr">
        <is>
          <t>Opening current account</t>
        </is>
      </c>
      <c r="D77" s="17" t="inlineStr">
        <is>
          <t>CURR_OPEN</t>
        </is>
      </c>
      <c r="E77" s="121" t="n">
        <v>0</v>
      </c>
      <c r="F77" s="121" t="n">
        <v>0</v>
      </c>
      <c r="G77" s="59" t="str"/>
    </row>
    <row r="78">
      <c r="A78" s="17" t="inlineStr">
        <is>
          <t>3b</t>
        </is>
      </c>
      <c r="B78" s="17" t="inlineStr">
        <is>
          <t>Owners' / Partners' Current Account</t>
        </is>
      </c>
      <c r="C78" s="17" t="inlineStr">
        <is>
          <t>Credits</t>
        </is>
      </c>
      <c r="D78" s="17" t="inlineStr">
        <is>
          <t>CURR_CR</t>
        </is>
      </c>
      <c r="E78" s="121" t="n">
        <v>0</v>
      </c>
      <c r="F78" s="121" t="n">
        <v>0</v>
      </c>
      <c r="G78" s="59" t="str"/>
    </row>
    <row r="79">
      <c r="A79" s="17" t="inlineStr">
        <is>
          <t>3b</t>
        </is>
      </c>
      <c r="B79" s="17" t="inlineStr">
        <is>
          <t>Owners' / Partners' Current Account</t>
        </is>
      </c>
      <c r="C79" s="17" t="inlineStr">
        <is>
          <t>Debits / drawings</t>
        </is>
      </c>
      <c r="D79" s="17" t="inlineStr">
        <is>
          <t>CURR_DR</t>
        </is>
      </c>
      <c r="E79" s="121" t="n">
        <v>0</v>
      </c>
      <c r="F79" s="121" t="n">
        <v>0</v>
      </c>
      <c r="G79" s="59" t="str"/>
    </row>
    <row r="80">
      <c r="A80" s="17" t="inlineStr">
        <is>
          <t>3b</t>
        </is>
      </c>
      <c r="B80" s="17" t="inlineStr">
        <is>
          <t>Owners' / Partners' Current Account</t>
        </is>
      </c>
      <c r="C80" s="17" t="inlineStr">
        <is>
          <t>Share of profit / loss</t>
        </is>
      </c>
      <c r="D80" s="17" t="inlineStr">
        <is>
          <t>CURR_SHAREPL</t>
        </is>
      </c>
      <c r="E80" s="121" t="n">
        <v>0</v>
      </c>
      <c r="F80" s="121" t="n">
        <v>0</v>
      </c>
      <c r="G80" s="59" t="str"/>
    </row>
    <row r="81">
      <c r="A81" s="65" t="inlineStr">
        <is>
          <t>3b</t>
        </is>
      </c>
      <c r="B81" s="65" t="inlineStr">
        <is>
          <t>Owners' / Partners' Current Account</t>
        </is>
      </c>
      <c r="C81" s="65" t="inlineStr">
        <is>
          <t>Total — Owners' / Partners' Current Account</t>
        </is>
      </c>
      <c r="D81" s="65" t="inlineStr">
        <is>
          <t>__TOTAL__</t>
        </is>
      </c>
      <c r="E81" s="122">
        <f>SUM(E77:E80)</f>
        <v/>
      </c>
      <c r="F81" s="122">
        <f>SUM(F77:F80)</f>
        <v/>
      </c>
      <c r="G81" s="65" t="str"/>
    </row>
    <row r="82">
      <c r="A82" s="17" t="inlineStr">
        <is>
          <t>4</t>
        </is>
      </c>
      <c r="B82" s="17" t="inlineStr">
        <is>
          <t>Reserves and Surplus</t>
        </is>
      </c>
      <c r="C82" s="17" t="inlineStr">
        <is>
          <t>Capital reserve</t>
        </is>
      </c>
      <c r="D82" s="17" t="inlineStr">
        <is>
          <t>RES_CAP</t>
        </is>
      </c>
      <c r="E82" s="121" t="n">
        <v>0</v>
      </c>
      <c r="F82" s="121" t="n">
        <v>0</v>
      </c>
      <c r="G82" s="59" t="str"/>
    </row>
    <row r="83">
      <c r="A83" s="17" t="inlineStr">
        <is>
          <t>4</t>
        </is>
      </c>
      <c r="B83" s="17" t="inlineStr">
        <is>
          <t>Reserves and Surplus</t>
        </is>
      </c>
      <c r="C83" s="17" t="inlineStr">
        <is>
          <t>Revaluation reserve</t>
        </is>
      </c>
      <c r="D83" s="17" t="inlineStr">
        <is>
          <t>RES_REVAL</t>
        </is>
      </c>
      <c r="E83" s="121" t="n">
        <v>0</v>
      </c>
      <c r="F83" s="121" t="n">
        <v>0</v>
      </c>
      <c r="G83" s="59" t="str"/>
    </row>
    <row r="84">
      <c r="A84" s="17" t="inlineStr">
        <is>
          <t>4</t>
        </is>
      </c>
      <c r="B84" s="17" t="inlineStr">
        <is>
          <t>Reserves and Surplus</t>
        </is>
      </c>
      <c r="C84" s="17" t="inlineStr">
        <is>
          <t>Other reserves</t>
        </is>
      </c>
      <c r="D84" s="17" t="inlineStr">
        <is>
          <t>RES_OTHER</t>
        </is>
      </c>
      <c r="E84" s="121" t="n">
        <v>0</v>
      </c>
      <c r="F84" s="121" t="n">
        <v>0</v>
      </c>
      <c r="G84" s="59" t="str"/>
    </row>
    <row r="85">
      <c r="A85" s="17" t="inlineStr">
        <is>
          <t>4</t>
        </is>
      </c>
      <c r="B85" s="17" t="inlineStr">
        <is>
          <t>Reserves and Surplus</t>
        </is>
      </c>
      <c r="C85" s="17" t="inlineStr">
        <is>
          <t>Undistributed surplus</t>
        </is>
      </c>
      <c r="D85" s="17" t="inlineStr">
        <is>
          <t>RES_SURPLUS</t>
        </is>
      </c>
      <c r="E85" s="121" t="n">
        <v>0</v>
      </c>
      <c r="F85" s="121" t="n">
        <v>0</v>
      </c>
      <c r="G85" s="59" t="str"/>
    </row>
    <row r="86">
      <c r="A86" s="65" t="inlineStr">
        <is>
          <t>4</t>
        </is>
      </c>
      <c r="B86" s="65" t="inlineStr">
        <is>
          <t>Reserves and Surplus</t>
        </is>
      </c>
      <c r="C86" s="65" t="inlineStr">
        <is>
          <t>Total — Reserves and Surplus</t>
        </is>
      </c>
      <c r="D86" s="65" t="inlineStr">
        <is>
          <t>__TOTAL__</t>
        </is>
      </c>
      <c r="E86" s="122">
        <f>SUM(E82:E85)</f>
        <v/>
      </c>
      <c r="F86" s="122">
        <f>SUM(F82:F85)</f>
        <v/>
      </c>
      <c r="G86" s="65" t="str"/>
    </row>
    <row r="87">
      <c r="A87" s="17" t="inlineStr">
        <is>
          <t>5</t>
        </is>
      </c>
      <c r="B87" s="17" t="inlineStr">
        <is>
          <t>Borrowings</t>
        </is>
      </c>
      <c r="C87" s="17" t="inlineStr">
        <is>
          <t>Long-term secured</t>
        </is>
      </c>
      <c r="D87" s="17" t="inlineStr">
        <is>
          <t>BORR_LT_SEC</t>
        </is>
      </c>
      <c r="E87" s="121" t="n">
        <v>0</v>
      </c>
      <c r="F87" s="121" t="n">
        <v>0</v>
      </c>
      <c r="G87" s="59" t="str"/>
    </row>
    <row r="88">
      <c r="A88" s="17" t="inlineStr">
        <is>
          <t>5</t>
        </is>
      </c>
      <c r="B88" s="17" t="inlineStr">
        <is>
          <t>Borrowings</t>
        </is>
      </c>
      <c r="C88" s="17" t="inlineStr">
        <is>
          <t>Long-term unsecured</t>
        </is>
      </c>
      <c r="D88" s="17" t="inlineStr">
        <is>
          <t>BORR_LT_UNSEC</t>
        </is>
      </c>
      <c r="E88" s="121" t="n">
        <v>0</v>
      </c>
      <c r="F88" s="121" t="n">
        <v>0</v>
      </c>
      <c r="G88" s="59" t="str"/>
    </row>
    <row r="89">
      <c r="A89" s="17" t="inlineStr">
        <is>
          <t>5</t>
        </is>
      </c>
      <c r="B89" s="17" t="inlineStr">
        <is>
          <t>Borrowings</t>
        </is>
      </c>
      <c r="C89" s="17" t="inlineStr">
        <is>
          <t>Short-term secured</t>
        </is>
      </c>
      <c r="D89" s="17" t="inlineStr">
        <is>
          <t>BORR_ST_SEC</t>
        </is>
      </c>
      <c r="E89" s="121" t="n">
        <v>0</v>
      </c>
      <c r="F89" s="121" t="n">
        <v>0</v>
      </c>
      <c r="G89" s="59" t="str"/>
    </row>
    <row r="90">
      <c r="A90" s="17" t="inlineStr">
        <is>
          <t>5</t>
        </is>
      </c>
      <c r="B90" s="17" t="inlineStr">
        <is>
          <t>Borrowings</t>
        </is>
      </c>
      <c r="C90" s="17" t="inlineStr">
        <is>
          <t>Short-term unsecured</t>
        </is>
      </c>
      <c r="D90" s="17" t="inlineStr">
        <is>
          <t>BORR_ST_UNSEC</t>
        </is>
      </c>
      <c r="E90" s="121" t="n">
        <v>0</v>
      </c>
      <c r="F90" s="121" t="n">
        <v>0</v>
      </c>
      <c r="G90" s="59" t="str"/>
    </row>
    <row r="91">
      <c r="A91" s="65" t="inlineStr">
        <is>
          <t>5</t>
        </is>
      </c>
      <c r="B91" s="65" t="inlineStr">
        <is>
          <t>Borrowings</t>
        </is>
      </c>
      <c r="C91" s="65" t="inlineStr">
        <is>
          <t>Total — Borrowings</t>
        </is>
      </c>
      <c r="D91" s="65" t="inlineStr">
        <is>
          <t>__TOTAL__</t>
        </is>
      </c>
      <c r="E91" s="122">
        <f>SUM(E87:E90)</f>
        <v/>
      </c>
      <c r="F91" s="122">
        <f>SUM(F87:F90)</f>
        <v/>
      </c>
      <c r="G91" s="65" t="str"/>
    </row>
    <row r="92">
      <c r="A92" s="17" t="inlineStr">
        <is>
          <t>6</t>
        </is>
      </c>
      <c r="B92" s="17" t="inlineStr">
        <is>
          <t>Deferred Tax</t>
        </is>
      </c>
      <c r="C92" s="17" t="inlineStr">
        <is>
          <t>Deferred tax asset</t>
        </is>
      </c>
      <c r="D92" s="17" t="inlineStr">
        <is>
          <t>DTA</t>
        </is>
      </c>
      <c r="E92" s="121" t="n">
        <v>0</v>
      </c>
      <c r="F92" s="121" t="n">
        <v>0</v>
      </c>
      <c r="G92" s="59" t="str"/>
    </row>
    <row r="93">
      <c r="A93" s="17" t="inlineStr">
        <is>
          <t>6</t>
        </is>
      </c>
      <c r="B93" s="17" t="inlineStr">
        <is>
          <t>Deferred Tax</t>
        </is>
      </c>
      <c r="C93" s="17" t="inlineStr">
        <is>
          <t>Deferred tax liability</t>
        </is>
      </c>
      <c r="D93" s="17" t="inlineStr">
        <is>
          <t>DTL</t>
        </is>
      </c>
      <c r="E93" s="121" t="n">
        <v>0</v>
      </c>
      <c r="F93" s="121" t="n">
        <v>0</v>
      </c>
      <c r="G93" s="59" t="str"/>
    </row>
    <row r="94">
      <c r="A94" s="65" t="inlineStr">
        <is>
          <t>6</t>
        </is>
      </c>
      <c r="B94" s="65" t="inlineStr">
        <is>
          <t>Deferred Tax</t>
        </is>
      </c>
      <c r="C94" s="65" t="inlineStr">
        <is>
          <t>Total — Deferred Tax</t>
        </is>
      </c>
      <c r="D94" s="65" t="inlineStr">
        <is>
          <t>__TOTAL__</t>
        </is>
      </c>
      <c r="E94" s="122">
        <f>SUM(E92:E93)</f>
        <v/>
      </c>
      <c r="F94" s="122">
        <f>SUM(F92:F93)</f>
        <v/>
      </c>
      <c r="G94" s="65" t="str"/>
    </row>
    <row r="95">
      <c r="A95" s="17" t="inlineStr">
        <is>
          <t>7</t>
        </is>
      </c>
      <c r="B95" s="17" t="inlineStr">
        <is>
          <t>Other Long-term Liabilities</t>
        </is>
      </c>
      <c r="C95" s="17" t="inlineStr">
        <is>
          <t>Other long-term liabilities</t>
        </is>
      </c>
      <c r="D95" s="17" t="inlineStr">
        <is>
          <t>OLTL</t>
        </is>
      </c>
      <c r="E95" s="121" t="n">
        <v>0</v>
      </c>
      <c r="F95" s="121" t="n">
        <v>0</v>
      </c>
      <c r="G95" s="59" t="str"/>
    </row>
    <row r="96">
      <c r="A96" s="65" t="inlineStr">
        <is>
          <t>7</t>
        </is>
      </c>
      <c r="B96" s="65" t="inlineStr">
        <is>
          <t>Other Long-term Liabilities</t>
        </is>
      </c>
      <c r="C96" s="65" t="inlineStr">
        <is>
          <t>Total — Other Long-term Liabilities</t>
        </is>
      </c>
      <c r="D96" s="65" t="inlineStr">
        <is>
          <t>__TOTAL__</t>
        </is>
      </c>
      <c r="E96" s="122">
        <f>SUM(E95:E95)</f>
        <v/>
      </c>
      <c r="F96" s="122">
        <f>SUM(F95:F95)</f>
        <v/>
      </c>
      <c r="G96" s="65" t="str"/>
    </row>
    <row r="97">
      <c r="A97" s="17" t="inlineStr">
        <is>
          <t>8</t>
        </is>
      </c>
      <c r="B97" s="17" t="inlineStr">
        <is>
          <t>Provisions</t>
        </is>
      </c>
      <c r="C97" s="17" t="inlineStr">
        <is>
          <t>Long-term provisions</t>
        </is>
      </c>
      <c r="D97" s="17" t="inlineStr">
        <is>
          <t>PROV_LT</t>
        </is>
      </c>
      <c r="E97" s="121" t="n">
        <v>0</v>
      </c>
      <c r="F97" s="121" t="n">
        <v>0</v>
      </c>
      <c r="G97" s="59" t="str"/>
    </row>
    <row r="98">
      <c r="A98" s="17" t="inlineStr">
        <is>
          <t>8</t>
        </is>
      </c>
      <c r="B98" s="17" t="inlineStr">
        <is>
          <t>Provisions</t>
        </is>
      </c>
      <c r="C98" s="17" t="inlineStr">
        <is>
          <t>Short-term provisions</t>
        </is>
      </c>
      <c r="D98" s="17" t="inlineStr">
        <is>
          <t>PROV_ST</t>
        </is>
      </c>
      <c r="E98" s="121" t="n">
        <v>0</v>
      </c>
      <c r="F98" s="121" t="n">
        <v>0</v>
      </c>
      <c r="G98" s="59" t="str"/>
    </row>
    <row r="99">
      <c r="A99" s="65" t="inlineStr">
        <is>
          <t>8</t>
        </is>
      </c>
      <c r="B99" s="65" t="inlineStr">
        <is>
          <t>Provisions</t>
        </is>
      </c>
      <c r="C99" s="65" t="inlineStr">
        <is>
          <t>Total — Provisions</t>
        </is>
      </c>
      <c r="D99" s="65" t="inlineStr">
        <is>
          <t>__TOTAL__</t>
        </is>
      </c>
      <c r="E99" s="122">
        <f>SUM(E97:E98)</f>
        <v/>
      </c>
      <c r="F99" s="122">
        <f>SUM(F97:F98)</f>
        <v/>
      </c>
      <c r="G99" s="65" t="str"/>
    </row>
    <row r="100">
      <c r="A100" s="17" t="inlineStr">
        <is>
          <t>9</t>
        </is>
      </c>
      <c r="B100" s="17" t="inlineStr">
        <is>
          <t>Trade Payables</t>
        </is>
      </c>
      <c r="C100" s="17" t="inlineStr">
        <is>
          <t>MSME dues</t>
        </is>
      </c>
      <c r="D100" s="17" t="inlineStr">
        <is>
          <t>TP_MSME</t>
        </is>
      </c>
      <c r="E100" s="121" t="n">
        <v>0</v>
      </c>
      <c r="F100" s="121" t="n">
        <v>0</v>
      </c>
      <c r="G100" s="59" t="str"/>
    </row>
    <row r="101">
      <c r="A101" s="17" t="inlineStr">
        <is>
          <t>9</t>
        </is>
      </c>
      <c r="B101" s="17" t="inlineStr">
        <is>
          <t>Trade Payables</t>
        </is>
      </c>
      <c r="C101" s="17" t="inlineStr">
        <is>
          <t>Other trade payables</t>
        </is>
      </c>
      <c r="D101" s="17" t="inlineStr">
        <is>
          <t>TP_OTHER</t>
        </is>
      </c>
      <c r="E101" s="121" t="n">
        <v>0</v>
      </c>
      <c r="F101" s="121" t="n">
        <v>0</v>
      </c>
      <c r="G101" s="59" t="str"/>
    </row>
    <row r="102">
      <c r="A102" s="65" t="inlineStr">
        <is>
          <t>9</t>
        </is>
      </c>
      <c r="B102" s="65" t="inlineStr">
        <is>
          <t>Trade Payables</t>
        </is>
      </c>
      <c r="C102" s="65" t="inlineStr">
        <is>
          <t>Total — Trade Payables</t>
        </is>
      </c>
      <c r="D102" s="65" t="inlineStr">
        <is>
          <t>__TOTAL__</t>
        </is>
      </c>
      <c r="E102" s="122">
        <f>SUM(E100:E101)</f>
        <v/>
      </c>
      <c r="F102" s="122">
        <f>SUM(F100:F101)</f>
        <v/>
      </c>
      <c r="G102" s="65" t="str"/>
    </row>
    <row r="103">
      <c r="A103" s="17" t="inlineStr">
        <is>
          <t>10</t>
        </is>
      </c>
      <c r="B103" s="17" t="inlineStr">
        <is>
          <t>Other Current Liabilities</t>
        </is>
      </c>
      <c r="C103" s="17" t="inlineStr">
        <is>
          <t>Statutory dues</t>
        </is>
      </c>
      <c r="D103" s="17" t="inlineStr">
        <is>
          <t>OCL_STAT</t>
        </is>
      </c>
      <c r="E103" s="121" t="n">
        <v>0</v>
      </c>
      <c r="F103" s="121" t="n">
        <v>0</v>
      </c>
      <c r="G103" s="59" t="str"/>
    </row>
    <row r="104">
      <c r="A104" s="17" t="inlineStr">
        <is>
          <t>10</t>
        </is>
      </c>
      <c r="B104" s="17" t="inlineStr">
        <is>
          <t>Other Current Liabilities</t>
        </is>
      </c>
      <c r="C104" s="17" t="inlineStr">
        <is>
          <t>Accrued expenses</t>
        </is>
      </c>
      <c r="D104" s="17" t="inlineStr">
        <is>
          <t>OCL_ACCR</t>
        </is>
      </c>
      <c r="E104" s="121" t="n">
        <v>0</v>
      </c>
      <c r="F104" s="121" t="n">
        <v>0</v>
      </c>
      <c r="G104" s="59" t="str"/>
    </row>
    <row r="105">
      <c r="A105" s="17" t="inlineStr">
        <is>
          <t>10</t>
        </is>
      </c>
      <c r="B105" s="17" t="inlineStr">
        <is>
          <t>Other Current Liabilities</t>
        </is>
      </c>
      <c r="C105" s="17" t="inlineStr">
        <is>
          <t>Advances</t>
        </is>
      </c>
      <c r="D105" s="17" t="inlineStr">
        <is>
          <t>OCL_ADV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10</t>
        </is>
      </c>
      <c r="B106" s="17" t="inlineStr">
        <is>
          <t>Other Current Liabilities</t>
        </is>
      </c>
      <c r="C106" s="17" t="inlineStr">
        <is>
          <t>Other current liabilities</t>
        </is>
      </c>
      <c r="D106" s="17" t="inlineStr">
        <is>
          <t>OCL_OTHER</t>
        </is>
      </c>
      <c r="E106" s="121" t="n">
        <v>0</v>
      </c>
      <c r="F106" s="121" t="n">
        <v>0</v>
      </c>
      <c r="G106" s="59" t="str"/>
    </row>
    <row r="107">
      <c r="A107" s="65" t="inlineStr">
        <is>
          <t>10</t>
        </is>
      </c>
      <c r="B107" s="65" t="inlineStr">
        <is>
          <t>Other Current Liabilities</t>
        </is>
      </c>
      <c r="C107" s="65" t="inlineStr">
        <is>
          <t>Total — Other Current Liabilities</t>
        </is>
      </c>
      <c r="D107" s="65" t="inlineStr">
        <is>
          <t>__TOTAL__</t>
        </is>
      </c>
      <c r="E107" s="122">
        <f>SUM(E103:E106)</f>
        <v/>
      </c>
      <c r="F107" s="122">
        <f>SUM(F103:F106)</f>
        <v/>
      </c>
      <c r="G107" s="65" t="str"/>
    </row>
    <row r="108">
      <c r="A108" s="17" t="inlineStr">
        <is>
          <t>11</t>
        </is>
      </c>
      <c r="B108" s="17" t="inlineStr">
        <is>
          <t>Property, Plant and Equipment / Intangibles</t>
        </is>
      </c>
      <c r="C108" s="17" t="inlineStr">
        <is>
          <t>PPE</t>
        </is>
      </c>
      <c r="D108" s="17" t="inlineStr">
        <is>
          <t>PPE</t>
        </is>
      </c>
      <c r="E108" s="121" t="n">
        <v>0</v>
      </c>
      <c r="F108" s="121" t="n">
        <v>0</v>
      </c>
      <c r="G108" s="59" t="str"/>
    </row>
    <row r="109">
      <c r="A109" s="17" t="inlineStr">
        <is>
          <t>11</t>
        </is>
      </c>
      <c r="B109" s="17" t="inlineStr">
        <is>
          <t>Property, Plant and Equipment / Intangibles</t>
        </is>
      </c>
      <c r="C109" s="17" t="inlineStr">
        <is>
          <t>Intangibles</t>
        </is>
      </c>
      <c r="D109" s="17" t="inlineStr">
        <is>
          <t>INTANG</t>
        </is>
      </c>
      <c r="E109" s="121" t="n">
        <v>0</v>
      </c>
      <c r="F109" s="121" t="n">
        <v>0</v>
      </c>
      <c r="G109" s="59" t="str"/>
    </row>
    <row r="110">
      <c r="A110" s="17" t="inlineStr">
        <is>
          <t>11</t>
        </is>
      </c>
      <c r="B110" s="17" t="inlineStr">
        <is>
          <t>Property, Plant and Equipment / Intangibles</t>
        </is>
      </c>
      <c r="C110" s="17" t="inlineStr">
        <is>
          <t>CWIP</t>
        </is>
      </c>
      <c r="D110" s="17" t="inlineStr">
        <is>
          <t>CWIP</t>
        </is>
      </c>
      <c r="E110" s="121" t="n">
        <v>0</v>
      </c>
      <c r="F110" s="121" t="n">
        <v>0</v>
      </c>
      <c r="G110" s="59" t="str"/>
    </row>
    <row r="111">
      <c r="A111" s="17" t="inlineStr">
        <is>
          <t>11</t>
        </is>
      </c>
      <c r="B111" s="17" t="inlineStr">
        <is>
          <t>Property, Plant and Equipment / Intangibles</t>
        </is>
      </c>
      <c r="C111" s="17" t="inlineStr">
        <is>
          <t>IAUD</t>
        </is>
      </c>
      <c r="D111" s="17" t="inlineStr">
        <is>
          <t>IAUD</t>
        </is>
      </c>
      <c r="E111" s="121" t="n">
        <v>0</v>
      </c>
      <c r="F111" s="121" t="n">
        <v>0</v>
      </c>
      <c r="G111" s="59" t="str"/>
    </row>
    <row r="112">
      <c r="A112" s="65" t="inlineStr">
        <is>
          <t>11</t>
        </is>
      </c>
      <c r="B112" s="65" t="inlineStr">
        <is>
          <t>Property, Plant and Equipment / Intangibles</t>
        </is>
      </c>
      <c r="C112" s="65" t="inlineStr">
        <is>
          <t>Total — Property, Plant and Equipment / Intangibles</t>
        </is>
      </c>
      <c r="D112" s="65" t="inlineStr">
        <is>
          <t>__TOTAL__</t>
        </is>
      </c>
      <c r="E112" s="122">
        <f>SUM(E108:E111)</f>
        <v/>
      </c>
      <c r="F112" s="122">
        <f>SUM(F108:F111)</f>
        <v/>
      </c>
      <c r="G112" s="65" t="str"/>
    </row>
    <row r="113">
      <c r="A113" s="17" t="inlineStr">
        <is>
          <t>12</t>
        </is>
      </c>
      <c r="B113" s="17" t="inlineStr">
        <is>
          <t>Investments</t>
        </is>
      </c>
      <c r="C113" s="17" t="inlineStr">
        <is>
          <t>Non-current investments</t>
        </is>
      </c>
      <c r="D113" s="17" t="inlineStr">
        <is>
          <t>INV_NC</t>
        </is>
      </c>
      <c r="E113" s="121" t="n">
        <v>0</v>
      </c>
      <c r="F113" s="121" t="n">
        <v>0</v>
      </c>
      <c r="G113" s="59" t="str"/>
    </row>
    <row r="114">
      <c r="A114" s="17" t="inlineStr">
        <is>
          <t>12</t>
        </is>
      </c>
      <c r="B114" s="17" t="inlineStr">
        <is>
          <t>Investments</t>
        </is>
      </c>
      <c r="C114" s="17" t="inlineStr">
        <is>
          <t>Current investments</t>
        </is>
      </c>
      <c r="D114" s="17" t="inlineStr">
        <is>
          <t>INV_CURR</t>
        </is>
      </c>
      <c r="E114" s="121" t="n">
        <v>0</v>
      </c>
      <c r="F114" s="121" t="n">
        <v>0</v>
      </c>
      <c r="G114" s="59" t="str"/>
    </row>
    <row r="115">
      <c r="A115" s="65" t="inlineStr">
        <is>
          <t>12</t>
        </is>
      </c>
      <c r="B115" s="65" t="inlineStr">
        <is>
          <t>Investments</t>
        </is>
      </c>
      <c r="C115" s="65" t="inlineStr">
        <is>
          <t>Total — Investments</t>
        </is>
      </c>
      <c r="D115" s="65" t="inlineStr">
        <is>
          <t>__TOTAL__</t>
        </is>
      </c>
      <c r="E115" s="122">
        <f>SUM(E113:E114)</f>
        <v/>
      </c>
      <c r="F115" s="122">
        <f>SUM(F113:F114)</f>
        <v/>
      </c>
      <c r="G115" s="65" t="str"/>
    </row>
    <row r="116">
      <c r="A116" s="17" t="inlineStr">
        <is>
          <t>13</t>
        </is>
      </c>
      <c r="B116" s="17" t="inlineStr">
        <is>
          <t>Loans and Advances</t>
        </is>
      </c>
      <c r="C116" s="17" t="inlineStr">
        <is>
          <t>Long-term loans / advances</t>
        </is>
      </c>
      <c r="D116" s="17" t="inlineStr">
        <is>
          <t>LA_LT</t>
        </is>
      </c>
      <c r="E116" s="121" t="n">
        <v>0</v>
      </c>
      <c r="F116" s="121" t="n">
        <v>0</v>
      </c>
      <c r="G116" s="59" t="str"/>
    </row>
    <row r="117">
      <c r="A117" s="17" t="inlineStr">
        <is>
          <t>13</t>
        </is>
      </c>
      <c r="B117" s="17" t="inlineStr">
        <is>
          <t>Loans and Advances</t>
        </is>
      </c>
      <c r="C117" s="17" t="inlineStr">
        <is>
          <t>Short-term loans / advances</t>
        </is>
      </c>
      <c r="D117" s="17" t="inlineStr">
        <is>
          <t>LA_ST</t>
        </is>
      </c>
      <c r="E117" s="121" t="n">
        <v>0</v>
      </c>
      <c r="F117" s="121" t="n">
        <v>0</v>
      </c>
      <c r="G117" s="59" t="str"/>
    </row>
    <row r="118">
      <c r="A118" s="65" t="inlineStr">
        <is>
          <t>13</t>
        </is>
      </c>
      <c r="B118" s="65" t="inlineStr">
        <is>
          <t>Loans and Advances</t>
        </is>
      </c>
      <c r="C118" s="65" t="inlineStr">
        <is>
          <t>Total — Loans and Advances</t>
        </is>
      </c>
      <c r="D118" s="65" t="inlineStr">
        <is>
          <t>__TOTAL__</t>
        </is>
      </c>
      <c r="E118" s="122">
        <f>SUM(E116:E117)</f>
        <v/>
      </c>
      <c r="F118" s="122">
        <f>SUM(F116:F117)</f>
        <v/>
      </c>
      <c r="G118" s="65" t="str"/>
    </row>
    <row r="119">
      <c r="A119" s="17" t="inlineStr">
        <is>
          <t>14</t>
        </is>
      </c>
      <c r="B119" s="17" t="inlineStr">
        <is>
          <t>Other Non-current Assets</t>
        </is>
      </c>
      <c r="C119" s="17" t="inlineStr">
        <is>
          <t>Other non-current assets</t>
        </is>
      </c>
      <c r="D119" s="17" t="inlineStr">
        <is>
          <t>ONCA</t>
        </is>
      </c>
      <c r="E119" s="121" t="n">
        <v>0</v>
      </c>
      <c r="F119" s="121" t="n">
        <v>0</v>
      </c>
      <c r="G119" s="59" t="str"/>
    </row>
    <row r="120">
      <c r="A120" s="65" t="inlineStr">
        <is>
          <t>14</t>
        </is>
      </c>
      <c r="B120" s="65" t="inlineStr">
        <is>
          <t>Other Non-current Assets</t>
        </is>
      </c>
      <c r="C120" s="65" t="inlineStr">
        <is>
          <t>Total — Other Non-current Assets</t>
        </is>
      </c>
      <c r="D120" s="65" t="inlineStr">
        <is>
          <t>__TOTAL__</t>
        </is>
      </c>
      <c r="E120" s="122">
        <f>SUM(E119:E119)</f>
        <v/>
      </c>
      <c r="F120" s="122">
        <f>SUM(F119:F119)</f>
        <v/>
      </c>
      <c r="G120" s="65" t="str"/>
    </row>
    <row r="121">
      <c r="A121" s="17" t="inlineStr">
        <is>
          <t>15</t>
        </is>
      </c>
      <c r="B121" s="17" t="inlineStr">
        <is>
          <t>Inventories</t>
        </is>
      </c>
      <c r="C121" s="17" t="inlineStr">
        <is>
          <t>Raw materials</t>
        </is>
      </c>
      <c r="D121" s="17" t="inlineStr">
        <is>
          <t>INV_RM</t>
        </is>
      </c>
      <c r="E121" s="121" t="n">
        <v>0</v>
      </c>
      <c r="F121" s="121" t="n">
        <v>0</v>
      </c>
      <c r="G121" s="59" t="str"/>
    </row>
    <row r="122">
      <c r="A122" s="17" t="inlineStr">
        <is>
          <t>15</t>
        </is>
      </c>
      <c r="B122" s="17" t="inlineStr">
        <is>
          <t>Inventories</t>
        </is>
      </c>
      <c r="C122" s="17" t="inlineStr">
        <is>
          <t>WIP</t>
        </is>
      </c>
      <c r="D122" s="17" t="inlineStr">
        <is>
          <t>INV_WIP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15</t>
        </is>
      </c>
      <c r="B123" s="17" t="inlineStr">
        <is>
          <t>Inventories</t>
        </is>
      </c>
      <c r="C123" s="17" t="inlineStr">
        <is>
          <t>Finished goods</t>
        </is>
      </c>
      <c r="D123" s="17" t="inlineStr">
        <is>
          <t>INV_FG</t>
        </is>
      </c>
      <c r="E123" s="121" t="n">
        <v>0</v>
      </c>
      <c r="F123" s="121" t="n">
        <v>0</v>
      </c>
      <c r="G123" s="59" t="str"/>
    </row>
    <row r="124">
      <c r="A124" s="17" t="inlineStr">
        <is>
          <t>15</t>
        </is>
      </c>
      <c r="B124" s="17" t="inlineStr">
        <is>
          <t>Inventories</t>
        </is>
      </c>
      <c r="C124" s="17" t="inlineStr">
        <is>
          <t>Stock-in-trade</t>
        </is>
      </c>
      <c r="D124" s="17" t="inlineStr">
        <is>
          <t>INV_SIT</t>
        </is>
      </c>
      <c r="E124" s="121" t="n">
        <v>0</v>
      </c>
      <c r="F124" s="121" t="n">
        <v>0</v>
      </c>
      <c r="G124" s="59" t="str"/>
    </row>
    <row r="125">
      <c r="A125" s="17" t="inlineStr">
        <is>
          <t>15</t>
        </is>
      </c>
      <c r="B125" s="17" t="inlineStr">
        <is>
          <t>Inventories</t>
        </is>
      </c>
      <c r="C125" s="17" t="inlineStr">
        <is>
          <t>Other inventories</t>
        </is>
      </c>
      <c r="D125" s="17" t="inlineStr">
        <is>
          <t>INV_OTHER</t>
        </is>
      </c>
      <c r="E125" s="121" t="n">
        <v>0</v>
      </c>
      <c r="F125" s="121" t="n">
        <v>0</v>
      </c>
      <c r="G125" s="59" t="str"/>
    </row>
    <row r="126">
      <c r="A126" s="65" t="inlineStr">
        <is>
          <t>15</t>
        </is>
      </c>
      <c r="B126" s="65" t="inlineStr">
        <is>
          <t>Inventories</t>
        </is>
      </c>
      <c r="C126" s="65" t="inlineStr">
        <is>
          <t>Total — Inventories</t>
        </is>
      </c>
      <c r="D126" s="65" t="inlineStr">
        <is>
          <t>__TOTAL__</t>
        </is>
      </c>
      <c r="E126" s="122">
        <f>SUM(E121:E125)</f>
        <v/>
      </c>
      <c r="F126" s="122">
        <f>SUM(F121:F125)</f>
        <v/>
      </c>
      <c r="G126" s="65" t="str"/>
    </row>
    <row r="127">
      <c r="A127" s="17" t="inlineStr">
        <is>
          <t>16</t>
        </is>
      </c>
      <c r="B127" s="17" t="inlineStr">
        <is>
          <t>Trade Receivables</t>
        </is>
      </c>
      <c r="C127" s="17" t="inlineStr">
        <is>
          <t>Good receivables</t>
        </is>
      </c>
      <c r="D127" s="17" t="inlineStr">
        <is>
          <t>TR_GOOD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16</t>
        </is>
      </c>
      <c r="B128" s="17" t="inlineStr">
        <is>
          <t>Trade Receivables</t>
        </is>
      </c>
      <c r="C128" s="17" t="inlineStr">
        <is>
          <t>Doubtful receivables</t>
        </is>
      </c>
      <c r="D128" s="17" t="inlineStr">
        <is>
          <t>TR_DOUBT</t>
        </is>
      </c>
      <c r="E128" s="121" t="n">
        <v>0</v>
      </c>
      <c r="F128" s="121" t="n">
        <v>0</v>
      </c>
      <c r="G128" s="59" t="str"/>
    </row>
    <row r="129">
      <c r="A129" s="17" t="inlineStr">
        <is>
          <t>16</t>
        </is>
      </c>
      <c r="B129" s="17" t="inlineStr">
        <is>
          <t>Trade Receivables</t>
        </is>
      </c>
      <c r="C129" s="17" t="inlineStr">
        <is>
          <t>Allowance</t>
        </is>
      </c>
      <c r="D129" s="17" t="inlineStr">
        <is>
          <t>TR_ALLOW</t>
        </is>
      </c>
      <c r="E129" s="121" t="n">
        <v>0</v>
      </c>
      <c r="F129" s="121" t="n">
        <v>0</v>
      </c>
      <c r="G129" s="59" t="str"/>
    </row>
    <row r="130">
      <c r="A130" s="65" t="inlineStr">
        <is>
          <t>16</t>
        </is>
      </c>
      <c r="B130" s="65" t="inlineStr">
        <is>
          <t>Trade Receivables</t>
        </is>
      </c>
      <c r="C130" s="65" t="inlineStr">
        <is>
          <t>Total — Trade Receivables</t>
        </is>
      </c>
      <c r="D130" s="65" t="inlineStr">
        <is>
          <t>__TOTAL__</t>
        </is>
      </c>
      <c r="E130" s="122">
        <f>SUM(E127:E129)</f>
        <v/>
      </c>
      <c r="F130" s="122">
        <f>SUM(F127:F129)</f>
        <v/>
      </c>
      <c r="G130" s="65" t="str"/>
    </row>
    <row r="131">
      <c r="A131" s="17" t="inlineStr">
        <is>
          <t>17</t>
        </is>
      </c>
      <c r="B131" s="17" t="inlineStr">
        <is>
          <t>Cash and Bank Balances</t>
        </is>
      </c>
      <c r="C131" s="17" t="inlineStr">
        <is>
          <t>Cash on hand</t>
        </is>
      </c>
      <c r="D131" s="17" t="inlineStr">
        <is>
          <t>CASH_HAND</t>
        </is>
      </c>
      <c r="E131" s="121" t="n">
        <v>0</v>
      </c>
      <c r="F131" s="121" t="n">
        <v>0</v>
      </c>
      <c r="G131" s="59" t="str"/>
    </row>
    <row r="132">
      <c r="A132" s="17" t="inlineStr">
        <is>
          <t>17</t>
        </is>
      </c>
      <c r="B132" s="17" t="inlineStr">
        <is>
          <t>Cash and Bank Balances</t>
        </is>
      </c>
      <c r="C132" s="17" t="inlineStr">
        <is>
          <t>Bank balances</t>
        </is>
      </c>
      <c r="D132" s="17" t="inlineStr">
        <is>
          <t>CASH_BANK</t>
        </is>
      </c>
      <c r="E132" s="121" t="n">
        <v>0</v>
      </c>
      <c r="F132" s="121" t="n">
        <v>0</v>
      </c>
      <c r="G132" s="59" t="str"/>
    </row>
    <row r="133">
      <c r="A133" s="17" t="inlineStr">
        <is>
          <t>17</t>
        </is>
      </c>
      <c r="B133" s="17" t="inlineStr">
        <is>
          <t>Cash and Bank Balances</t>
        </is>
      </c>
      <c r="C133" s="17" t="inlineStr">
        <is>
          <t>Other bank balances</t>
        </is>
      </c>
      <c r="D133" s="17" t="inlineStr">
        <is>
          <t>BANK_OTHER</t>
        </is>
      </c>
      <c r="E133" s="121" t="n">
        <v>0</v>
      </c>
      <c r="F133" s="121" t="n">
        <v>0</v>
      </c>
      <c r="G133" s="59" t="str"/>
    </row>
    <row r="134">
      <c r="A134" s="65" t="inlineStr">
        <is>
          <t>17</t>
        </is>
      </c>
      <c r="B134" s="65" t="inlineStr">
        <is>
          <t>Cash and Bank Balances</t>
        </is>
      </c>
      <c r="C134" s="65" t="inlineStr">
        <is>
          <t>Total — Cash and Bank Balances</t>
        </is>
      </c>
      <c r="D134" s="65" t="inlineStr">
        <is>
          <t>__TOTAL__</t>
        </is>
      </c>
      <c r="E134" s="122">
        <f>SUM(E131:E133)</f>
        <v/>
      </c>
      <c r="F134" s="122">
        <f>SUM(F131:F133)</f>
        <v/>
      </c>
      <c r="G134" s="65" t="str"/>
    </row>
    <row r="135">
      <c r="A135" s="17" t="inlineStr">
        <is>
          <t>18</t>
        </is>
      </c>
      <c r="B135" s="17" t="inlineStr">
        <is>
          <t>Other Current Assets</t>
        </is>
      </c>
      <c r="C135" s="17" t="inlineStr">
        <is>
          <t>Prepaids</t>
        </is>
      </c>
      <c r="D135" s="17" t="inlineStr">
        <is>
          <t>OCA_PRE</t>
        </is>
      </c>
      <c r="E135" s="121" t="n">
        <v>0</v>
      </c>
      <c r="F135" s="121" t="n">
        <v>0</v>
      </c>
      <c r="G135" s="59" t="str"/>
    </row>
    <row r="136">
      <c r="A136" s="17" t="inlineStr">
        <is>
          <t>18</t>
        </is>
      </c>
      <c r="B136" s="17" t="inlineStr">
        <is>
          <t>Other Current Assets</t>
        </is>
      </c>
      <c r="C136" s="17" t="inlineStr">
        <is>
          <t>Tax / GST receivables</t>
        </is>
      </c>
      <c r="D136" s="17" t="inlineStr">
        <is>
          <t>OCA_TAX</t>
        </is>
      </c>
      <c r="E136" s="121" t="n">
        <v>0</v>
      </c>
      <c r="F136" s="121" t="n">
        <v>0</v>
      </c>
      <c r="G136" s="59" t="str"/>
    </row>
    <row r="137">
      <c r="A137" s="17" t="inlineStr">
        <is>
          <t>18</t>
        </is>
      </c>
      <c r="B137" s="17" t="inlineStr">
        <is>
          <t>Other Current Assets</t>
        </is>
      </c>
      <c r="C137" s="17" t="inlineStr">
        <is>
          <t>Other current assets</t>
        </is>
      </c>
      <c r="D137" s="17" t="inlineStr">
        <is>
          <t>OCA_OTHER</t>
        </is>
      </c>
      <c r="E137" s="121" t="n">
        <v>0</v>
      </c>
      <c r="F137" s="121" t="n">
        <v>0</v>
      </c>
      <c r="G137" s="59" t="str"/>
    </row>
    <row r="138">
      <c r="A138" s="65" t="inlineStr">
        <is>
          <t>18</t>
        </is>
      </c>
      <c r="B138" s="65" t="inlineStr">
        <is>
          <t>Other Current Assets</t>
        </is>
      </c>
      <c r="C138" s="65" t="inlineStr">
        <is>
          <t>Total — Other Current Assets</t>
        </is>
      </c>
      <c r="D138" s="65" t="inlineStr">
        <is>
          <t>__TOTAL__</t>
        </is>
      </c>
      <c r="E138" s="122">
        <f>SUM(E135:E137)</f>
        <v/>
      </c>
      <c r="F138" s="122">
        <f>SUM(F135:F137)</f>
        <v/>
      </c>
      <c r="G138" s="65" t="str"/>
    </row>
    <row r="139">
      <c r="A139" s="17" t="inlineStr">
        <is>
          <t>19</t>
        </is>
      </c>
      <c r="B139" s="17" t="inlineStr">
        <is>
          <t>Revenue from Operations</t>
        </is>
      </c>
      <c r="C139" s="17" t="inlineStr">
        <is>
          <t>Sale of goods</t>
        </is>
      </c>
      <c r="D139" s="17" t="inlineStr">
        <is>
          <t>REV_GOODS</t>
        </is>
      </c>
      <c r="E139" s="121" t="n">
        <v>0</v>
      </c>
      <c r="F139" s="121" t="n">
        <v>0</v>
      </c>
      <c r="G139" s="59" t="str"/>
    </row>
    <row r="140">
      <c r="A140" s="17" t="inlineStr">
        <is>
          <t>19</t>
        </is>
      </c>
      <c r="B140" s="17" t="inlineStr">
        <is>
          <t>Revenue from Operations</t>
        </is>
      </c>
      <c r="C140" s="17" t="inlineStr">
        <is>
          <t>Sale of services</t>
        </is>
      </c>
      <c r="D140" s="17" t="inlineStr">
        <is>
          <t>REV_SERV</t>
        </is>
      </c>
      <c r="E140" s="121" t="n">
        <v>0</v>
      </c>
      <c r="F140" s="121" t="n">
        <v>0</v>
      </c>
      <c r="G140" s="59" t="str"/>
    </row>
    <row r="141">
      <c r="A141" s="17" t="inlineStr">
        <is>
          <t>19</t>
        </is>
      </c>
      <c r="B141" s="17" t="inlineStr">
        <is>
          <t>Revenue from Operations</t>
        </is>
      </c>
      <c r="C141" s="17" t="inlineStr">
        <is>
          <t>Other operating revenue</t>
        </is>
      </c>
      <c r="D141" s="17" t="inlineStr">
        <is>
          <t>REV_OTHER</t>
        </is>
      </c>
      <c r="E141" s="121" t="n">
        <v>0</v>
      </c>
      <c r="F141" s="121" t="n">
        <v>0</v>
      </c>
      <c r="G141" s="59" t="str"/>
    </row>
    <row r="142">
      <c r="A142" s="65" t="inlineStr">
        <is>
          <t>19</t>
        </is>
      </c>
      <c r="B142" s="65" t="inlineStr">
        <is>
          <t>Revenue from Operations</t>
        </is>
      </c>
      <c r="C142" s="65" t="inlineStr">
        <is>
          <t>Total — Revenue from Operations</t>
        </is>
      </c>
      <c r="D142" s="65" t="inlineStr">
        <is>
          <t>__TOTAL__</t>
        </is>
      </c>
      <c r="E142" s="122">
        <f>SUM(E139:E141)</f>
        <v/>
      </c>
      <c r="F142" s="122">
        <f>SUM(F139:F141)</f>
        <v/>
      </c>
      <c r="G142" s="65" t="str"/>
    </row>
    <row r="143">
      <c r="A143" s="17" t="inlineStr">
        <is>
          <t>20</t>
        </is>
      </c>
      <c r="B143" s="17" t="inlineStr">
        <is>
          <t>Other Income</t>
        </is>
      </c>
      <c r="C143" s="17" t="inlineStr">
        <is>
          <t>Interest</t>
        </is>
      </c>
      <c r="D143" s="17" t="inlineStr">
        <is>
          <t>OI_INT</t>
        </is>
      </c>
      <c r="E143" s="121" t="n">
        <v>0</v>
      </c>
      <c r="F143" s="121" t="n">
        <v>0</v>
      </c>
      <c r="G143" s="59" t="str"/>
    </row>
    <row r="144">
      <c r="A144" s="17" t="inlineStr">
        <is>
          <t>20</t>
        </is>
      </c>
      <c r="B144" s="17" t="inlineStr">
        <is>
          <t>Other Income</t>
        </is>
      </c>
      <c r="C144" s="17" t="inlineStr">
        <is>
          <t>Dividend</t>
        </is>
      </c>
      <c r="D144" s="17" t="inlineStr">
        <is>
          <t>OI_DIV</t>
        </is>
      </c>
      <c r="E144" s="121" t="n">
        <v>0</v>
      </c>
      <c r="F144" s="121" t="n">
        <v>0</v>
      </c>
      <c r="G144" s="59" t="str"/>
    </row>
    <row r="145">
      <c r="A145" s="17" t="inlineStr">
        <is>
          <t>20</t>
        </is>
      </c>
      <c r="B145" s="17" t="inlineStr">
        <is>
          <t>Other Income</t>
        </is>
      </c>
      <c r="C145" s="17" t="inlineStr">
        <is>
          <t>Other income</t>
        </is>
      </c>
      <c r="D145" s="17" t="inlineStr">
        <is>
          <t>OI_OTHER</t>
        </is>
      </c>
      <c r="E145" s="121" t="n">
        <v>0</v>
      </c>
      <c r="F145" s="121" t="n">
        <v>0</v>
      </c>
      <c r="G145" s="59" t="str"/>
    </row>
    <row r="146">
      <c r="A146" s="65" t="inlineStr">
        <is>
          <t>20</t>
        </is>
      </c>
      <c r="B146" s="65" t="inlineStr">
        <is>
          <t>Other Income</t>
        </is>
      </c>
      <c r="C146" s="65" t="inlineStr">
        <is>
          <t>Total — Other Income</t>
        </is>
      </c>
      <c r="D146" s="65" t="inlineStr">
        <is>
          <t>__TOTAL__</t>
        </is>
      </c>
      <c r="E146" s="122">
        <f>SUM(E143:E145)</f>
        <v/>
      </c>
      <c r="F146" s="122">
        <f>SUM(F143:F145)</f>
        <v/>
      </c>
      <c r="G146" s="65" t="str"/>
    </row>
    <row r="147">
      <c r="A147" s="17" t="inlineStr">
        <is>
          <t>21</t>
        </is>
      </c>
      <c r="B147" s="17" t="inlineStr">
        <is>
          <t>Cost of Materials Consumed / Purchases</t>
        </is>
      </c>
      <c r="C147" s="17" t="inlineStr">
        <is>
          <t>Materials consumed</t>
        </is>
      </c>
      <c r="D147" s="17" t="inlineStr">
        <is>
          <t>MAT_CONS</t>
        </is>
      </c>
      <c r="E147" s="121" t="n">
        <v>0</v>
      </c>
      <c r="F147" s="121" t="n">
        <v>0</v>
      </c>
      <c r="G147" s="59" t="str"/>
    </row>
    <row r="148">
      <c r="A148" s="17" t="inlineStr">
        <is>
          <t>21</t>
        </is>
      </c>
      <c r="B148" s="17" t="inlineStr">
        <is>
          <t>Cost of Materials Consumed / Purchases</t>
        </is>
      </c>
      <c r="C148" s="17" t="inlineStr">
        <is>
          <t>Purchases of stock-in-trade</t>
        </is>
      </c>
      <c r="D148" s="17" t="inlineStr">
        <is>
          <t>PUR_SIT</t>
        </is>
      </c>
      <c r="E148" s="121" t="n">
        <v>0</v>
      </c>
      <c r="F148" s="121" t="n">
        <v>0</v>
      </c>
      <c r="G148" s="59" t="str"/>
    </row>
    <row r="149">
      <c r="A149" s="65" t="inlineStr">
        <is>
          <t>21</t>
        </is>
      </c>
      <c r="B149" s="65" t="inlineStr">
        <is>
          <t>Cost of Materials Consumed / Purchases</t>
        </is>
      </c>
      <c r="C149" s="65" t="inlineStr">
        <is>
          <t>Total — Cost of Materials Consumed / Purchases</t>
        </is>
      </c>
      <c r="D149" s="65" t="inlineStr">
        <is>
          <t>__TOTAL__</t>
        </is>
      </c>
      <c r="E149" s="122">
        <f>SUM(E147:E148)</f>
        <v/>
      </c>
      <c r="F149" s="122">
        <f>SUM(F147:F148)</f>
        <v/>
      </c>
      <c r="G149" s="65" t="str"/>
    </row>
    <row r="150">
      <c r="A150" s="17" t="inlineStr">
        <is>
          <t>22</t>
        </is>
      </c>
      <c r="B150" s="17" t="inlineStr">
        <is>
          <t>Changes in Inventories</t>
        </is>
      </c>
      <c r="C150" s="17" t="inlineStr">
        <is>
          <t>Changes in inventories</t>
        </is>
      </c>
      <c r="D150" s="17" t="inlineStr">
        <is>
          <t>CHG_INV</t>
        </is>
      </c>
      <c r="E150" s="121" t="n">
        <v>0</v>
      </c>
      <c r="F150" s="121" t="n">
        <v>0</v>
      </c>
      <c r="G150" s="59" t="str"/>
    </row>
    <row r="151">
      <c r="A151" s="65" t="inlineStr">
        <is>
          <t>22</t>
        </is>
      </c>
      <c r="B151" s="65" t="inlineStr">
        <is>
          <t>Changes in Inventories</t>
        </is>
      </c>
      <c r="C151" s="65" t="inlineStr">
        <is>
          <t>Total — Changes in Inventories</t>
        </is>
      </c>
      <c r="D151" s="65" t="inlineStr">
        <is>
          <t>__TOTAL__</t>
        </is>
      </c>
      <c r="E151" s="122">
        <f>SUM(E150:E150)</f>
        <v/>
      </c>
      <c r="F151" s="122">
        <f>SUM(F150:F150)</f>
        <v/>
      </c>
      <c r="G151" s="65" t="str"/>
    </row>
    <row r="152">
      <c r="A152" s="17" t="inlineStr">
        <is>
          <t>23</t>
        </is>
      </c>
      <c r="B152" s="17" t="inlineStr">
        <is>
          <t>Employee Benefits Expense</t>
        </is>
      </c>
      <c r="C152" s="17" t="inlineStr">
        <is>
          <t>Employee benefits</t>
        </is>
      </c>
      <c r="D152" s="17" t="inlineStr">
        <is>
          <t>EMP</t>
        </is>
      </c>
      <c r="E152" s="121" t="n">
        <v>0</v>
      </c>
      <c r="F152" s="121" t="n">
        <v>0</v>
      </c>
      <c r="G152" s="59" t="str"/>
    </row>
    <row r="153">
      <c r="A153" s="65" t="inlineStr">
        <is>
          <t>23</t>
        </is>
      </c>
      <c r="B153" s="65" t="inlineStr">
        <is>
          <t>Employee Benefits Expense</t>
        </is>
      </c>
      <c r="C153" s="65" t="inlineStr">
        <is>
          <t>Total — Employee Benefits Expense</t>
        </is>
      </c>
      <c r="D153" s="65" t="inlineStr">
        <is>
          <t>__TOTAL__</t>
        </is>
      </c>
      <c r="E153" s="122">
        <f>SUM(E152:E152)</f>
        <v/>
      </c>
      <c r="F153" s="122">
        <f>SUM(F152:F152)</f>
        <v/>
      </c>
      <c r="G153" s="65" t="str"/>
    </row>
    <row r="154">
      <c r="A154" s="17" t="inlineStr">
        <is>
          <t>24</t>
        </is>
      </c>
      <c r="B154" s="17" t="inlineStr">
        <is>
          <t>Finance Costs</t>
        </is>
      </c>
      <c r="C154" s="17" t="inlineStr">
        <is>
          <t>Finance costs</t>
        </is>
      </c>
      <c r="D154" s="17" t="inlineStr">
        <is>
          <t>FIN</t>
        </is>
      </c>
      <c r="E154" s="121" t="n">
        <v>0</v>
      </c>
      <c r="F154" s="121" t="n">
        <v>0</v>
      </c>
      <c r="G154" s="59" t="str"/>
    </row>
    <row r="155">
      <c r="A155" s="65" t="inlineStr">
        <is>
          <t>24</t>
        </is>
      </c>
      <c r="B155" s="65" t="inlineStr">
        <is>
          <t>Finance Costs</t>
        </is>
      </c>
      <c r="C155" s="65" t="inlineStr">
        <is>
          <t>Total — Finance Costs</t>
        </is>
      </c>
      <c r="D155" s="65" t="inlineStr">
        <is>
          <t>__TOTAL__</t>
        </is>
      </c>
      <c r="E155" s="122">
        <f>SUM(E154:E154)</f>
        <v/>
      </c>
      <c r="F155" s="122">
        <f>SUM(F154:F154)</f>
        <v/>
      </c>
      <c r="G155" s="65" t="str"/>
    </row>
    <row r="156">
      <c r="A156" s="17" t="inlineStr">
        <is>
          <t>25</t>
        </is>
      </c>
      <c r="B156" s="17" t="inlineStr">
        <is>
          <t>Depreciation and Amortisation</t>
        </is>
      </c>
      <c r="C156" s="17" t="inlineStr">
        <is>
          <t>Depreciation</t>
        </is>
      </c>
      <c r="D156" s="17" t="inlineStr">
        <is>
          <t>DEP</t>
        </is>
      </c>
      <c r="E156" s="121" t="n">
        <v>0</v>
      </c>
      <c r="F156" s="121" t="n">
        <v>0</v>
      </c>
      <c r="G156" s="59" t="str"/>
    </row>
    <row r="157">
      <c r="A157" s="17" t="inlineStr">
        <is>
          <t>25</t>
        </is>
      </c>
      <c r="B157" s="17" t="inlineStr">
        <is>
          <t>Depreciation and Amortisation</t>
        </is>
      </c>
      <c r="C157" s="17" t="inlineStr">
        <is>
          <t>Amortisation</t>
        </is>
      </c>
      <c r="D157" s="17" t="inlineStr">
        <is>
          <t>AMORT</t>
        </is>
      </c>
      <c r="E157" s="121" t="n">
        <v>0</v>
      </c>
      <c r="F157" s="121" t="n">
        <v>0</v>
      </c>
      <c r="G157" s="59" t="str"/>
    </row>
    <row r="158">
      <c r="A158" s="65" t="inlineStr">
        <is>
          <t>25</t>
        </is>
      </c>
      <c r="B158" s="65" t="inlineStr">
        <is>
          <t>Depreciation and Amortisation</t>
        </is>
      </c>
      <c r="C158" s="65" t="inlineStr">
        <is>
          <t>Total — Depreciation and Amortisation</t>
        </is>
      </c>
      <c r="D158" s="65" t="inlineStr">
        <is>
          <t>__TOTAL__</t>
        </is>
      </c>
      <c r="E158" s="122">
        <f>SUM(E156:E157)</f>
        <v/>
      </c>
      <c r="F158" s="122">
        <f>SUM(F156:F157)</f>
        <v/>
      </c>
      <c r="G158" s="65" t="str"/>
    </row>
    <row r="159">
      <c r="A159" s="17" t="inlineStr">
        <is>
          <t>26</t>
        </is>
      </c>
      <c r="B159" s="17" t="inlineStr">
        <is>
          <t>Other Expenses</t>
        </is>
      </c>
      <c r="C159" s="17" t="inlineStr">
        <is>
          <t>Other expenses</t>
        </is>
      </c>
      <c r="D159" s="17" t="inlineStr">
        <is>
          <t>OE</t>
        </is>
      </c>
      <c r="E159" s="121" t="n">
        <v>0</v>
      </c>
      <c r="F159" s="121" t="n">
        <v>0</v>
      </c>
      <c r="G159" s="59" t="str"/>
    </row>
    <row r="160">
      <c r="A160" s="65" t="inlineStr">
        <is>
          <t>26</t>
        </is>
      </c>
      <c r="B160" s="65" t="inlineStr">
        <is>
          <t>Other Expenses</t>
        </is>
      </c>
      <c r="C160" s="65" t="inlineStr">
        <is>
          <t>Total — Other Expenses</t>
        </is>
      </c>
      <c r="D160" s="65" t="inlineStr">
        <is>
          <t>__TOTAL__</t>
        </is>
      </c>
      <c r="E160" s="122">
        <f>SUM(E159:E159)</f>
        <v/>
      </c>
      <c r="F160" s="122">
        <f>SUM(F159:F159)</f>
        <v/>
      </c>
      <c r="G160" s="65" t="str"/>
    </row>
    <row r="161">
      <c r="A161" s="17" t="n"/>
      <c r="B161" s="17" t="n"/>
      <c r="C161" s="17" t="n"/>
      <c r="D161" s="17" t="n"/>
      <c r="E161" s="17" t="n"/>
      <c r="F161" s="17" t="n"/>
      <c r="G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</row>
    <row r="163" ht="26" customHeight="1" s="82">
      <c r="A163" s="79" t="inlineStr">
        <is>
          <t>Cash Flow Statement</t>
        </is>
      </c>
      <c r="B163" s="1" t="n"/>
      <c r="C163" s="1" t="n"/>
      <c r="D163" s="1" t="n"/>
      <c r="E163" s="1" t="n"/>
      <c r="F163" s="1" t="n"/>
      <c r="G163" s="1" t="n"/>
    </row>
    <row r="164">
      <c r="A164" s="14" t="inlineStr">
        <is>
          <t>Line Item</t>
        </is>
      </c>
      <c r="B164" s="14" t="inlineStr">
        <is>
          <t>AAH Mapping Key</t>
        </is>
      </c>
      <c r="C164" s="14" t="inlineStr">
        <is>
          <t>Current Period</t>
        </is>
      </c>
      <c r="D164" s="14" t="inlineStr">
        <is>
          <t>Previous Period</t>
        </is>
      </c>
      <c r="E164" s="14" t="inlineStr">
        <is>
          <t>Calculation / Rule</t>
        </is>
      </c>
      <c r="F164" s="14" t="inlineStr">
        <is>
          <t>Status</t>
        </is>
      </c>
      <c r="G164" s="14" t="inlineStr">
        <is>
          <t>Remarks</t>
        </is>
      </c>
    </row>
    <row r="165">
      <c r="A165" s="17" t="inlineStr">
        <is>
          <t>Profit before tax / operating surplus</t>
        </is>
      </c>
      <c r="B165" s="17" t="inlineStr">
        <is>
          <t>CFS_PBT</t>
        </is>
      </c>
      <c r="C165" s="121" t="n">
        <v>0</v>
      </c>
      <c r="D165" s="121" t="n">
        <v>0</v>
      </c>
      <c r="E165" s="17" t="inlineStr">
        <is>
          <t>To be populated/calculated by AAH mapping engine</t>
        </is>
      </c>
      <c r="F165" s="17" t="str"/>
      <c r="G165" s="80" t="str"/>
    </row>
    <row r="166">
      <c r="A166" s="17" t="inlineStr">
        <is>
          <t>Non-cash adjustments</t>
        </is>
      </c>
      <c r="B166" s="17" t="inlineStr">
        <is>
          <t>CFS_ADJ</t>
        </is>
      </c>
      <c r="C166" s="121" t="n">
        <v>0</v>
      </c>
      <c r="D166" s="121" t="n">
        <v>0</v>
      </c>
      <c r="E166" s="17" t="inlineStr">
        <is>
          <t>To be populated/calculated by AAH mapping engine</t>
        </is>
      </c>
      <c r="F166" s="17" t="str"/>
      <c r="G166" s="80" t="str"/>
    </row>
    <row r="167">
      <c r="A167" s="17" t="inlineStr">
        <is>
          <t>Working capital changes</t>
        </is>
      </c>
      <c r="B167" s="17" t="inlineStr">
        <is>
          <t>CFS_WC</t>
        </is>
      </c>
      <c r="C167" s="121" t="n">
        <v>0</v>
      </c>
      <c r="D167" s="121" t="n">
        <v>0</v>
      </c>
      <c r="E167" s="17" t="inlineStr">
        <is>
          <t>To be populated/calculated by AAH mapping engine</t>
        </is>
      </c>
      <c r="F167" s="17" t="str"/>
      <c r="G167" s="80" t="str"/>
    </row>
    <row r="168">
      <c r="A168" s="17" t="inlineStr">
        <is>
          <t>Taxes paid</t>
        </is>
      </c>
      <c r="B168" s="17" t="inlineStr">
        <is>
          <t>CFS_TAX</t>
        </is>
      </c>
      <c r="C168" s="121" t="n">
        <v>0</v>
      </c>
      <c r="D168" s="121" t="n">
        <v>0</v>
      </c>
      <c r="E168" s="17" t="inlineStr">
        <is>
          <t>To be populated/calculated by AAH mapping engine</t>
        </is>
      </c>
      <c r="F168" s="17" t="str"/>
      <c r="G168" s="80" t="str"/>
    </row>
    <row r="169">
      <c r="A169" s="17" t="inlineStr">
        <is>
          <t>Net cash from operating activities</t>
        </is>
      </c>
      <c r="B169" s="17" t="inlineStr">
        <is>
          <t>CFS_CFO</t>
        </is>
      </c>
      <c r="C169" s="121" t="n">
        <v>0</v>
      </c>
      <c r="D169" s="121" t="n">
        <v>0</v>
      </c>
      <c r="E169" s="17" t="inlineStr">
        <is>
          <t>To be populated/calculated by AAH mapping engine</t>
        </is>
      </c>
      <c r="F169" s="17" t="str"/>
      <c r="G169" s="80" t="str"/>
    </row>
    <row r="170">
      <c r="A170" s="17" t="inlineStr">
        <is>
          <t>Net cash from investing activities</t>
        </is>
      </c>
      <c r="B170" s="17" t="inlineStr">
        <is>
          <t>CFS_CFI</t>
        </is>
      </c>
      <c r="C170" s="121" t="n">
        <v>0</v>
      </c>
      <c r="D170" s="121" t="n">
        <v>0</v>
      </c>
      <c r="E170" s="17" t="inlineStr">
        <is>
          <t>To be populated/calculated by AAH mapping engine</t>
        </is>
      </c>
      <c r="F170" s="17" t="str"/>
      <c r="G170" s="80" t="str"/>
    </row>
    <row r="171">
      <c r="A171" s="17" t="inlineStr">
        <is>
          <t>Net cash from financing activities</t>
        </is>
      </c>
      <c r="B171" s="17" t="inlineStr">
        <is>
          <t>CFS_CFF</t>
        </is>
      </c>
      <c r="C171" s="121" t="n">
        <v>0</v>
      </c>
      <c r="D171" s="121" t="n">
        <v>0</v>
      </c>
      <c r="E171" s="17" t="inlineStr">
        <is>
          <t>To be populated/calculated by AAH mapping engine</t>
        </is>
      </c>
      <c r="F171" s="17" t="str"/>
      <c r="G171" s="80" t="str"/>
    </row>
    <row r="172">
      <c r="A172" s="17" t="inlineStr">
        <is>
          <t>Net increase / (decrease) in cash</t>
        </is>
      </c>
      <c r="B172" s="17" t="inlineStr">
        <is>
          <t>CFS_NET</t>
        </is>
      </c>
      <c r="C172" s="121" t="n">
        <v>0</v>
      </c>
      <c r="D172" s="121" t="n">
        <v>0</v>
      </c>
      <c r="E172" s="17" t="inlineStr">
        <is>
          <t>To be populated/calculated by AAH mapping engine</t>
        </is>
      </c>
      <c r="F172" s="17" t="str"/>
      <c r="G172" s="80" t="str"/>
    </row>
    <row r="173">
      <c r="A173" s="17" t="inlineStr">
        <is>
          <t>Opening cash and cash equivalents</t>
        </is>
      </c>
      <c r="B173" s="17" t="inlineStr">
        <is>
          <t>CFS_OPEN</t>
        </is>
      </c>
      <c r="C173" s="121" t="n">
        <v>0</v>
      </c>
      <c r="D173" s="121" t="n">
        <v>0</v>
      </c>
      <c r="E173" s="17" t="inlineStr">
        <is>
          <t>To be populated/calculated by AAH mapping engine</t>
        </is>
      </c>
      <c r="F173" s="17" t="str"/>
      <c r="G173" s="80" t="str"/>
    </row>
    <row r="174">
      <c r="A174" s="17" t="inlineStr">
        <is>
          <t>Closing cash and cash equivalents</t>
        </is>
      </c>
      <c r="B174" s="17" t="inlineStr">
        <is>
          <t>CFS_CLOSE</t>
        </is>
      </c>
      <c r="C174" s="121" t="n">
        <v>0</v>
      </c>
      <c r="D174" s="121" t="n">
        <v>0</v>
      </c>
      <c r="E174" s="17" t="inlineStr">
        <is>
          <t>To be populated/calculated by AAH mapping engine</t>
        </is>
      </c>
      <c r="F174" s="17" t="str"/>
      <c r="G174" s="80" t="str"/>
    </row>
    <row r="175">
      <c r="A175" s="17" t="n"/>
      <c r="B175" s="17" t="n"/>
      <c r="C175" s="17" t="n"/>
      <c r="D175" s="17" t="n"/>
      <c r="E175" s="17" t="n"/>
      <c r="F175" s="17" t="n"/>
      <c r="G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</row>
    <row r="177" ht="26" customHeight="1" s="82">
      <c r="A177" s="79" t="inlineStr">
        <is>
          <t>Validation</t>
        </is>
      </c>
      <c r="B177" s="1" t="n"/>
      <c r="C177" s="1" t="n"/>
      <c r="D177" s="1" t="n"/>
      <c r="E177" s="17" t="n"/>
      <c r="F177" s="17" t="n"/>
      <c r="G177" s="17" t="n"/>
    </row>
    <row r="178">
      <c r="A178" s="14" t="inlineStr">
        <is>
          <t>Check</t>
        </is>
      </c>
      <c r="B178" s="14" t="inlineStr">
        <is>
          <t>Current Period</t>
        </is>
      </c>
      <c r="C178" s="14" t="inlineStr">
        <is>
          <t>Previous Period</t>
        </is>
      </c>
      <c r="D178" s="14" t="inlineStr">
        <is>
          <t>Result</t>
        </is>
      </c>
      <c r="E178" s="17" t="n"/>
      <c r="F178" s="17" t="n"/>
      <c r="G178" s="17" t="n"/>
    </row>
    <row r="179">
      <c r="A179" s="17" t="inlineStr">
        <is>
          <t>Balance Sheet difference</t>
        </is>
      </c>
      <c r="B179" s="17">
        <f>C38-C23</f>
        <v/>
      </c>
      <c r="C179" s="17">
        <f>D38-D23</f>
        <v/>
      </c>
      <c r="D179" s="17">
        <f>IF(AND(ABS(B179)&lt;1,ABS(C179)&lt;1),"PASS","CHECK")</f>
        <v/>
      </c>
      <c r="E179" s="17" t="n"/>
      <c r="F179" s="17" t="n"/>
      <c r="G179" s="17" t="n"/>
    </row>
    <row r="180">
      <c r="A180" s="17" t="inlineStr">
        <is>
          <t>Notes / disclosures</t>
        </is>
      </c>
      <c r="B180" s="17" t="inlineStr">
        <is>
          <t>Review</t>
        </is>
      </c>
      <c r="C180" s="17" t="inlineStr">
        <is>
          <t>Review</t>
        </is>
      </c>
      <c r="D180" s="17" t="inlineStr">
        <is>
          <t>Review</t>
        </is>
      </c>
      <c r="E180" s="17" t="n"/>
      <c r="F180" s="17" t="n"/>
      <c r="G180" s="17" t="n"/>
    </row>
    <row r="181">
      <c r="A181" s="17" t="inlineStr">
        <is>
          <t>Profile readiness</t>
        </is>
      </c>
      <c r="B181" s="17" t="str"/>
      <c r="C181" s="17" t="str"/>
      <c r="D181" s="17">
        <f>IF(D179="PASS","READY FOR REVIEW","NOT READY")</f>
        <v/>
      </c>
      <c r="E181" s="17" t="n"/>
      <c r="F181" s="17" t="n"/>
      <c r="G181" s="17" t="n"/>
    </row>
    <row r="182"/>
    <row r="183"/>
    <row r="184"/>
    <row r="185">
      <c r="A185" s="101" t="inlineStr">
        <is>
          <t>Signatures / Certification</t>
        </is>
      </c>
      <c r="B185" s="101" t="str"/>
      <c r="C185" s="101" t="str"/>
      <c r="D185" s="101" t="str"/>
      <c r="E185" s="101" t="str"/>
      <c r="F185" s="101" t="str"/>
    </row>
    <row r="186">
      <c r="A186" s="112" t="inlineStr">
        <is>
          <t>Entity Signatory</t>
        </is>
      </c>
      <c r="B186" s="104">
        <f>'AAH Basic Info'!B13</f>
        <v/>
      </c>
      <c r="C186" s="115" t="inlineStr">
        <is>
          <t>Designation</t>
        </is>
      </c>
      <c r="D186" s="104">
        <f>'AAH Basic Info'!B14</f>
        <v/>
      </c>
      <c r="E186" s="115" t="inlineStr">
        <is>
          <t>DIN</t>
        </is>
      </c>
      <c r="F186" s="105">
        <f>'AAH Basic Info'!B15</f>
        <v/>
      </c>
    </row>
    <row r="187">
      <c r="A187" s="113" t="inlineStr">
        <is>
          <t>Signing Date</t>
        </is>
      </c>
      <c r="B187" s="107">
        <f>'AAH Basic Info'!B16</f>
        <v/>
      </c>
      <c r="C187" s="116" t="inlineStr">
        <is>
          <t>Place</t>
        </is>
      </c>
      <c r="D187" s="107">
        <f>'AAH Basic Info'!B17</f>
        <v/>
      </c>
      <c r="E187" s="116" t="str"/>
      <c r="F187" s="108" t="str"/>
    </row>
    <row r="188">
      <c r="A188" s="113" t="inlineStr">
        <is>
          <t>Audit Firm</t>
        </is>
      </c>
      <c r="B188" s="107">
        <f>'AAH Basic Info'!B18</f>
        <v/>
      </c>
      <c r="C188" s="116" t="inlineStr">
        <is>
          <t>FRN</t>
        </is>
      </c>
      <c r="D188" s="107">
        <f>'AAH Basic Info'!B19</f>
        <v/>
      </c>
      <c r="E188" s="116" t="str"/>
      <c r="F188" s="108" t="str"/>
    </row>
    <row r="189">
      <c r="A189" s="113" t="inlineStr">
        <is>
          <t>Signing CA</t>
        </is>
      </c>
      <c r="B189" s="107">
        <f>'AAH Basic Info'!B20</f>
        <v/>
      </c>
      <c r="C189" s="116" t="inlineStr">
        <is>
          <t>Designation</t>
        </is>
      </c>
      <c r="D189" s="107">
        <f>'AAH Basic Info'!B21</f>
        <v/>
      </c>
      <c r="E189" s="116" t="inlineStr">
        <is>
          <t>Membership No.</t>
        </is>
      </c>
      <c r="F189" s="108">
        <f>'AAH Basic Info'!B22</f>
        <v/>
      </c>
    </row>
    <row r="190">
      <c r="A190" s="114" t="inlineStr">
        <is>
          <t>Audit Place</t>
        </is>
      </c>
      <c r="B190" s="110">
        <f>'AAH Basic Info'!B23</f>
        <v/>
      </c>
      <c r="C190" s="117" t="inlineStr">
        <is>
          <t>Signing Date</t>
        </is>
      </c>
      <c r="D190" s="110">
        <f>'AAH Basic Info'!B30</f>
        <v/>
      </c>
      <c r="E190" s="117" t="str"/>
      <c r="F190" s="111" t="str"/>
    </row>
  </sheetData>
  <mergeCells count="7">
    <mergeCell ref="A66:G66"/>
    <mergeCell ref="A1:G1"/>
    <mergeCell ref="A6:D6"/>
    <mergeCell ref="A163:G163"/>
    <mergeCell ref="A2:G2"/>
    <mergeCell ref="A41:D41"/>
    <mergeCell ref="A177:D17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Limited Liability Partnership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ICAI + MCA | Official source: https://www.icai.org/post/guidance-notes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PARTNERS' FUNDS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Partners' Contribution</t>
        </is>
      </c>
      <c r="B9" s="17" t="inlineStr">
        <is>
          <t>3</t>
        </is>
      </c>
      <c r="C9" s="120">
        <f>E68</f>
        <v/>
      </c>
      <c r="D9" s="120">
        <f>F68</f>
        <v/>
      </c>
      <c r="E9" s="17" t="n"/>
      <c r="F9" s="17" t="n"/>
      <c r="G9" s="17" t="n"/>
    </row>
    <row r="10">
      <c r="A10" s="17" t="inlineStr">
        <is>
          <t>Partners' Current Accounts</t>
        </is>
      </c>
      <c r="B10" s="17" t="inlineStr">
        <is>
          <t>4</t>
        </is>
      </c>
      <c r="C10" s="120">
        <f>E70</f>
        <v/>
      </c>
      <c r="D10" s="120">
        <f>F70</f>
        <v/>
      </c>
      <c r="E10" s="17" t="n"/>
      <c r="F10" s="17" t="n"/>
      <c r="G10" s="17" t="n"/>
    </row>
    <row r="11">
      <c r="A11" s="17" t="inlineStr">
        <is>
          <t>Reserves and Surplus</t>
        </is>
      </c>
      <c r="B11" s="17" t="inlineStr">
        <is>
          <t>5</t>
        </is>
      </c>
      <c r="C11" s="120">
        <f>E72</f>
        <v/>
      </c>
      <c r="D11" s="120">
        <f>F72</f>
        <v/>
      </c>
      <c r="E11" s="17" t="n"/>
      <c r="F11" s="17" t="n"/>
      <c r="G11" s="17" t="n"/>
    </row>
    <row r="12">
      <c r="A12" s="61" t="inlineStr">
        <is>
          <t>Non-current Liabilities</t>
        </is>
      </c>
      <c r="B12" s="61" t="str"/>
      <c r="C12" s="119" t="n"/>
      <c r="D12" s="119" t="n"/>
      <c r="E12" s="17" t="n"/>
      <c r="F12" s="17" t="n"/>
      <c r="G12" s="17" t="n"/>
    </row>
    <row r="13">
      <c r="A13" s="17" t="inlineStr">
        <is>
          <t>Long-term Borrowings</t>
        </is>
      </c>
      <c r="B13" s="17" t="inlineStr">
        <is>
          <t>6</t>
        </is>
      </c>
      <c r="C13" s="120">
        <f>E73</f>
        <v/>
      </c>
      <c r="D13" s="120">
        <f>F73</f>
        <v/>
      </c>
      <c r="E13" s="17" t="n"/>
      <c r="F13" s="17" t="n"/>
      <c r="G13" s="17" t="n"/>
    </row>
    <row r="14">
      <c r="A14" s="17" t="inlineStr">
        <is>
          <t>Deferred Tax Liabilities (Net)</t>
        </is>
      </c>
      <c r="B14" s="17" t="inlineStr">
        <is>
          <t>7</t>
        </is>
      </c>
      <c r="C14" s="120">
        <f>E77</f>
        <v/>
      </c>
      <c r="D14" s="120">
        <f>F77</f>
        <v/>
      </c>
      <c r="E14" s="17" t="n"/>
      <c r="F14" s="17" t="n"/>
      <c r="G14" s="17" t="n"/>
    </row>
    <row r="15">
      <c r="A15" s="17" t="inlineStr">
        <is>
          <t>Other Long-term Liabilities</t>
        </is>
      </c>
      <c r="B15" s="17" t="inlineStr">
        <is>
          <t>8</t>
        </is>
      </c>
      <c r="C15" s="120">
        <f>E79</f>
        <v/>
      </c>
      <c r="D15" s="120">
        <f>F79</f>
        <v/>
      </c>
      <c r="E15" s="17" t="n"/>
      <c r="F15" s="17" t="n"/>
      <c r="G15" s="17" t="n"/>
    </row>
    <row r="16">
      <c r="A16" s="17" t="inlineStr">
        <is>
          <t>Long-term Provisions</t>
        </is>
      </c>
      <c r="B16" s="17" t="inlineStr">
        <is>
          <t>9</t>
        </is>
      </c>
      <c r="C16" s="120">
        <f>E82</f>
        <v/>
      </c>
      <c r="D16" s="120">
        <f>F82</f>
        <v/>
      </c>
      <c r="E16" s="17" t="n"/>
      <c r="F16" s="17" t="n"/>
      <c r="G16" s="17" t="n"/>
    </row>
    <row r="17">
      <c r="A17" s="61" t="inlineStr">
        <is>
          <t>Current Liabilities</t>
        </is>
      </c>
      <c r="B17" s="61" t="str"/>
      <c r="C17" s="119" t="n"/>
      <c r="D17" s="119" t="n"/>
      <c r="E17" s="17" t="n"/>
      <c r="F17" s="17" t="n"/>
      <c r="G17" s="17" t="n"/>
    </row>
    <row r="18">
      <c r="A18" s="17" t="inlineStr">
        <is>
          <t>Short-term Borrowings</t>
        </is>
      </c>
      <c r="B18" s="17" t="inlineStr">
        <is>
          <t>6</t>
        </is>
      </c>
      <c r="C18" s="120">
        <f>E74</f>
        <v/>
      </c>
      <c r="D18" s="120">
        <f>F74</f>
        <v/>
      </c>
      <c r="E18" s="17" t="n"/>
      <c r="F18" s="17" t="n"/>
      <c r="G18" s="17" t="n"/>
    </row>
    <row r="19">
      <c r="A19" s="17" t="inlineStr">
        <is>
          <t>Trade Payables</t>
        </is>
      </c>
      <c r="B19" s="17" t="inlineStr">
        <is>
          <t>10</t>
        </is>
      </c>
      <c r="C19" s="120">
        <f>E87</f>
        <v/>
      </c>
      <c r="D19" s="120">
        <f>F87</f>
        <v/>
      </c>
      <c r="E19" s="17" t="n"/>
      <c r="F19" s="17" t="n"/>
      <c r="G19" s="17" t="n"/>
    </row>
    <row r="20">
      <c r="A20" s="17" t="inlineStr">
        <is>
          <t>Other Current Liabilities</t>
        </is>
      </c>
      <c r="B20" s="17" t="inlineStr">
        <is>
          <t>8</t>
        </is>
      </c>
      <c r="C20" s="120">
        <f>E80</f>
        <v/>
      </c>
      <c r="D20" s="120">
        <f>F80</f>
        <v/>
      </c>
      <c r="E20" s="17" t="n"/>
      <c r="F20" s="17" t="n"/>
      <c r="G20" s="17" t="n"/>
    </row>
    <row r="21">
      <c r="A21" s="17" t="inlineStr">
        <is>
          <t>Short-term Provisions</t>
        </is>
      </c>
      <c r="B21" s="17" t="inlineStr">
        <is>
          <t>9</t>
        </is>
      </c>
      <c r="C21" s="120">
        <f>E83</f>
        <v/>
      </c>
      <c r="D21" s="120">
        <f>F83</f>
        <v/>
      </c>
      <c r="E21" s="17" t="n"/>
      <c r="F21" s="17" t="n"/>
      <c r="G21" s="17" t="n"/>
    </row>
    <row r="22">
      <c r="A22" s="65" t="inlineStr">
        <is>
          <t>TOTAL PARTNERS' FUNDS AND LIABILITIES</t>
        </is>
      </c>
      <c r="B22" s="65" t="str"/>
      <c r="C22" s="122">
        <f>SUM(C9,C10,C11,C13,C14,C15,C16,C18,C19,C20,C21)</f>
        <v/>
      </c>
      <c r="D22" s="122">
        <f>SUM(D9,D10,D11,D13,D14,D15,D16,D18,D19,D20,D21)</f>
        <v/>
      </c>
      <c r="E22" s="17" t="n"/>
      <c r="F22" s="17" t="n"/>
      <c r="G22" s="17" t="n"/>
    </row>
    <row r="23">
      <c r="A23" s="42" t="inlineStr">
        <is>
          <t>ASSETS</t>
        </is>
      </c>
      <c r="B23" s="42" t="str"/>
      <c r="C23" s="118" t="n"/>
      <c r="D23" s="118" t="n"/>
      <c r="E23" s="17" t="n"/>
      <c r="F23" s="17" t="n"/>
      <c r="G23" s="17" t="n"/>
    </row>
    <row r="24">
      <c r="A24" s="61" t="inlineStr">
        <is>
          <t>Non-current Assets</t>
        </is>
      </c>
      <c r="B24" s="61" t="str"/>
      <c r="C24" s="119" t="n"/>
      <c r="D24" s="119" t="n"/>
      <c r="E24" s="17" t="n"/>
      <c r="F24" s="17" t="n"/>
      <c r="G24" s="17" t="n"/>
    </row>
    <row r="25">
      <c r="A25" s="17" t="inlineStr">
        <is>
          <t>PPE / Intangibles / CWIP</t>
        </is>
      </c>
      <c r="B25" s="17" t="inlineStr">
        <is>
          <t>11</t>
        </is>
      </c>
      <c r="C25" s="120">
        <f>E92</f>
        <v/>
      </c>
      <c r="D25" s="120">
        <f>F92</f>
        <v/>
      </c>
      <c r="E25" s="17" t="n"/>
      <c r="F25" s="17" t="n"/>
      <c r="G25" s="17" t="n"/>
    </row>
    <row r="26">
      <c r="A26" s="17" t="inlineStr">
        <is>
          <t>Non-current Investments</t>
        </is>
      </c>
      <c r="B26" s="17" t="inlineStr">
        <is>
          <t>12</t>
        </is>
      </c>
      <c r="C26" s="120">
        <f>E93</f>
        <v/>
      </c>
      <c r="D26" s="120">
        <f>F93</f>
        <v/>
      </c>
      <c r="E26" s="17" t="n"/>
      <c r="F26" s="17" t="n"/>
      <c r="G26" s="17" t="n"/>
    </row>
    <row r="27">
      <c r="A27" s="17" t="inlineStr">
        <is>
          <t>Deferred Tax Assets (Net)</t>
        </is>
      </c>
      <c r="B27" s="17" t="inlineStr">
        <is>
          <t>7</t>
        </is>
      </c>
      <c r="C27" s="120">
        <f>E76</f>
        <v/>
      </c>
      <c r="D27" s="120">
        <f>F76</f>
        <v/>
      </c>
      <c r="E27" s="17" t="n"/>
      <c r="F27" s="17" t="n"/>
      <c r="G27" s="17" t="n"/>
    </row>
    <row r="28">
      <c r="A28" s="17" t="inlineStr">
        <is>
          <t>Long-term Loans and Advances</t>
        </is>
      </c>
      <c r="B28" s="17" t="inlineStr">
        <is>
          <t>13</t>
        </is>
      </c>
      <c r="C28" s="120">
        <f>E96</f>
        <v/>
      </c>
      <c r="D28" s="120">
        <f>F96</f>
        <v/>
      </c>
      <c r="E28" s="17" t="n"/>
      <c r="F28" s="17" t="n"/>
      <c r="G28" s="17" t="n"/>
    </row>
    <row r="29">
      <c r="A29" s="17" t="inlineStr">
        <is>
          <t>Other Non-current Assets</t>
        </is>
      </c>
      <c r="B29" s="17" t="inlineStr">
        <is>
          <t>14</t>
        </is>
      </c>
      <c r="C29" s="120">
        <f>E100</f>
        <v/>
      </c>
      <c r="D29" s="120">
        <f>F100</f>
        <v/>
      </c>
      <c r="E29" s="17" t="n"/>
      <c r="F29" s="17" t="n"/>
      <c r="G29" s="17" t="n"/>
    </row>
    <row r="30">
      <c r="A30" s="61" t="inlineStr">
        <is>
          <t>Current Assets</t>
        </is>
      </c>
      <c r="B30" s="61" t="str"/>
      <c r="C30" s="119" t="n"/>
      <c r="D30" s="119" t="n"/>
      <c r="E30" s="17" t="n"/>
      <c r="F30" s="17" t="n"/>
      <c r="G30" s="17" t="n"/>
    </row>
    <row r="31">
      <c r="A31" s="17" t="inlineStr">
        <is>
          <t>Current Investments</t>
        </is>
      </c>
      <c r="B31" s="17" t="inlineStr">
        <is>
          <t>12</t>
        </is>
      </c>
      <c r="C31" s="120">
        <f>E94</f>
        <v/>
      </c>
      <c r="D31" s="120">
        <f>F94</f>
        <v/>
      </c>
      <c r="E31" s="17" t="n"/>
      <c r="F31" s="17" t="n"/>
      <c r="G31" s="17" t="n"/>
    </row>
    <row r="32">
      <c r="A32" s="17" t="inlineStr">
        <is>
          <t>Inventories</t>
        </is>
      </c>
      <c r="B32" s="17" t="inlineStr">
        <is>
          <t>15</t>
        </is>
      </c>
      <c r="C32" s="120">
        <f>E102</f>
        <v/>
      </c>
      <c r="D32" s="120">
        <f>F102</f>
        <v/>
      </c>
      <c r="E32" s="17" t="n"/>
      <c r="F32" s="17" t="n"/>
      <c r="G32" s="17" t="n"/>
    </row>
    <row r="33">
      <c r="A33" s="17" t="inlineStr">
        <is>
          <t>Trade Receivables</t>
        </is>
      </c>
      <c r="B33" s="17" t="inlineStr">
        <is>
          <t>16</t>
        </is>
      </c>
      <c r="C33" s="120">
        <f>E104</f>
        <v/>
      </c>
      <c r="D33" s="120">
        <f>F104</f>
        <v/>
      </c>
      <c r="E33" s="17" t="n"/>
      <c r="F33" s="17" t="n"/>
      <c r="G33" s="17" t="n"/>
    </row>
    <row r="34">
      <c r="A34" s="17" t="inlineStr">
        <is>
          <t>Cash and Bank Balances</t>
        </is>
      </c>
      <c r="B34" s="17" t="inlineStr">
        <is>
          <t>17</t>
        </is>
      </c>
      <c r="C34" s="120">
        <f>E106</f>
        <v/>
      </c>
      <c r="D34" s="120">
        <f>F106</f>
        <v/>
      </c>
      <c r="E34" s="17" t="n"/>
      <c r="F34" s="17" t="n"/>
      <c r="G34" s="17" t="n"/>
    </row>
    <row r="35">
      <c r="A35" s="17" t="inlineStr">
        <is>
          <t>Short-term Loans and Advances</t>
        </is>
      </c>
      <c r="B35" s="17" t="inlineStr">
        <is>
          <t>13</t>
        </is>
      </c>
      <c r="C35" s="120">
        <f>E97</f>
        <v/>
      </c>
      <c r="D35" s="120">
        <f>F97</f>
        <v/>
      </c>
      <c r="E35" s="17" t="n"/>
      <c r="F35" s="17" t="n"/>
      <c r="G35" s="17" t="n"/>
    </row>
    <row r="36">
      <c r="A36" s="17" t="inlineStr">
        <is>
          <t>Other Current Assets</t>
        </is>
      </c>
      <c r="B36" s="17" t="inlineStr">
        <is>
          <t>18</t>
        </is>
      </c>
      <c r="C36" s="120">
        <f>E108</f>
        <v/>
      </c>
      <c r="D36" s="120">
        <f>F108</f>
        <v/>
      </c>
      <c r="E36" s="17" t="n"/>
      <c r="F36" s="17" t="n"/>
      <c r="G36" s="17" t="n"/>
    </row>
    <row r="37">
      <c r="A37" s="65" t="inlineStr">
        <is>
          <t>TOTAL ASSETS</t>
        </is>
      </c>
      <c r="B37" s="65" t="str"/>
      <c r="C37" s="122">
        <f>SUM(C25,C26,C27,C28,C29,C31,C32,C33,C34,C35,C36)</f>
        <v/>
      </c>
      <c r="D37" s="122">
        <f>SUM(D25,D26,D27,D28,D29,D31,D32,D33,D34,D35,D36)</f>
        <v/>
      </c>
      <c r="E37" s="17" t="n"/>
      <c r="F37" s="17" t="n"/>
      <c r="G37" s="17" t="n"/>
    </row>
    <row r="38">
      <c r="A38" s="17" t="n"/>
      <c r="B38" s="17" t="n"/>
      <c r="C38" s="120" t="n"/>
      <c r="D38" s="120" t="n"/>
      <c r="E38" s="17" t="n"/>
      <c r="F38" s="17" t="n"/>
      <c r="G38" s="17" t="n"/>
    </row>
    <row r="39">
      <c r="A39" s="17" t="n"/>
      <c r="B39" s="17" t="n"/>
      <c r="C39" s="120" t="n"/>
      <c r="D39" s="120" t="n"/>
      <c r="E39" s="17" t="n"/>
      <c r="F39" s="17" t="n"/>
      <c r="G39" s="17" t="n"/>
    </row>
    <row r="40">
      <c r="A40" s="71" t="inlineStr">
        <is>
          <t>Statement of Profit &amp; Loss / Income &amp; Expenditure / Revenue Account</t>
        </is>
      </c>
      <c r="B40" s="1" t="n"/>
      <c r="C40" s="1" t="n"/>
      <c r="D40" s="1" t="n"/>
      <c r="E40" s="17" t="n"/>
      <c r="F40" s="17" t="n"/>
      <c r="G40" s="17" t="n"/>
    </row>
    <row r="41">
      <c r="A41" s="14" t="inlineStr">
        <is>
          <t>Particulars</t>
        </is>
      </c>
      <c r="B41" s="14" t="inlineStr">
        <is>
          <t>Note No.</t>
        </is>
      </c>
      <c r="C41" s="123" t="inlineStr">
        <is>
          <t>Current Reporting Period</t>
        </is>
      </c>
      <c r="D41" s="123" t="inlineStr">
        <is>
          <t>Previous Reporting Period</t>
        </is>
      </c>
      <c r="E41" s="17" t="n"/>
      <c r="F41" s="17" t="n"/>
      <c r="G41" s="17" t="n"/>
    </row>
    <row r="42">
      <c r="A42" s="17" t="inlineStr">
        <is>
          <t>Revenue from Operations</t>
        </is>
      </c>
      <c r="B42" s="17" t="inlineStr">
        <is>
          <t>19</t>
        </is>
      </c>
      <c r="C42" s="120">
        <f>E110</f>
        <v/>
      </c>
      <c r="D42" s="120">
        <f>F110</f>
        <v/>
      </c>
      <c r="E42" s="17" t="n"/>
      <c r="F42" s="17" t="n"/>
      <c r="G42" s="17" t="n"/>
    </row>
    <row r="43">
      <c r="A43" s="17" t="inlineStr">
        <is>
          <t>Other Income</t>
        </is>
      </c>
      <c r="B43" s="17" t="inlineStr">
        <is>
          <t>20</t>
        </is>
      </c>
      <c r="C43" s="120">
        <f>E112</f>
        <v/>
      </c>
      <c r="D43" s="120">
        <f>F112</f>
        <v/>
      </c>
      <c r="E43" s="17" t="n"/>
      <c r="F43" s="17" t="n"/>
      <c r="G43" s="17" t="n"/>
    </row>
    <row r="44">
      <c r="A44" s="65" t="inlineStr">
        <is>
          <t>TOTAL INCOME</t>
        </is>
      </c>
      <c r="B44" s="65" t="str"/>
      <c r="C44" s="122">
        <f>SUM(C42,C43)</f>
        <v/>
      </c>
      <c r="D44" s="122">
        <f>SUM(D42,D43)</f>
        <v/>
      </c>
      <c r="E44" s="17" t="n"/>
      <c r="F44" s="17" t="n"/>
      <c r="G44" s="17" t="n"/>
    </row>
    <row r="45">
      <c r="A45" s="42" t="inlineStr">
        <is>
          <t>EXPENSES</t>
        </is>
      </c>
      <c r="B45" s="42" t="str"/>
      <c r="C45" s="118" t="n"/>
      <c r="D45" s="118" t="n"/>
      <c r="E45" s="17" t="n"/>
      <c r="F45" s="17" t="n"/>
      <c r="G45" s="17" t="n"/>
    </row>
    <row r="46">
      <c r="A46" s="17" t="inlineStr">
        <is>
          <t>Materials / Purchases</t>
        </is>
      </c>
      <c r="B46" s="17" t="inlineStr">
        <is>
          <t>21</t>
        </is>
      </c>
      <c r="C46" s="120">
        <f>E114</f>
        <v/>
      </c>
      <c r="D46" s="120">
        <f>F114</f>
        <v/>
      </c>
      <c r="E46" s="17" t="n"/>
      <c r="F46" s="17" t="n"/>
      <c r="G46" s="17" t="n"/>
    </row>
    <row r="47">
      <c r="A47" s="17" t="inlineStr">
        <is>
          <t>Changes in Inventories</t>
        </is>
      </c>
      <c r="B47" s="17" t="inlineStr">
        <is>
          <t>22</t>
        </is>
      </c>
      <c r="C47" s="120">
        <f>E116</f>
        <v/>
      </c>
      <c r="D47" s="120">
        <f>F116</f>
        <v/>
      </c>
      <c r="E47" s="17" t="n"/>
      <c r="F47" s="17" t="n"/>
      <c r="G47" s="17" t="n"/>
    </row>
    <row r="48">
      <c r="A48" s="17" t="inlineStr">
        <is>
          <t>Employee Benefits</t>
        </is>
      </c>
      <c r="B48" s="17" t="inlineStr">
        <is>
          <t>23</t>
        </is>
      </c>
      <c r="C48" s="120">
        <f>E118</f>
        <v/>
      </c>
      <c r="D48" s="120">
        <f>F118</f>
        <v/>
      </c>
      <c r="E48" s="17" t="n"/>
      <c r="F48" s="17" t="n"/>
      <c r="G48" s="17" t="n"/>
    </row>
    <row r="49">
      <c r="A49" s="17" t="inlineStr">
        <is>
          <t>Finance Costs</t>
        </is>
      </c>
      <c r="B49" s="17" t="inlineStr">
        <is>
          <t>24</t>
        </is>
      </c>
      <c r="C49" s="120">
        <f>E120</f>
        <v/>
      </c>
      <c r="D49" s="120">
        <f>F120</f>
        <v/>
      </c>
      <c r="E49" s="17" t="n"/>
      <c r="F49" s="17" t="n"/>
      <c r="G49" s="17" t="n"/>
    </row>
    <row r="50">
      <c r="A50" s="17" t="inlineStr">
        <is>
          <t>Depreciation and Amortisation</t>
        </is>
      </c>
      <c r="B50" s="17" t="inlineStr">
        <is>
          <t>25</t>
        </is>
      </c>
      <c r="C50" s="120">
        <f>E122</f>
        <v/>
      </c>
      <c r="D50" s="120">
        <f>F122</f>
        <v/>
      </c>
      <c r="E50" s="17" t="n"/>
      <c r="F50" s="17" t="n"/>
      <c r="G50" s="17" t="n"/>
    </row>
    <row r="51">
      <c r="A51" s="17" t="inlineStr">
        <is>
          <t>Other Expenses</t>
        </is>
      </c>
      <c r="B51" s="17" t="inlineStr">
        <is>
          <t>26</t>
        </is>
      </c>
      <c r="C51" s="120">
        <f>E124</f>
        <v/>
      </c>
      <c r="D51" s="120">
        <f>F124</f>
        <v/>
      </c>
      <c r="E51" s="17" t="n"/>
      <c r="F51" s="17" t="n"/>
      <c r="G51" s="17" t="n"/>
    </row>
    <row r="52">
      <c r="A52" s="17" t="inlineStr">
        <is>
          <t>Partners' Remuneration / Interest</t>
        </is>
      </c>
      <c r="B52" s="17" t="inlineStr">
        <is>
          <t>—</t>
        </is>
      </c>
      <c r="C52" s="121" t="n"/>
      <c r="D52" s="121" t="n"/>
      <c r="E52" s="17" t="n"/>
      <c r="F52" s="17" t="n"/>
      <c r="G52" s="17" t="n"/>
    </row>
    <row r="53">
      <c r="A53" s="65" t="inlineStr">
        <is>
          <t>TOTAL EXPENSES</t>
        </is>
      </c>
      <c r="B53" s="65" t="str"/>
      <c r="C53" s="122">
        <f>SUM(C46,C47,C48,C49,C50,C51)</f>
        <v/>
      </c>
      <c r="D53" s="122">
        <f>SUM(D46,D47,D48,D49,D50,D51)</f>
        <v/>
      </c>
      <c r="E53" s="17" t="n"/>
      <c r="F53" s="17" t="n"/>
      <c r="G53" s="17" t="n"/>
    </row>
    <row r="54">
      <c r="A54" s="65" t="inlineStr">
        <is>
          <t>Profit Before Tax</t>
        </is>
      </c>
      <c r="B54" s="65" t="str"/>
      <c r="C54" s="122">
        <f>C44-C53</f>
        <v/>
      </c>
      <c r="D54" s="122">
        <f>D44-D53</f>
        <v/>
      </c>
      <c r="E54" s="17" t="n"/>
      <c r="F54" s="17" t="n"/>
      <c r="G54" s="17" t="n"/>
    </row>
    <row r="55">
      <c r="A55" s="17" t="inlineStr">
        <is>
          <t>Current Tax</t>
        </is>
      </c>
      <c r="B55" s="17" t="inlineStr">
        <is>
          <t>—</t>
        </is>
      </c>
      <c r="C55" s="121" t="n"/>
      <c r="D55" s="121" t="n"/>
      <c r="E55" s="17" t="n"/>
      <c r="F55" s="17" t="n"/>
      <c r="G55" s="17" t="n"/>
    </row>
    <row r="56">
      <c r="A56" s="17" t="inlineStr">
        <is>
          <t>Deferred Tax</t>
        </is>
      </c>
      <c r="B56" s="17" t="inlineStr">
        <is>
          <t>—</t>
        </is>
      </c>
      <c r="C56" s="121" t="n"/>
      <c r="D56" s="121" t="n"/>
      <c r="E56" s="17" t="n"/>
      <c r="F56" s="17" t="n"/>
      <c r="G56" s="17" t="n"/>
    </row>
    <row r="57">
      <c r="A57" s="65" t="inlineStr">
        <is>
          <t>Profit/(Loss) for the Year</t>
        </is>
      </c>
      <c r="B57" s="65" t="str"/>
      <c r="C57" s="122">
        <f>C54-SUM(C55,C56)</f>
        <v/>
      </c>
      <c r="D57" s="122">
        <f>D54-SUM(D55,D56)</f>
        <v/>
      </c>
      <c r="E57" s="17" t="n"/>
      <c r="F57" s="17" t="n"/>
      <c r="G57" s="17" t="n"/>
    </row>
    <row r="58">
      <c r="A58" s="17" t="n"/>
      <c r="B58" s="17" t="n"/>
      <c r="C58" s="17" t="n"/>
      <c r="D58" s="17" t="n"/>
      <c r="E58" s="17" t="n"/>
      <c r="F58" s="17" t="n"/>
      <c r="G58" s="17" t="n"/>
    </row>
    <row r="59">
      <c r="A59" s="17" t="n"/>
      <c r="B59" s="17" t="n"/>
      <c r="C59" s="17" t="n"/>
      <c r="D59" s="17" t="n"/>
      <c r="E59" s="17" t="n"/>
      <c r="F59" s="17" t="n"/>
      <c r="G59" s="17" t="n"/>
    </row>
    <row r="60" ht="26" customHeight="1" s="82">
      <c r="A60" s="79" t="inlineStr">
        <is>
          <t>Notes / Schedules — linked source for face statements</t>
        </is>
      </c>
      <c r="B60" s="1" t="n"/>
      <c r="C60" s="1" t="n"/>
      <c r="D60" s="1" t="n"/>
      <c r="E60" s="1" t="n"/>
      <c r="F60" s="1" t="n"/>
      <c r="G60" s="1" t="n"/>
    </row>
    <row r="61">
      <c r="A61" s="14" t="inlineStr">
        <is>
          <t>Note</t>
        </is>
      </c>
      <c r="B61" s="14" t="inlineStr">
        <is>
          <t>Note Title</t>
        </is>
      </c>
      <c r="C61" s="14" t="inlineStr">
        <is>
          <t>Statutory Line Item</t>
        </is>
      </c>
      <c r="D61" s="14" t="inlineStr">
        <is>
          <t>AAH Mapping Key</t>
        </is>
      </c>
      <c r="E61" s="14" t="inlineStr">
        <is>
          <t>Current Period</t>
        </is>
      </c>
      <c r="F61" s="14" t="inlineStr">
        <is>
          <t>Previous Period</t>
        </is>
      </c>
      <c r="G61" s="14" t="inlineStr">
        <is>
          <t>Disclosure / Remarks</t>
        </is>
      </c>
    </row>
    <row r="62">
      <c r="A62" s="17" t="inlineStr">
        <is>
          <t>1</t>
        </is>
      </c>
      <c r="B62" s="17" t="inlineStr">
        <is>
          <t>Brief about LLP</t>
        </is>
      </c>
      <c r="C62" s="17" t="inlineStr">
        <is>
          <t>LLP information</t>
        </is>
      </c>
      <c r="D62" s="17" t="inlineStr">
        <is>
          <t>LLP_INFO</t>
        </is>
      </c>
      <c r="E62" s="121" t="n">
        <v>0</v>
      </c>
      <c r="F62" s="121" t="n">
        <v>0</v>
      </c>
      <c r="G62" s="59" t="str"/>
    </row>
    <row r="63">
      <c r="A63" s="65" t="inlineStr">
        <is>
          <t>1</t>
        </is>
      </c>
      <c r="B63" s="65" t="inlineStr">
        <is>
          <t>Brief about LLP</t>
        </is>
      </c>
      <c r="C63" s="65" t="inlineStr">
        <is>
          <t>Total — Brief about LLP</t>
        </is>
      </c>
      <c r="D63" s="65" t="inlineStr">
        <is>
          <t>__TOTAL__</t>
        </is>
      </c>
      <c r="E63" s="122">
        <f>SUM(E62:E62)</f>
        <v/>
      </c>
      <c r="F63" s="122">
        <f>SUM(F62:F62)</f>
        <v/>
      </c>
      <c r="G63" s="65" t="str"/>
    </row>
    <row r="64">
      <c r="A64" s="17" t="inlineStr">
        <is>
          <t>2</t>
        </is>
      </c>
      <c r="B64" s="17" t="inlineStr">
        <is>
          <t>Significant Accounting Policies</t>
        </is>
      </c>
      <c r="C64" s="17" t="inlineStr">
        <is>
          <t>Accounting policies</t>
        </is>
      </c>
      <c r="D64" s="17" t="inlineStr">
        <is>
          <t>POLICIES</t>
        </is>
      </c>
      <c r="E64" s="121" t="n">
        <v>0</v>
      </c>
      <c r="F64" s="121" t="n">
        <v>0</v>
      </c>
      <c r="G64" s="59" t="str"/>
    </row>
    <row r="65">
      <c r="A65" s="65" t="inlineStr">
        <is>
          <t>2</t>
        </is>
      </c>
      <c r="B65" s="65" t="inlineStr">
        <is>
          <t>Significant Accounting Policies</t>
        </is>
      </c>
      <c r="C65" s="65" t="inlineStr">
        <is>
          <t>Total — Significant Accounting Policies</t>
        </is>
      </c>
      <c r="D65" s="65" t="inlineStr">
        <is>
          <t>__TOTAL__</t>
        </is>
      </c>
      <c r="E65" s="122">
        <f>SUM(E64:E64)</f>
        <v/>
      </c>
      <c r="F65" s="122">
        <f>SUM(F64:F64)</f>
        <v/>
      </c>
      <c r="G65" s="65" t="str"/>
    </row>
    <row r="66">
      <c r="A66" s="17" t="inlineStr">
        <is>
          <t>3</t>
        </is>
      </c>
      <c r="B66" s="17" t="inlineStr">
        <is>
          <t>Partners' Contribution</t>
        </is>
      </c>
      <c r="C66" s="17" t="inlineStr">
        <is>
          <t>Fixed contribution</t>
        </is>
      </c>
      <c r="D66" s="17" t="inlineStr">
        <is>
          <t>PC_FIXED</t>
        </is>
      </c>
      <c r="E66" s="121" t="n">
        <v>0</v>
      </c>
      <c r="F66" s="121" t="n">
        <v>0</v>
      </c>
      <c r="G66" s="59" t="str"/>
    </row>
    <row r="67">
      <c r="A67" s="17" t="inlineStr">
        <is>
          <t>3</t>
        </is>
      </c>
      <c r="B67" s="17" t="inlineStr">
        <is>
          <t>Partners' Contribution</t>
        </is>
      </c>
      <c r="C67" s="17" t="inlineStr">
        <is>
          <t>Other contribution</t>
        </is>
      </c>
      <c r="D67" s="17" t="inlineStr">
        <is>
          <t>PC_OTHER</t>
        </is>
      </c>
      <c r="E67" s="121" t="n">
        <v>0</v>
      </c>
      <c r="F67" s="121" t="n">
        <v>0</v>
      </c>
      <c r="G67" s="59" t="str"/>
    </row>
    <row r="68">
      <c r="A68" s="65" t="inlineStr">
        <is>
          <t>3</t>
        </is>
      </c>
      <c r="B68" s="65" t="inlineStr">
        <is>
          <t>Partners' Contribution</t>
        </is>
      </c>
      <c r="C68" s="65" t="inlineStr">
        <is>
          <t>Total — Partners' Contribution</t>
        </is>
      </c>
      <c r="D68" s="65" t="inlineStr">
        <is>
          <t>__TOTAL__</t>
        </is>
      </c>
      <c r="E68" s="122">
        <f>SUM(E66:E67)</f>
        <v/>
      </c>
      <c r="F68" s="122">
        <f>SUM(F66:F67)</f>
        <v/>
      </c>
      <c r="G68" s="65" t="str"/>
    </row>
    <row r="69">
      <c r="A69" s="17" t="inlineStr">
        <is>
          <t>4</t>
        </is>
      </c>
      <c r="B69" s="17" t="inlineStr">
        <is>
          <t>Partners' Current Accounts</t>
        </is>
      </c>
      <c r="C69" s="17" t="inlineStr">
        <is>
          <t>Partners' current accounts</t>
        </is>
      </c>
      <c r="D69" s="17" t="inlineStr">
        <is>
          <t>PCURR</t>
        </is>
      </c>
      <c r="E69" s="121" t="n">
        <v>0</v>
      </c>
      <c r="F69" s="121" t="n">
        <v>0</v>
      </c>
      <c r="G69" s="59" t="str"/>
    </row>
    <row r="70">
      <c r="A70" s="65" t="inlineStr">
        <is>
          <t>4</t>
        </is>
      </c>
      <c r="B70" s="65" t="inlineStr">
        <is>
          <t>Partners' Current Accounts</t>
        </is>
      </c>
      <c r="C70" s="65" t="inlineStr">
        <is>
          <t>Total — Partners' Current Accounts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5</t>
        </is>
      </c>
      <c r="B71" s="17" t="inlineStr">
        <is>
          <t>Reserves and Surplus</t>
        </is>
      </c>
      <c r="C71" s="17" t="inlineStr">
        <is>
          <t>Reserves and surplus</t>
        </is>
      </c>
      <c r="D71" s="17" t="inlineStr">
        <is>
          <t>RES</t>
        </is>
      </c>
      <c r="E71" s="121" t="n">
        <v>0</v>
      </c>
      <c r="F71" s="121" t="n">
        <v>0</v>
      </c>
      <c r="G71" s="59" t="str"/>
    </row>
    <row r="72">
      <c r="A72" s="65" t="inlineStr">
        <is>
          <t>5</t>
        </is>
      </c>
      <c r="B72" s="65" t="inlineStr">
        <is>
          <t>Reserves and Surplus</t>
        </is>
      </c>
      <c r="C72" s="65" t="inlineStr">
        <is>
          <t>Total — Reserves and Surplus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6</t>
        </is>
      </c>
      <c r="B73" s="17" t="inlineStr">
        <is>
          <t>Borrowings</t>
        </is>
      </c>
      <c r="C73" s="17" t="inlineStr">
        <is>
          <t>Long-term borrowings</t>
        </is>
      </c>
      <c r="D73" s="17" t="inlineStr">
        <is>
          <t>BORR_LT</t>
        </is>
      </c>
      <c r="E73" s="121" t="n">
        <v>0</v>
      </c>
      <c r="F73" s="121" t="n">
        <v>0</v>
      </c>
      <c r="G73" s="59" t="str"/>
    </row>
    <row r="74">
      <c r="A74" s="17" t="inlineStr">
        <is>
          <t>6</t>
        </is>
      </c>
      <c r="B74" s="17" t="inlineStr">
        <is>
          <t>Borrowings</t>
        </is>
      </c>
      <c r="C74" s="17" t="inlineStr">
        <is>
          <t>Short-term borrowings</t>
        </is>
      </c>
      <c r="D74" s="17" t="inlineStr">
        <is>
          <t>BORR_ST</t>
        </is>
      </c>
      <c r="E74" s="121" t="n">
        <v>0</v>
      </c>
      <c r="F74" s="121" t="n">
        <v>0</v>
      </c>
      <c r="G74" s="59" t="str"/>
    </row>
    <row r="75">
      <c r="A75" s="65" t="inlineStr">
        <is>
          <t>6</t>
        </is>
      </c>
      <c r="B75" s="65" t="inlineStr">
        <is>
          <t>Borrowings</t>
        </is>
      </c>
      <c r="C75" s="65" t="inlineStr">
        <is>
          <t>Total — Borrowings</t>
        </is>
      </c>
      <c r="D75" s="65" t="inlineStr">
        <is>
          <t>__TOTAL__</t>
        </is>
      </c>
      <c r="E75" s="122">
        <f>SUM(E73:E74)</f>
        <v/>
      </c>
      <c r="F75" s="122">
        <f>SUM(F73:F74)</f>
        <v/>
      </c>
      <c r="G75" s="65" t="str"/>
    </row>
    <row r="76">
      <c r="A76" s="17" t="inlineStr">
        <is>
          <t>7</t>
        </is>
      </c>
      <c r="B76" s="17" t="inlineStr">
        <is>
          <t>Deferred Tax</t>
        </is>
      </c>
      <c r="C76" s="17" t="inlineStr">
        <is>
          <t>DTA</t>
        </is>
      </c>
      <c r="D76" s="17" t="inlineStr">
        <is>
          <t>DTA</t>
        </is>
      </c>
      <c r="E76" s="121" t="n">
        <v>0</v>
      </c>
      <c r="F76" s="121" t="n">
        <v>0</v>
      </c>
      <c r="G76" s="59" t="str"/>
    </row>
    <row r="77">
      <c r="A77" s="17" t="inlineStr">
        <is>
          <t>7</t>
        </is>
      </c>
      <c r="B77" s="17" t="inlineStr">
        <is>
          <t>Deferred Tax</t>
        </is>
      </c>
      <c r="C77" s="17" t="inlineStr">
        <is>
          <t>DTL</t>
        </is>
      </c>
      <c r="D77" s="17" t="inlineStr">
        <is>
          <t>DTL</t>
        </is>
      </c>
      <c r="E77" s="121" t="n">
        <v>0</v>
      </c>
      <c r="F77" s="121" t="n">
        <v>0</v>
      </c>
      <c r="G77" s="59" t="str"/>
    </row>
    <row r="78">
      <c r="A78" s="65" t="inlineStr">
        <is>
          <t>7</t>
        </is>
      </c>
      <c r="B78" s="65" t="inlineStr">
        <is>
          <t>Deferred Tax</t>
        </is>
      </c>
      <c r="C78" s="65" t="inlineStr">
        <is>
          <t>Total — Deferred Tax</t>
        </is>
      </c>
      <c r="D78" s="65" t="inlineStr">
        <is>
          <t>__TOTAL__</t>
        </is>
      </c>
      <c r="E78" s="122">
        <f>SUM(E76:E77)</f>
        <v/>
      </c>
      <c r="F78" s="122">
        <f>SUM(F76:F77)</f>
        <v/>
      </c>
      <c r="G78" s="65" t="str"/>
    </row>
    <row r="79">
      <c r="A79" s="17" t="inlineStr">
        <is>
          <t>8</t>
        </is>
      </c>
      <c r="B79" s="17" t="inlineStr">
        <is>
          <t>Other Liabilities</t>
        </is>
      </c>
      <c r="C79" s="17" t="inlineStr">
        <is>
          <t>Long-term liabilities</t>
        </is>
      </c>
      <c r="D79" s="17" t="inlineStr">
        <is>
          <t>OL_LT</t>
        </is>
      </c>
      <c r="E79" s="121" t="n">
        <v>0</v>
      </c>
      <c r="F79" s="121" t="n">
        <v>0</v>
      </c>
      <c r="G79" s="59" t="str"/>
    </row>
    <row r="80">
      <c r="A80" s="17" t="inlineStr">
        <is>
          <t>8</t>
        </is>
      </c>
      <c r="B80" s="17" t="inlineStr">
        <is>
          <t>Other Liabilities</t>
        </is>
      </c>
      <c r="C80" s="17" t="inlineStr">
        <is>
          <t>Current liabilities</t>
        </is>
      </c>
      <c r="D80" s="17" t="inlineStr">
        <is>
          <t>OL_CURR</t>
        </is>
      </c>
      <c r="E80" s="121" t="n">
        <v>0</v>
      </c>
      <c r="F80" s="121" t="n">
        <v>0</v>
      </c>
      <c r="G80" s="59" t="str"/>
    </row>
    <row r="81">
      <c r="A81" s="65" t="inlineStr">
        <is>
          <t>8</t>
        </is>
      </c>
      <c r="B81" s="65" t="inlineStr">
        <is>
          <t>Other Liabilities</t>
        </is>
      </c>
      <c r="C81" s="65" t="inlineStr">
        <is>
          <t>Total — Other Liabilities</t>
        </is>
      </c>
      <c r="D81" s="65" t="inlineStr">
        <is>
          <t>__TOTAL__</t>
        </is>
      </c>
      <c r="E81" s="122">
        <f>SUM(E79:E80)</f>
        <v/>
      </c>
      <c r="F81" s="122">
        <f>SUM(F79:F80)</f>
        <v/>
      </c>
      <c r="G81" s="65" t="str"/>
    </row>
    <row r="82">
      <c r="A82" s="17" t="inlineStr">
        <is>
          <t>9</t>
        </is>
      </c>
      <c r="B82" s="17" t="inlineStr">
        <is>
          <t>Provisions</t>
        </is>
      </c>
      <c r="C82" s="17" t="inlineStr">
        <is>
          <t>Long-term provisions</t>
        </is>
      </c>
      <c r="D82" s="17" t="inlineStr">
        <is>
          <t>PROV_LT</t>
        </is>
      </c>
      <c r="E82" s="121" t="n">
        <v>0</v>
      </c>
      <c r="F82" s="121" t="n">
        <v>0</v>
      </c>
      <c r="G82" s="59" t="str"/>
    </row>
    <row r="83">
      <c r="A83" s="17" t="inlineStr">
        <is>
          <t>9</t>
        </is>
      </c>
      <c r="B83" s="17" t="inlineStr">
        <is>
          <t>Provisions</t>
        </is>
      </c>
      <c r="C83" s="17" t="inlineStr">
        <is>
          <t>Short-term provisions</t>
        </is>
      </c>
      <c r="D83" s="17" t="inlineStr">
        <is>
          <t>PROV_ST</t>
        </is>
      </c>
      <c r="E83" s="121" t="n">
        <v>0</v>
      </c>
      <c r="F83" s="121" t="n">
        <v>0</v>
      </c>
      <c r="G83" s="59" t="str"/>
    </row>
    <row r="84">
      <c r="A84" s="65" t="inlineStr">
        <is>
          <t>9</t>
        </is>
      </c>
      <c r="B84" s="65" t="inlineStr">
        <is>
          <t>Provisions</t>
        </is>
      </c>
      <c r="C84" s="65" t="inlineStr">
        <is>
          <t>Total — Provisions</t>
        </is>
      </c>
      <c r="D84" s="65" t="inlineStr">
        <is>
          <t>__TOTAL__</t>
        </is>
      </c>
      <c r="E84" s="122">
        <f>SUM(E82:E83)</f>
        <v/>
      </c>
      <c r="F84" s="122">
        <f>SUM(F82:F83)</f>
        <v/>
      </c>
      <c r="G84" s="65" t="str"/>
    </row>
    <row r="85">
      <c r="A85" s="17" t="inlineStr">
        <is>
          <t>10</t>
        </is>
      </c>
      <c r="B85" s="17" t="inlineStr">
        <is>
          <t>Trade Payables</t>
        </is>
      </c>
      <c r="C85" s="17" t="inlineStr">
        <is>
          <t>MSME trade payables</t>
        </is>
      </c>
      <c r="D85" s="17" t="inlineStr">
        <is>
          <t>TP_MSME</t>
        </is>
      </c>
      <c r="E85" s="121" t="n">
        <v>0</v>
      </c>
      <c r="F85" s="121" t="n">
        <v>0</v>
      </c>
      <c r="G85" s="59" t="str"/>
    </row>
    <row r="86">
      <c r="A86" s="17" t="inlineStr">
        <is>
          <t>10</t>
        </is>
      </c>
      <c r="B86" s="17" t="inlineStr">
        <is>
          <t>Trade Payables</t>
        </is>
      </c>
      <c r="C86" s="17" t="inlineStr">
        <is>
          <t>Other trade payables</t>
        </is>
      </c>
      <c r="D86" s="17" t="inlineStr">
        <is>
          <t>TP_OTHER</t>
        </is>
      </c>
      <c r="E86" s="121" t="n">
        <v>0</v>
      </c>
      <c r="F86" s="121" t="n">
        <v>0</v>
      </c>
      <c r="G86" s="59" t="str"/>
    </row>
    <row r="87">
      <c r="A87" s="65" t="inlineStr">
        <is>
          <t>10</t>
        </is>
      </c>
      <c r="B87" s="65" t="inlineStr">
        <is>
          <t>Trade Payables</t>
        </is>
      </c>
      <c r="C87" s="65" t="inlineStr">
        <is>
          <t>Total — Trade Payables</t>
        </is>
      </c>
      <c r="D87" s="65" t="inlineStr">
        <is>
          <t>__TOTAL__</t>
        </is>
      </c>
      <c r="E87" s="122">
        <f>SUM(E85:E86)</f>
        <v/>
      </c>
      <c r="F87" s="122">
        <f>SUM(F85:F86)</f>
        <v/>
      </c>
      <c r="G87" s="65" t="str"/>
    </row>
    <row r="88">
      <c r="A88" s="17" t="inlineStr">
        <is>
          <t>11</t>
        </is>
      </c>
      <c r="B88" s="17" t="inlineStr">
        <is>
          <t>PPE / Intangibles / CWIP</t>
        </is>
      </c>
      <c r="C88" s="17" t="inlineStr">
        <is>
          <t>PPE</t>
        </is>
      </c>
      <c r="D88" s="17" t="inlineStr">
        <is>
          <t>PPE</t>
        </is>
      </c>
      <c r="E88" s="121" t="n">
        <v>0</v>
      </c>
      <c r="F88" s="121" t="n">
        <v>0</v>
      </c>
      <c r="G88" s="59" t="str"/>
    </row>
    <row r="89">
      <c r="A89" s="17" t="inlineStr">
        <is>
          <t>11</t>
        </is>
      </c>
      <c r="B89" s="17" t="inlineStr">
        <is>
          <t>PPE / Intangibles / CWIP</t>
        </is>
      </c>
      <c r="C89" s="17" t="inlineStr">
        <is>
          <t>Intangibles</t>
        </is>
      </c>
      <c r="D89" s="17" t="inlineStr">
        <is>
          <t>INTANG</t>
        </is>
      </c>
      <c r="E89" s="121" t="n">
        <v>0</v>
      </c>
      <c r="F89" s="121" t="n">
        <v>0</v>
      </c>
      <c r="G89" s="59" t="str"/>
    </row>
    <row r="90">
      <c r="A90" s="17" t="inlineStr">
        <is>
          <t>11</t>
        </is>
      </c>
      <c r="B90" s="17" t="inlineStr">
        <is>
          <t>PPE / Intangibles / CWIP</t>
        </is>
      </c>
      <c r="C90" s="17" t="inlineStr">
        <is>
          <t>CWIP</t>
        </is>
      </c>
      <c r="D90" s="17" t="inlineStr">
        <is>
          <t>CWIP</t>
        </is>
      </c>
      <c r="E90" s="121" t="n">
        <v>0</v>
      </c>
      <c r="F90" s="121" t="n">
        <v>0</v>
      </c>
      <c r="G90" s="59" t="str"/>
    </row>
    <row r="91">
      <c r="A91" s="17" t="inlineStr">
        <is>
          <t>11</t>
        </is>
      </c>
      <c r="B91" s="17" t="inlineStr">
        <is>
          <t>PPE / Intangibles / CWIP</t>
        </is>
      </c>
      <c r="C91" s="17" t="inlineStr">
        <is>
          <t>IAUD</t>
        </is>
      </c>
      <c r="D91" s="17" t="inlineStr">
        <is>
          <t>IAUD</t>
        </is>
      </c>
      <c r="E91" s="121" t="n">
        <v>0</v>
      </c>
      <c r="F91" s="121" t="n">
        <v>0</v>
      </c>
      <c r="G91" s="59" t="str"/>
    </row>
    <row r="92">
      <c r="A92" s="65" t="inlineStr">
        <is>
          <t>11</t>
        </is>
      </c>
      <c r="B92" s="65" t="inlineStr">
        <is>
          <t>PPE / Intangibles / CWIP</t>
        </is>
      </c>
      <c r="C92" s="65" t="inlineStr">
        <is>
          <t>Total — PPE / Intangibles / CWIP</t>
        </is>
      </c>
      <c r="D92" s="65" t="inlineStr">
        <is>
          <t>__TOTAL__</t>
        </is>
      </c>
      <c r="E92" s="122">
        <f>SUM(E88:E91)</f>
        <v/>
      </c>
      <c r="F92" s="122">
        <f>SUM(F88:F91)</f>
        <v/>
      </c>
      <c r="G92" s="65" t="str"/>
    </row>
    <row r="93">
      <c r="A93" s="17" t="inlineStr">
        <is>
          <t>12</t>
        </is>
      </c>
      <c r="B93" s="17" t="inlineStr">
        <is>
          <t>Investments</t>
        </is>
      </c>
      <c r="C93" s="17" t="inlineStr">
        <is>
          <t>Non-current investments</t>
        </is>
      </c>
      <c r="D93" s="17" t="inlineStr">
        <is>
          <t>INV_NC</t>
        </is>
      </c>
      <c r="E93" s="121" t="n">
        <v>0</v>
      </c>
      <c r="F93" s="121" t="n">
        <v>0</v>
      </c>
      <c r="G93" s="59" t="str"/>
    </row>
    <row r="94">
      <c r="A94" s="17" t="inlineStr">
        <is>
          <t>12</t>
        </is>
      </c>
      <c r="B94" s="17" t="inlineStr">
        <is>
          <t>Investments</t>
        </is>
      </c>
      <c r="C94" s="17" t="inlineStr">
        <is>
          <t>Current investments</t>
        </is>
      </c>
      <c r="D94" s="17" t="inlineStr">
        <is>
          <t>INV_CURR</t>
        </is>
      </c>
      <c r="E94" s="121" t="n">
        <v>0</v>
      </c>
      <c r="F94" s="121" t="n">
        <v>0</v>
      </c>
      <c r="G94" s="59" t="str"/>
    </row>
    <row r="95">
      <c r="A95" s="65" t="inlineStr">
        <is>
          <t>12</t>
        </is>
      </c>
      <c r="B95" s="65" t="inlineStr">
        <is>
          <t>Investments</t>
        </is>
      </c>
      <c r="C95" s="65" t="inlineStr">
        <is>
          <t>Total — Investments</t>
        </is>
      </c>
      <c r="D95" s="65" t="inlineStr">
        <is>
          <t>__TOTAL__</t>
        </is>
      </c>
      <c r="E95" s="122">
        <f>SUM(E93:E94)</f>
        <v/>
      </c>
      <c r="F95" s="122">
        <f>SUM(F93:F94)</f>
        <v/>
      </c>
      <c r="G95" s="65" t="str"/>
    </row>
    <row r="96">
      <c r="A96" s="17" t="inlineStr">
        <is>
          <t>13</t>
        </is>
      </c>
      <c r="B96" s="17" t="inlineStr">
        <is>
          <t>Loans and Advances</t>
        </is>
      </c>
      <c r="C96" s="17" t="inlineStr">
        <is>
          <t>Long-term loans / advances</t>
        </is>
      </c>
      <c r="D96" s="17" t="inlineStr">
        <is>
          <t>LA_LT</t>
        </is>
      </c>
      <c r="E96" s="121" t="n">
        <v>0</v>
      </c>
      <c r="F96" s="121" t="n">
        <v>0</v>
      </c>
      <c r="G96" s="59" t="str"/>
    </row>
    <row r="97">
      <c r="A97" s="17" t="inlineStr">
        <is>
          <t>13</t>
        </is>
      </c>
      <c r="B97" s="17" t="inlineStr">
        <is>
          <t>Loans and Advances</t>
        </is>
      </c>
      <c r="C97" s="17" t="inlineStr">
        <is>
          <t>Short-term loans / advances</t>
        </is>
      </c>
      <c r="D97" s="17" t="inlineStr">
        <is>
          <t>LA_ST</t>
        </is>
      </c>
      <c r="E97" s="121" t="n">
        <v>0</v>
      </c>
      <c r="F97" s="121" t="n">
        <v>0</v>
      </c>
      <c r="G97" s="59" t="str"/>
    </row>
    <row r="98">
      <c r="A98" s="65" t="inlineStr">
        <is>
          <t>13</t>
        </is>
      </c>
      <c r="B98" s="65" t="inlineStr">
        <is>
          <t>Loans and Advances</t>
        </is>
      </c>
      <c r="C98" s="65" t="inlineStr">
        <is>
          <t>Total — Loans and Advances</t>
        </is>
      </c>
      <c r="D98" s="65" t="inlineStr">
        <is>
          <t>__TOTAL__</t>
        </is>
      </c>
      <c r="E98" s="122">
        <f>SUM(E96:E97)</f>
        <v/>
      </c>
      <c r="F98" s="122">
        <f>SUM(F96:F97)</f>
        <v/>
      </c>
      <c r="G98" s="65" t="str"/>
    </row>
    <row r="99">
      <c r="A99" s="17" t="inlineStr">
        <is>
          <t>14</t>
        </is>
      </c>
      <c r="B99" s="17" t="inlineStr">
        <is>
          <t>Other Non-current Assets</t>
        </is>
      </c>
      <c r="C99" s="17" t="inlineStr">
        <is>
          <t>Other non-current assets</t>
        </is>
      </c>
      <c r="D99" s="17" t="inlineStr">
        <is>
          <t>ONCA</t>
        </is>
      </c>
      <c r="E99" s="121" t="n">
        <v>0</v>
      </c>
      <c r="F99" s="121" t="n">
        <v>0</v>
      </c>
      <c r="G99" s="59" t="str"/>
    </row>
    <row r="100">
      <c r="A100" s="65" t="inlineStr">
        <is>
          <t>14</t>
        </is>
      </c>
      <c r="B100" s="65" t="inlineStr">
        <is>
          <t>Other Non-current Assets</t>
        </is>
      </c>
      <c r="C100" s="65" t="inlineStr">
        <is>
          <t>Total — Other Non-current Assets</t>
        </is>
      </c>
      <c r="D100" s="65" t="inlineStr">
        <is>
          <t>__TOTAL__</t>
        </is>
      </c>
      <c r="E100" s="122">
        <f>SUM(E99:E99)</f>
        <v/>
      </c>
      <c r="F100" s="122">
        <f>SUM(F99:F99)</f>
        <v/>
      </c>
      <c r="G100" s="65" t="str"/>
    </row>
    <row r="101">
      <c r="A101" s="17" t="inlineStr">
        <is>
          <t>15</t>
        </is>
      </c>
      <c r="B101" s="17" t="inlineStr">
        <is>
          <t>Inventories</t>
        </is>
      </c>
      <c r="C101" s="17" t="inlineStr">
        <is>
          <t>Inventories</t>
        </is>
      </c>
      <c r="D101" s="17" t="inlineStr">
        <is>
          <t>INV</t>
        </is>
      </c>
      <c r="E101" s="121" t="n">
        <v>0</v>
      </c>
      <c r="F101" s="121" t="n">
        <v>0</v>
      </c>
      <c r="G101" s="59" t="str"/>
    </row>
    <row r="102">
      <c r="A102" s="65" t="inlineStr">
        <is>
          <t>15</t>
        </is>
      </c>
      <c r="B102" s="65" t="inlineStr">
        <is>
          <t>Inventories</t>
        </is>
      </c>
      <c r="C102" s="65" t="inlineStr">
        <is>
          <t>Total — Inventories</t>
        </is>
      </c>
      <c r="D102" s="65" t="inlineStr">
        <is>
          <t>__TOTAL__</t>
        </is>
      </c>
      <c r="E102" s="122">
        <f>SUM(E101:E101)</f>
        <v/>
      </c>
      <c r="F102" s="122">
        <f>SUM(F101:F101)</f>
        <v/>
      </c>
      <c r="G102" s="65" t="str"/>
    </row>
    <row r="103">
      <c r="A103" s="17" t="inlineStr">
        <is>
          <t>16</t>
        </is>
      </c>
      <c r="B103" s="17" t="inlineStr">
        <is>
          <t>Trade Receivables</t>
        </is>
      </c>
      <c r="C103" s="17" t="inlineStr">
        <is>
          <t>Trade receivables</t>
        </is>
      </c>
      <c r="D103" s="17" t="inlineStr">
        <is>
          <t>TR</t>
        </is>
      </c>
      <c r="E103" s="121" t="n">
        <v>0</v>
      </c>
      <c r="F103" s="121" t="n">
        <v>0</v>
      </c>
      <c r="G103" s="59" t="str"/>
    </row>
    <row r="104">
      <c r="A104" s="65" t="inlineStr">
        <is>
          <t>16</t>
        </is>
      </c>
      <c r="B104" s="65" t="inlineStr">
        <is>
          <t>Trade Receivables</t>
        </is>
      </c>
      <c r="C104" s="65" t="inlineStr">
        <is>
          <t>Total — Trade Receivables</t>
        </is>
      </c>
      <c r="D104" s="65" t="inlineStr">
        <is>
          <t>__TOTAL__</t>
        </is>
      </c>
      <c r="E104" s="122">
        <f>SUM(E103:E103)</f>
        <v/>
      </c>
      <c r="F104" s="122">
        <f>SUM(F103:F103)</f>
        <v/>
      </c>
      <c r="G104" s="65" t="str"/>
    </row>
    <row r="105">
      <c r="A105" s="17" t="inlineStr">
        <is>
          <t>17</t>
        </is>
      </c>
      <c r="B105" s="17" t="inlineStr">
        <is>
          <t>Cash and Bank Balances</t>
        </is>
      </c>
      <c r="C105" s="17" t="inlineStr">
        <is>
          <t>Cash and bank balances</t>
        </is>
      </c>
      <c r="D105" s="17" t="inlineStr">
        <is>
          <t>CASH</t>
        </is>
      </c>
      <c r="E105" s="121" t="n">
        <v>0</v>
      </c>
      <c r="F105" s="121" t="n">
        <v>0</v>
      </c>
      <c r="G105" s="59" t="str"/>
    </row>
    <row r="106">
      <c r="A106" s="65" t="inlineStr">
        <is>
          <t>17</t>
        </is>
      </c>
      <c r="B106" s="65" t="inlineStr">
        <is>
          <t>Cash and Bank Balances</t>
        </is>
      </c>
      <c r="C106" s="65" t="inlineStr">
        <is>
          <t>Total — Cash and Bank Balances</t>
        </is>
      </c>
      <c r="D106" s="65" t="inlineStr">
        <is>
          <t>__TOTAL__</t>
        </is>
      </c>
      <c r="E106" s="122">
        <f>SUM(E105:E105)</f>
        <v/>
      </c>
      <c r="F106" s="122">
        <f>SUM(F105:F105)</f>
        <v/>
      </c>
      <c r="G106" s="65" t="str"/>
    </row>
    <row r="107">
      <c r="A107" s="17" t="inlineStr">
        <is>
          <t>18</t>
        </is>
      </c>
      <c r="B107" s="17" t="inlineStr">
        <is>
          <t>Other Current Assets</t>
        </is>
      </c>
      <c r="C107" s="17" t="inlineStr">
        <is>
          <t>Other current assets</t>
        </is>
      </c>
      <c r="D107" s="17" t="inlineStr">
        <is>
          <t>OCA</t>
        </is>
      </c>
      <c r="E107" s="121" t="n">
        <v>0</v>
      </c>
      <c r="F107" s="121" t="n">
        <v>0</v>
      </c>
      <c r="G107" s="59" t="str"/>
    </row>
    <row r="108">
      <c r="A108" s="65" t="inlineStr">
        <is>
          <t>18</t>
        </is>
      </c>
      <c r="B108" s="65" t="inlineStr">
        <is>
          <t>Other Current Assets</t>
        </is>
      </c>
      <c r="C108" s="65" t="inlineStr">
        <is>
          <t>Total — Other Current Assets</t>
        </is>
      </c>
      <c r="D108" s="65" t="inlineStr">
        <is>
          <t>__TOTAL__</t>
        </is>
      </c>
      <c r="E108" s="122">
        <f>SUM(E107:E107)</f>
        <v/>
      </c>
      <c r="F108" s="122">
        <f>SUM(F107:F107)</f>
        <v/>
      </c>
      <c r="G108" s="65" t="str"/>
    </row>
    <row r="109">
      <c r="A109" s="17" t="inlineStr">
        <is>
          <t>19</t>
        </is>
      </c>
      <c r="B109" s="17" t="inlineStr">
        <is>
          <t>Revenue from Operations</t>
        </is>
      </c>
      <c r="C109" s="17" t="inlineStr">
        <is>
          <t>Revenue from operations</t>
        </is>
      </c>
      <c r="D109" s="17" t="inlineStr">
        <is>
          <t>REV</t>
        </is>
      </c>
      <c r="E109" s="121" t="n">
        <v>0</v>
      </c>
      <c r="F109" s="121" t="n">
        <v>0</v>
      </c>
      <c r="G109" s="59" t="str"/>
    </row>
    <row r="110">
      <c r="A110" s="65" t="inlineStr">
        <is>
          <t>19</t>
        </is>
      </c>
      <c r="B110" s="65" t="inlineStr">
        <is>
          <t>Revenue from Operations</t>
        </is>
      </c>
      <c r="C110" s="65" t="inlineStr">
        <is>
          <t>Total — Revenue from Operations</t>
        </is>
      </c>
      <c r="D110" s="65" t="inlineStr">
        <is>
          <t>__TOTAL__</t>
        </is>
      </c>
      <c r="E110" s="122">
        <f>SUM(E109:E109)</f>
        <v/>
      </c>
      <c r="F110" s="122">
        <f>SUM(F109:F109)</f>
        <v/>
      </c>
      <c r="G110" s="65" t="str"/>
    </row>
    <row r="111">
      <c r="A111" s="17" t="inlineStr">
        <is>
          <t>20</t>
        </is>
      </c>
      <c r="B111" s="17" t="inlineStr">
        <is>
          <t>Other Income</t>
        </is>
      </c>
      <c r="C111" s="17" t="inlineStr">
        <is>
          <t>Other income</t>
        </is>
      </c>
      <c r="D111" s="17" t="inlineStr">
        <is>
          <t>OI</t>
        </is>
      </c>
      <c r="E111" s="121" t="n">
        <v>0</v>
      </c>
      <c r="F111" s="121" t="n">
        <v>0</v>
      </c>
      <c r="G111" s="59" t="str"/>
    </row>
    <row r="112">
      <c r="A112" s="65" t="inlineStr">
        <is>
          <t>20</t>
        </is>
      </c>
      <c r="B112" s="65" t="inlineStr">
        <is>
          <t>Other Income</t>
        </is>
      </c>
      <c r="C112" s="65" t="inlineStr">
        <is>
          <t>Total — Other Income</t>
        </is>
      </c>
      <c r="D112" s="65" t="inlineStr">
        <is>
          <t>__TOTAL__</t>
        </is>
      </c>
      <c r="E112" s="122">
        <f>SUM(E111:E111)</f>
        <v/>
      </c>
      <c r="F112" s="122">
        <f>SUM(F111:F111)</f>
        <v/>
      </c>
      <c r="G112" s="65" t="str"/>
    </row>
    <row r="113">
      <c r="A113" s="17" t="inlineStr">
        <is>
          <t>21</t>
        </is>
      </c>
      <c r="B113" s="17" t="inlineStr">
        <is>
          <t>Materials / Purchases</t>
        </is>
      </c>
      <c r="C113" s="17" t="inlineStr">
        <is>
          <t>Materials / purchases</t>
        </is>
      </c>
      <c r="D113" s="17" t="inlineStr">
        <is>
          <t>MATPUR</t>
        </is>
      </c>
      <c r="E113" s="121" t="n">
        <v>0</v>
      </c>
      <c r="F113" s="121" t="n">
        <v>0</v>
      </c>
      <c r="G113" s="59" t="str"/>
    </row>
    <row r="114">
      <c r="A114" s="65" t="inlineStr">
        <is>
          <t>21</t>
        </is>
      </c>
      <c r="B114" s="65" t="inlineStr">
        <is>
          <t>Materials / Purchases</t>
        </is>
      </c>
      <c r="C114" s="65" t="inlineStr">
        <is>
          <t>Total — Materials / Purchases</t>
        </is>
      </c>
      <c r="D114" s="65" t="inlineStr">
        <is>
          <t>__TOTAL__</t>
        </is>
      </c>
      <c r="E114" s="122">
        <f>SUM(E113:E113)</f>
        <v/>
      </c>
      <c r="F114" s="122">
        <f>SUM(F113:F113)</f>
        <v/>
      </c>
      <c r="G114" s="65" t="str"/>
    </row>
    <row r="115">
      <c r="A115" s="17" t="inlineStr">
        <is>
          <t>22</t>
        </is>
      </c>
      <c r="B115" s="17" t="inlineStr">
        <is>
          <t>Changes in Inventories</t>
        </is>
      </c>
      <c r="C115" s="17" t="inlineStr">
        <is>
          <t>Changes in inventories</t>
        </is>
      </c>
      <c r="D115" s="17" t="inlineStr">
        <is>
          <t>CHG_INV</t>
        </is>
      </c>
      <c r="E115" s="121" t="n">
        <v>0</v>
      </c>
      <c r="F115" s="121" t="n">
        <v>0</v>
      </c>
      <c r="G115" s="59" t="str"/>
    </row>
    <row r="116">
      <c r="A116" s="65" t="inlineStr">
        <is>
          <t>22</t>
        </is>
      </c>
      <c r="B116" s="65" t="inlineStr">
        <is>
          <t>Changes in Inventories</t>
        </is>
      </c>
      <c r="C116" s="65" t="inlineStr">
        <is>
          <t>Total — Changes in Inventories</t>
        </is>
      </c>
      <c r="D116" s="65" t="inlineStr">
        <is>
          <t>__TOTAL__</t>
        </is>
      </c>
      <c r="E116" s="122">
        <f>SUM(E115:E115)</f>
        <v/>
      </c>
      <c r="F116" s="122">
        <f>SUM(F115:F115)</f>
        <v/>
      </c>
      <c r="G116" s="65" t="str"/>
    </row>
    <row r="117">
      <c r="A117" s="17" t="inlineStr">
        <is>
          <t>23</t>
        </is>
      </c>
      <c r="B117" s="17" t="inlineStr">
        <is>
          <t>Employee Benefits</t>
        </is>
      </c>
      <c r="C117" s="17" t="inlineStr">
        <is>
          <t>Employee benefits</t>
        </is>
      </c>
      <c r="D117" s="17" t="inlineStr">
        <is>
          <t>EMP</t>
        </is>
      </c>
      <c r="E117" s="121" t="n">
        <v>0</v>
      </c>
      <c r="F117" s="121" t="n">
        <v>0</v>
      </c>
      <c r="G117" s="59" t="str"/>
    </row>
    <row r="118">
      <c r="A118" s="65" t="inlineStr">
        <is>
          <t>23</t>
        </is>
      </c>
      <c r="B118" s="65" t="inlineStr">
        <is>
          <t>Employee Benefits</t>
        </is>
      </c>
      <c r="C118" s="65" t="inlineStr">
        <is>
          <t>Total — Employee Benefits</t>
        </is>
      </c>
      <c r="D118" s="65" t="inlineStr">
        <is>
          <t>__TOTAL__</t>
        </is>
      </c>
      <c r="E118" s="122">
        <f>SUM(E117:E117)</f>
        <v/>
      </c>
      <c r="F118" s="122">
        <f>SUM(F117:F117)</f>
        <v/>
      </c>
      <c r="G118" s="65" t="str"/>
    </row>
    <row r="119">
      <c r="A119" s="17" t="inlineStr">
        <is>
          <t>24</t>
        </is>
      </c>
      <c r="B119" s="17" t="inlineStr">
        <is>
          <t>Finance Costs</t>
        </is>
      </c>
      <c r="C119" s="17" t="inlineStr">
        <is>
          <t>Finance costs</t>
        </is>
      </c>
      <c r="D119" s="17" t="inlineStr">
        <is>
          <t>FIN</t>
        </is>
      </c>
      <c r="E119" s="121" t="n">
        <v>0</v>
      </c>
      <c r="F119" s="121" t="n">
        <v>0</v>
      </c>
      <c r="G119" s="59" t="str"/>
    </row>
    <row r="120">
      <c r="A120" s="65" t="inlineStr">
        <is>
          <t>24</t>
        </is>
      </c>
      <c r="B120" s="65" t="inlineStr">
        <is>
          <t>Finance Costs</t>
        </is>
      </c>
      <c r="C120" s="65" t="inlineStr">
        <is>
          <t>Total — Finance Costs</t>
        </is>
      </c>
      <c r="D120" s="65" t="inlineStr">
        <is>
          <t>__TOTAL__</t>
        </is>
      </c>
      <c r="E120" s="122">
        <f>SUM(E119:E119)</f>
        <v/>
      </c>
      <c r="F120" s="122">
        <f>SUM(F119:F119)</f>
        <v/>
      </c>
      <c r="G120" s="65" t="str"/>
    </row>
    <row r="121">
      <c r="A121" s="17" t="inlineStr">
        <is>
          <t>25</t>
        </is>
      </c>
      <c r="B121" s="17" t="inlineStr">
        <is>
          <t>Depreciation and Amortisation</t>
        </is>
      </c>
      <c r="C121" s="17" t="inlineStr">
        <is>
          <t>Depreciation / amortisation</t>
        </is>
      </c>
      <c r="D121" s="17" t="inlineStr">
        <is>
          <t>DEPAM</t>
        </is>
      </c>
      <c r="E121" s="121" t="n">
        <v>0</v>
      </c>
      <c r="F121" s="121" t="n">
        <v>0</v>
      </c>
      <c r="G121" s="59" t="str"/>
    </row>
    <row r="122">
      <c r="A122" s="65" t="inlineStr">
        <is>
          <t>25</t>
        </is>
      </c>
      <c r="B122" s="65" t="inlineStr">
        <is>
          <t>Depreciation and Amortisation</t>
        </is>
      </c>
      <c r="C122" s="65" t="inlineStr">
        <is>
          <t>Total — Depreciation and Amortisation</t>
        </is>
      </c>
      <c r="D122" s="65" t="inlineStr">
        <is>
          <t>__TOTAL__</t>
        </is>
      </c>
      <c r="E122" s="122">
        <f>SUM(E121:E121)</f>
        <v/>
      </c>
      <c r="F122" s="122">
        <f>SUM(F121:F121)</f>
        <v/>
      </c>
      <c r="G122" s="65" t="str"/>
    </row>
    <row r="123">
      <c r="A123" s="17" t="inlineStr">
        <is>
          <t>26</t>
        </is>
      </c>
      <c r="B123" s="17" t="inlineStr">
        <is>
          <t>Other Expenses</t>
        </is>
      </c>
      <c r="C123" s="17" t="inlineStr">
        <is>
          <t>Other expenses</t>
        </is>
      </c>
      <c r="D123" s="17" t="inlineStr">
        <is>
          <t>OE</t>
        </is>
      </c>
      <c r="E123" s="121" t="n">
        <v>0</v>
      </c>
      <c r="F123" s="121" t="n">
        <v>0</v>
      </c>
      <c r="G123" s="59" t="str"/>
    </row>
    <row r="124">
      <c r="A124" s="65" t="inlineStr">
        <is>
          <t>26</t>
        </is>
      </c>
      <c r="B124" s="65" t="inlineStr">
        <is>
          <t>Other Expenses</t>
        </is>
      </c>
      <c r="C124" s="65" t="inlineStr">
        <is>
          <t>Total — Other Expenses</t>
        </is>
      </c>
      <c r="D124" s="65" t="inlineStr">
        <is>
          <t>__TOTAL__</t>
        </is>
      </c>
      <c r="E124" s="122">
        <f>SUM(E123:E123)</f>
        <v/>
      </c>
      <c r="F124" s="122">
        <f>SUM(F123:F123)</f>
        <v/>
      </c>
      <c r="G124" s="65" t="str"/>
    </row>
    <row r="125">
      <c r="A125" s="17" t="n"/>
      <c r="B125" s="17" t="n"/>
      <c r="C125" s="17" t="n"/>
      <c r="D125" s="17" t="n"/>
      <c r="E125" s="17" t="n"/>
      <c r="F125" s="17" t="n"/>
      <c r="G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</row>
    <row r="127" ht="26" customHeight="1" s="82">
      <c r="A127" s="79" t="inlineStr">
        <is>
          <t>Cash Flow Statement</t>
        </is>
      </c>
      <c r="B127" s="1" t="n"/>
      <c r="C127" s="1" t="n"/>
      <c r="D127" s="1" t="n"/>
      <c r="E127" s="1" t="n"/>
      <c r="F127" s="1" t="n"/>
      <c r="G127" s="1" t="n"/>
    </row>
    <row r="128">
      <c r="A128" s="14" t="inlineStr">
        <is>
          <t>Line Item</t>
        </is>
      </c>
      <c r="B128" s="14" t="inlineStr">
        <is>
          <t>AAH Mapping Key</t>
        </is>
      </c>
      <c r="C128" s="14" t="inlineStr">
        <is>
          <t>Current Period</t>
        </is>
      </c>
      <c r="D128" s="14" t="inlineStr">
        <is>
          <t>Previous Period</t>
        </is>
      </c>
      <c r="E128" s="14" t="inlineStr">
        <is>
          <t>Calculation / Rule</t>
        </is>
      </c>
      <c r="F128" s="14" t="inlineStr">
        <is>
          <t>Status</t>
        </is>
      </c>
      <c r="G128" s="14" t="inlineStr">
        <is>
          <t>Remarks</t>
        </is>
      </c>
    </row>
    <row r="129">
      <c r="A129" s="17" t="inlineStr">
        <is>
          <t>Profit before tax / operating surplus</t>
        </is>
      </c>
      <c r="B129" s="17" t="inlineStr">
        <is>
          <t>CFS_PBT</t>
        </is>
      </c>
      <c r="C129" s="121" t="n">
        <v>0</v>
      </c>
      <c r="D129" s="121" t="n">
        <v>0</v>
      </c>
      <c r="E129" s="17" t="inlineStr">
        <is>
          <t>To be populated/calculated by AAH mapping engine</t>
        </is>
      </c>
      <c r="F129" s="17" t="str"/>
      <c r="G129" s="80" t="str"/>
    </row>
    <row r="130">
      <c r="A130" s="17" t="inlineStr">
        <is>
          <t>Non-cash adjustments</t>
        </is>
      </c>
      <c r="B130" s="17" t="inlineStr">
        <is>
          <t>CFS_ADJ</t>
        </is>
      </c>
      <c r="C130" s="121" t="n">
        <v>0</v>
      </c>
      <c r="D130" s="121" t="n">
        <v>0</v>
      </c>
      <c r="E130" s="17" t="inlineStr">
        <is>
          <t>To be populated/calculated by AAH mapping engine</t>
        </is>
      </c>
      <c r="F130" s="17" t="str"/>
      <c r="G130" s="80" t="str"/>
    </row>
    <row r="131">
      <c r="A131" s="17" t="inlineStr">
        <is>
          <t>Working capital changes</t>
        </is>
      </c>
      <c r="B131" s="17" t="inlineStr">
        <is>
          <t>CFS_WC</t>
        </is>
      </c>
      <c r="C131" s="121" t="n">
        <v>0</v>
      </c>
      <c r="D131" s="121" t="n">
        <v>0</v>
      </c>
      <c r="E131" s="17" t="inlineStr">
        <is>
          <t>To be populated/calculated by AAH mapping engine</t>
        </is>
      </c>
      <c r="F131" s="17" t="str"/>
      <c r="G131" s="80" t="str"/>
    </row>
    <row r="132">
      <c r="A132" s="17" t="inlineStr">
        <is>
          <t>Taxes paid</t>
        </is>
      </c>
      <c r="B132" s="17" t="inlineStr">
        <is>
          <t>CFS_TAX</t>
        </is>
      </c>
      <c r="C132" s="121" t="n">
        <v>0</v>
      </c>
      <c r="D132" s="121" t="n">
        <v>0</v>
      </c>
      <c r="E132" s="17" t="inlineStr">
        <is>
          <t>To be populated/calculated by AAH mapping engine</t>
        </is>
      </c>
      <c r="F132" s="17" t="str"/>
      <c r="G132" s="80" t="str"/>
    </row>
    <row r="133">
      <c r="A133" s="17" t="inlineStr">
        <is>
          <t>Net cash from operating activities</t>
        </is>
      </c>
      <c r="B133" s="17" t="inlineStr">
        <is>
          <t>CFS_CFO</t>
        </is>
      </c>
      <c r="C133" s="121" t="n">
        <v>0</v>
      </c>
      <c r="D133" s="121" t="n">
        <v>0</v>
      </c>
      <c r="E133" s="17" t="inlineStr">
        <is>
          <t>To be populated/calculated by AAH mapping engine</t>
        </is>
      </c>
      <c r="F133" s="17" t="str"/>
      <c r="G133" s="80" t="str"/>
    </row>
    <row r="134">
      <c r="A134" s="17" t="inlineStr">
        <is>
          <t>Net cash from investing activities</t>
        </is>
      </c>
      <c r="B134" s="17" t="inlineStr">
        <is>
          <t>CFS_CFI</t>
        </is>
      </c>
      <c r="C134" s="121" t="n">
        <v>0</v>
      </c>
      <c r="D134" s="121" t="n">
        <v>0</v>
      </c>
      <c r="E134" s="17" t="inlineStr">
        <is>
          <t>To be populated/calculated by AAH mapping engine</t>
        </is>
      </c>
      <c r="F134" s="17" t="str"/>
      <c r="G134" s="80" t="str"/>
    </row>
    <row r="135">
      <c r="A135" s="17" t="inlineStr">
        <is>
          <t>Net cash from financing activities</t>
        </is>
      </c>
      <c r="B135" s="17" t="inlineStr">
        <is>
          <t>CFS_CFF</t>
        </is>
      </c>
      <c r="C135" s="121" t="n">
        <v>0</v>
      </c>
      <c r="D135" s="121" t="n">
        <v>0</v>
      </c>
      <c r="E135" s="17" t="inlineStr">
        <is>
          <t>To be populated/calculated by AAH mapping engine</t>
        </is>
      </c>
      <c r="F135" s="17" t="str"/>
      <c r="G135" s="80" t="str"/>
    </row>
    <row r="136">
      <c r="A136" s="17" t="inlineStr">
        <is>
          <t>Net increase / (decrease) in cash</t>
        </is>
      </c>
      <c r="B136" s="17" t="inlineStr">
        <is>
          <t>CFS_NET</t>
        </is>
      </c>
      <c r="C136" s="121" t="n">
        <v>0</v>
      </c>
      <c r="D136" s="121" t="n">
        <v>0</v>
      </c>
      <c r="E136" s="17" t="inlineStr">
        <is>
          <t>To be populated/calculated by AAH mapping engine</t>
        </is>
      </c>
      <c r="F136" s="17" t="str"/>
      <c r="G136" s="80" t="str"/>
    </row>
    <row r="137">
      <c r="A137" s="17" t="inlineStr">
        <is>
          <t>Opening cash and cash equivalents</t>
        </is>
      </c>
      <c r="B137" s="17" t="inlineStr">
        <is>
          <t>CFS_OPEN</t>
        </is>
      </c>
      <c r="C137" s="121" t="n">
        <v>0</v>
      </c>
      <c r="D137" s="121" t="n">
        <v>0</v>
      </c>
      <c r="E137" s="17" t="inlineStr">
        <is>
          <t>To be populated/calculated by AAH mapping engine</t>
        </is>
      </c>
      <c r="F137" s="17" t="str"/>
      <c r="G137" s="80" t="str"/>
    </row>
    <row r="138">
      <c r="A138" s="17" t="inlineStr">
        <is>
          <t>Closing cash and cash equivalents</t>
        </is>
      </c>
      <c r="B138" s="17" t="inlineStr">
        <is>
          <t>CFS_CLOSE</t>
        </is>
      </c>
      <c r="C138" s="121" t="n">
        <v>0</v>
      </c>
      <c r="D138" s="121" t="n">
        <v>0</v>
      </c>
      <c r="E138" s="17" t="inlineStr">
        <is>
          <t>To be populated/calculated by AAH mapping engine</t>
        </is>
      </c>
      <c r="F138" s="17" t="str"/>
      <c r="G138" s="80" t="str"/>
    </row>
    <row r="139">
      <c r="A139" s="17" t="n"/>
      <c r="B139" s="17" t="n"/>
      <c r="C139" s="17" t="n"/>
      <c r="D139" s="17" t="n"/>
      <c r="E139" s="17" t="n"/>
      <c r="F139" s="17" t="n"/>
      <c r="G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 ht="26" customHeight="1" s="82">
      <c r="A141" s="79" t="inlineStr">
        <is>
          <t>Validation</t>
        </is>
      </c>
      <c r="B141" s="1" t="n"/>
      <c r="C141" s="1" t="n"/>
      <c r="D141" s="1" t="n"/>
      <c r="E141" s="17" t="n"/>
      <c r="F141" s="17" t="n"/>
      <c r="G141" s="17" t="n"/>
    </row>
    <row r="142">
      <c r="A142" s="14" t="inlineStr">
        <is>
          <t>Check</t>
        </is>
      </c>
      <c r="B142" s="14" t="inlineStr">
        <is>
          <t>Current Period</t>
        </is>
      </c>
      <c r="C142" s="14" t="inlineStr">
        <is>
          <t>Previous Period</t>
        </is>
      </c>
      <c r="D142" s="14" t="inlineStr">
        <is>
          <t>Result</t>
        </is>
      </c>
      <c r="E142" s="17" t="n"/>
      <c r="F142" s="17" t="n"/>
      <c r="G142" s="17" t="n"/>
    </row>
    <row r="143">
      <c r="A143" s="17" t="inlineStr">
        <is>
          <t>Balance Sheet difference</t>
        </is>
      </c>
      <c r="B143" s="17">
        <f>C37-C22</f>
        <v/>
      </c>
      <c r="C143" s="17">
        <f>D37-D22</f>
        <v/>
      </c>
      <c r="D143" s="17">
        <f>IF(AND(ABS(B143)&lt;1,ABS(C143)&lt;1),"PASS","CHECK")</f>
        <v/>
      </c>
      <c r="E143" s="17" t="n"/>
      <c r="F143" s="17" t="n"/>
      <c r="G143" s="17" t="n"/>
    </row>
    <row r="144">
      <c r="A144" s="17" t="inlineStr">
        <is>
          <t>Notes / disclosures</t>
        </is>
      </c>
      <c r="B144" s="17" t="inlineStr">
        <is>
          <t>Review</t>
        </is>
      </c>
      <c r="C144" s="17" t="inlineStr">
        <is>
          <t>Review</t>
        </is>
      </c>
      <c r="D144" s="17" t="inlineStr">
        <is>
          <t>Review</t>
        </is>
      </c>
      <c r="E144" s="17" t="n"/>
      <c r="F144" s="17" t="n"/>
      <c r="G144" s="17" t="n"/>
    </row>
    <row r="145">
      <c r="A145" s="17" t="inlineStr">
        <is>
          <t>Profile readiness</t>
        </is>
      </c>
      <c r="B145" s="17" t="str"/>
      <c r="C145" s="17" t="str"/>
      <c r="D145" s="17">
        <f>IF(D143="PASS","READY FOR REVIEW","NOT READY")</f>
        <v/>
      </c>
      <c r="E145" s="17" t="n"/>
      <c r="F145" s="17" t="n"/>
      <c r="G145" s="17" t="n"/>
    </row>
    <row r="146"/>
    <row r="147"/>
    <row r="148"/>
    <row r="149">
      <c r="A149" s="101" t="inlineStr">
        <is>
          <t>Signatures / Certification</t>
        </is>
      </c>
      <c r="B149" s="101" t="str"/>
      <c r="C149" s="101" t="str"/>
      <c r="D149" s="101" t="str"/>
      <c r="E149" s="101" t="str"/>
      <c r="F149" s="101" t="str"/>
    </row>
    <row r="150">
      <c r="A150" s="112" t="inlineStr">
        <is>
          <t>Entity Signatory</t>
        </is>
      </c>
      <c r="B150" s="104">
        <f>'AAH Basic Info'!B13</f>
        <v/>
      </c>
      <c r="C150" s="115" t="inlineStr">
        <is>
          <t>Designation</t>
        </is>
      </c>
      <c r="D150" s="104">
        <f>'AAH Basic Info'!B14</f>
        <v/>
      </c>
      <c r="E150" s="115" t="inlineStr">
        <is>
          <t>DIN</t>
        </is>
      </c>
      <c r="F150" s="105">
        <f>'AAH Basic Info'!B15</f>
        <v/>
      </c>
    </row>
    <row r="151">
      <c r="A151" s="113" t="inlineStr">
        <is>
          <t>Signing Date</t>
        </is>
      </c>
      <c r="B151" s="107">
        <f>'AAH Basic Info'!B16</f>
        <v/>
      </c>
      <c r="C151" s="116" t="inlineStr">
        <is>
          <t>Place</t>
        </is>
      </c>
      <c r="D151" s="107">
        <f>'AAH Basic Info'!B17</f>
        <v/>
      </c>
      <c r="E151" s="116" t="str"/>
      <c r="F151" s="108" t="str"/>
    </row>
    <row r="152">
      <c r="A152" s="113" t="inlineStr">
        <is>
          <t>Audit Firm</t>
        </is>
      </c>
      <c r="B152" s="107">
        <f>'AAH Basic Info'!B18</f>
        <v/>
      </c>
      <c r="C152" s="116" t="inlineStr">
        <is>
          <t>FRN</t>
        </is>
      </c>
      <c r="D152" s="107">
        <f>'AAH Basic Info'!B19</f>
        <v/>
      </c>
      <c r="E152" s="116" t="str"/>
      <c r="F152" s="108" t="str"/>
    </row>
    <row r="153">
      <c r="A153" s="113" t="inlineStr">
        <is>
          <t>Signing CA</t>
        </is>
      </c>
      <c r="B153" s="107">
        <f>'AAH Basic Info'!B20</f>
        <v/>
      </c>
      <c r="C153" s="116" t="inlineStr">
        <is>
          <t>Designation</t>
        </is>
      </c>
      <c r="D153" s="107">
        <f>'AAH Basic Info'!B21</f>
        <v/>
      </c>
      <c r="E153" s="116" t="inlineStr">
        <is>
          <t>Membership No.</t>
        </is>
      </c>
      <c r="F153" s="108">
        <f>'AAH Basic Info'!B22</f>
        <v/>
      </c>
    </row>
    <row r="154">
      <c r="A154" s="114" t="inlineStr">
        <is>
          <t>Audit Place</t>
        </is>
      </c>
      <c r="B154" s="110">
        <f>'AAH Basic Info'!B23</f>
        <v/>
      </c>
      <c r="C154" s="117" t="inlineStr">
        <is>
          <t>Signing Date</t>
        </is>
      </c>
      <c r="D154" s="110">
        <f>'AAH Basic Info'!B30</f>
        <v/>
      </c>
      <c r="E154" s="117" t="str"/>
      <c r="F154" s="111" t="str"/>
    </row>
  </sheetData>
  <mergeCells count="7">
    <mergeCell ref="A40:D40"/>
    <mergeCell ref="A141:D141"/>
    <mergeCell ref="A1:G1"/>
    <mergeCell ref="A127:G127"/>
    <mergeCell ref="A6:D6"/>
    <mergeCell ref="A2:G2"/>
    <mergeCell ref="A60:G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Not-for-Profit Organisation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ICAI / governing statute | Official source: https://www.icai.org/post/technical-guides-and-other-materials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Balance Sheet / Statement of Financial Position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FUNDS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Corpus / Capital Fund</t>
        </is>
      </c>
      <c r="B9" s="17" t="inlineStr">
        <is>
          <t>1</t>
        </is>
      </c>
      <c r="C9" s="120">
        <f>E46</f>
        <v/>
      </c>
      <c r="D9" s="120">
        <f>F46</f>
        <v/>
      </c>
      <c r="E9" s="17" t="n"/>
      <c r="F9" s="17" t="n"/>
      <c r="G9" s="17" t="n"/>
    </row>
    <row r="10">
      <c r="A10" s="17" t="inlineStr">
        <is>
          <t>Restricted / Earmarked Funds</t>
        </is>
      </c>
      <c r="B10" s="17" t="inlineStr">
        <is>
          <t>2</t>
        </is>
      </c>
      <c r="C10" s="120">
        <f>E48</f>
        <v/>
      </c>
      <c r="D10" s="120">
        <f>F48</f>
        <v/>
      </c>
      <c r="E10" s="17" t="n"/>
      <c r="F10" s="17" t="n"/>
      <c r="G10" s="17" t="n"/>
    </row>
    <row r="11">
      <c r="A11" s="17" t="inlineStr">
        <is>
          <t>Unrestricted / General Fund</t>
        </is>
      </c>
      <c r="B11" s="17" t="inlineStr">
        <is>
          <t>3</t>
        </is>
      </c>
      <c r="C11" s="120">
        <f>E50</f>
        <v/>
      </c>
      <c r="D11" s="120">
        <f>F50</f>
        <v/>
      </c>
      <c r="E11" s="17" t="n"/>
      <c r="F11" s="17" t="n"/>
      <c r="G11" s="17" t="n"/>
    </row>
    <row r="12">
      <c r="A12" s="17" t="inlineStr">
        <is>
          <t>Secured / Unsecured Loans</t>
        </is>
      </c>
      <c r="B12" s="17" t="inlineStr">
        <is>
          <t>4</t>
        </is>
      </c>
      <c r="C12" s="120">
        <f>E53</f>
        <v/>
      </c>
      <c r="D12" s="120">
        <f>F53</f>
        <v/>
      </c>
      <c r="E12" s="17" t="n"/>
      <c r="F12" s="17" t="n"/>
      <c r="G12" s="17" t="n"/>
    </row>
    <row r="13">
      <c r="A13" s="17" t="inlineStr">
        <is>
          <t>Deferred Credit Liabilities</t>
        </is>
      </c>
      <c r="B13" s="17" t="inlineStr">
        <is>
          <t>5</t>
        </is>
      </c>
      <c r="C13" s="120">
        <f>E55</f>
        <v/>
      </c>
      <c r="D13" s="120">
        <f>F55</f>
        <v/>
      </c>
      <c r="E13" s="17" t="n"/>
      <c r="F13" s="17" t="n"/>
      <c r="G13" s="17" t="n"/>
    </row>
    <row r="14">
      <c r="A14" s="17" t="inlineStr">
        <is>
          <t>Current Liabilities and Provisions</t>
        </is>
      </c>
      <c r="B14" s="17" t="inlineStr">
        <is>
          <t>6</t>
        </is>
      </c>
      <c r="C14" s="120">
        <f>E58</f>
        <v/>
      </c>
      <c r="D14" s="120">
        <f>F58</f>
        <v/>
      </c>
      <c r="E14" s="17" t="n"/>
      <c r="F14" s="17" t="n"/>
      <c r="G14" s="17" t="n"/>
    </row>
    <row r="15">
      <c r="A15" s="65" t="inlineStr">
        <is>
          <t>TOTAL FUNDS AND LIABILITIES</t>
        </is>
      </c>
      <c r="B15" s="65" t="str"/>
      <c r="C15" s="122">
        <f>SUM(C9,C10,C11,C12,C13,C14)</f>
        <v/>
      </c>
      <c r="D15" s="122">
        <f>SUM(D9,D10,D11,D12,D13,D14)</f>
        <v/>
      </c>
      <c r="E15" s="17" t="n"/>
      <c r="F15" s="17" t="n"/>
      <c r="G15" s="17" t="n"/>
    </row>
    <row r="16">
      <c r="A16" s="42" t="inlineStr">
        <is>
          <t>ASSETS</t>
        </is>
      </c>
      <c r="B16" s="42" t="str"/>
      <c r="C16" s="118" t="n"/>
      <c r="D16" s="118" t="n"/>
      <c r="E16" s="17" t="n"/>
      <c r="F16" s="17" t="n"/>
      <c r="G16" s="17" t="n"/>
    </row>
    <row r="17">
      <c r="A17" s="17" t="inlineStr">
        <is>
          <t>Fixed Assets / PPE</t>
        </is>
      </c>
      <c r="B17" s="17" t="inlineStr">
        <is>
          <t>7</t>
        </is>
      </c>
      <c r="C17" s="120">
        <f>E60</f>
        <v/>
      </c>
      <c r="D17" s="120">
        <f>F60</f>
        <v/>
      </c>
      <c r="E17" s="17" t="n"/>
      <c r="F17" s="17" t="n"/>
      <c r="G17" s="17" t="n"/>
    </row>
    <row r="18">
      <c r="A18" s="17" t="inlineStr">
        <is>
          <t>Investments - Earmarked / Endowment Funds</t>
        </is>
      </c>
      <c r="B18" s="17" t="inlineStr">
        <is>
          <t>8</t>
        </is>
      </c>
      <c r="C18" s="120">
        <f>E62</f>
        <v/>
      </c>
      <c r="D18" s="120">
        <f>F62</f>
        <v/>
      </c>
      <c r="E18" s="17" t="n"/>
      <c r="F18" s="17" t="n"/>
      <c r="G18" s="17" t="n"/>
    </row>
    <row r="19">
      <c r="A19" s="17" t="inlineStr">
        <is>
          <t>Other Investments</t>
        </is>
      </c>
      <c r="B19" s="17" t="inlineStr">
        <is>
          <t>9</t>
        </is>
      </c>
      <c r="C19" s="120">
        <f>E64</f>
        <v/>
      </c>
      <c r="D19" s="120">
        <f>F64</f>
        <v/>
      </c>
      <c r="E19" s="17" t="n"/>
      <c r="F19" s="17" t="n"/>
      <c r="G19" s="17" t="n"/>
    </row>
    <row r="20">
      <c r="A20" s="17" t="inlineStr">
        <is>
          <t>Current Assets, Loans and Advances</t>
        </is>
      </c>
      <c r="B20" s="17" t="inlineStr">
        <is>
          <t>10</t>
        </is>
      </c>
      <c r="C20" s="120">
        <f>E67</f>
        <v/>
      </c>
      <c r="D20" s="120">
        <f>F67</f>
        <v/>
      </c>
      <c r="E20" s="17" t="n"/>
      <c r="F20" s="17" t="n"/>
      <c r="G20" s="17" t="n"/>
    </row>
    <row r="21">
      <c r="A21" s="65" t="inlineStr">
        <is>
          <t>TOTAL ASSETS</t>
        </is>
      </c>
      <c r="B21" s="65" t="str"/>
      <c r="C21" s="122">
        <f>SUM(C17,C18,C19,C20)</f>
        <v/>
      </c>
      <c r="D21" s="122">
        <f>SUM(D17,D18,D19,D20)</f>
        <v/>
      </c>
      <c r="E21" s="17" t="n"/>
      <c r="F21" s="17" t="n"/>
      <c r="G21" s="17" t="n"/>
    </row>
    <row r="22">
      <c r="A22" s="17" t="n"/>
      <c r="B22" s="17" t="n"/>
      <c r="C22" s="120" t="n"/>
      <c r="D22" s="120" t="n"/>
      <c r="E22" s="17" t="n"/>
      <c r="F22" s="17" t="n"/>
      <c r="G22" s="17" t="n"/>
    </row>
    <row r="23">
      <c r="A23" s="17" t="n"/>
      <c r="B23" s="17" t="n"/>
      <c r="C23" s="120" t="n"/>
      <c r="D23" s="120" t="n"/>
      <c r="E23" s="17" t="n"/>
      <c r="F23" s="17" t="n"/>
      <c r="G23" s="17" t="n"/>
    </row>
    <row r="24">
      <c r="A24" s="71" t="inlineStr">
        <is>
          <t>Income and Expenditure Account</t>
        </is>
      </c>
      <c r="B24" s="1" t="n"/>
      <c r="C24" s="1" t="n"/>
      <c r="D24" s="1" t="n"/>
      <c r="E24" s="17" t="n"/>
      <c r="F24" s="17" t="n"/>
      <c r="G24" s="17" t="n"/>
    </row>
    <row r="25">
      <c r="A25" s="14" t="inlineStr">
        <is>
          <t>Particulars</t>
        </is>
      </c>
      <c r="B25" s="14" t="inlineStr">
        <is>
          <t>Note No.</t>
        </is>
      </c>
      <c r="C25" s="123" t="inlineStr">
        <is>
          <t>Current Reporting Period</t>
        </is>
      </c>
      <c r="D25" s="123" t="inlineStr">
        <is>
          <t>Previous Reporting Period</t>
        </is>
      </c>
      <c r="E25" s="17" t="n"/>
      <c r="F25" s="17" t="n"/>
      <c r="G25" s="17" t="n"/>
    </row>
    <row r="26">
      <c r="A26" s="42" t="inlineStr">
        <is>
          <t>INCOME</t>
        </is>
      </c>
      <c r="B26" s="42" t="str"/>
      <c r="C26" s="118" t="n"/>
      <c r="D26" s="118" t="n"/>
      <c r="E26" s="17" t="n"/>
      <c r="F26" s="17" t="n"/>
      <c r="G26" s="17" t="n"/>
    </row>
    <row r="27">
      <c r="A27" s="17" t="inlineStr">
        <is>
          <t>Grants / Donations / Contributions</t>
        </is>
      </c>
      <c r="B27" s="17" t="inlineStr">
        <is>
          <t>11</t>
        </is>
      </c>
      <c r="C27" s="120">
        <f>E70</f>
        <v/>
      </c>
      <c r="D27" s="120">
        <f>F70</f>
        <v/>
      </c>
      <c r="E27" s="17" t="n"/>
      <c r="F27" s="17" t="n"/>
      <c r="G27" s="17" t="n"/>
    </row>
    <row r="28">
      <c r="A28" s="17" t="inlineStr">
        <is>
          <t>Membership / Subscription Income</t>
        </is>
      </c>
      <c r="B28" s="17" t="inlineStr">
        <is>
          <t>12</t>
        </is>
      </c>
      <c r="C28" s="120">
        <f>E72</f>
        <v/>
      </c>
      <c r="D28" s="120">
        <f>F72</f>
        <v/>
      </c>
      <c r="E28" s="17" t="n"/>
      <c r="F28" s="17" t="n"/>
      <c r="G28" s="17" t="n"/>
    </row>
    <row r="29">
      <c r="A29" s="17" t="inlineStr">
        <is>
          <t>Income from Investments</t>
        </is>
      </c>
      <c r="B29" s="17" t="inlineStr">
        <is>
          <t>13</t>
        </is>
      </c>
      <c r="C29" s="120">
        <f>E74</f>
        <v/>
      </c>
      <c r="D29" s="120">
        <f>F74</f>
        <v/>
      </c>
      <c r="E29" s="17" t="n"/>
      <c r="F29" s="17" t="n"/>
      <c r="G29" s="17" t="n"/>
    </row>
    <row r="30">
      <c r="A30" s="17" t="inlineStr">
        <is>
          <t>Other Income</t>
        </is>
      </c>
      <c r="B30" s="17" t="inlineStr">
        <is>
          <t>14</t>
        </is>
      </c>
      <c r="C30" s="120">
        <f>E76</f>
        <v/>
      </c>
      <c r="D30" s="120">
        <f>F76</f>
        <v/>
      </c>
      <c r="E30" s="17" t="n"/>
      <c r="F30" s="17" t="n"/>
      <c r="G30" s="17" t="n"/>
    </row>
    <row r="31">
      <c r="A31" s="65" t="inlineStr">
        <is>
          <t>TOTAL INCOME</t>
        </is>
      </c>
      <c r="B31" s="65" t="str"/>
      <c r="C31" s="122">
        <f>SUM(C27,C28,C29,C30)</f>
        <v/>
      </c>
      <c r="D31" s="122">
        <f>SUM(D27,D28,D29,D30)</f>
        <v/>
      </c>
      <c r="E31" s="17" t="n"/>
      <c r="F31" s="17" t="n"/>
      <c r="G31" s="17" t="n"/>
    </row>
    <row r="32">
      <c r="A32" s="42" t="inlineStr">
        <is>
          <t>EXPENDITURE</t>
        </is>
      </c>
      <c r="B32" s="42" t="str"/>
      <c r="C32" s="118" t="n"/>
      <c r="D32" s="118" t="n"/>
      <c r="E32" s="17" t="n"/>
      <c r="F32" s="17" t="n"/>
      <c r="G32" s="17" t="n"/>
    </row>
    <row r="33">
      <c r="A33" s="17" t="inlineStr">
        <is>
          <t>Programme / Project Expenses</t>
        </is>
      </c>
      <c r="B33" s="17" t="inlineStr">
        <is>
          <t>15</t>
        </is>
      </c>
      <c r="C33" s="120">
        <f>E78</f>
        <v/>
      </c>
      <c r="D33" s="120">
        <f>F78</f>
        <v/>
      </c>
      <c r="E33" s="17" t="n"/>
      <c r="F33" s="17" t="n"/>
      <c r="G33" s="17" t="n"/>
    </row>
    <row r="34">
      <c r="A34" s="17" t="inlineStr">
        <is>
          <t>Employee Costs</t>
        </is>
      </c>
      <c r="B34" s="17" t="inlineStr">
        <is>
          <t>16</t>
        </is>
      </c>
      <c r="C34" s="120">
        <f>E80</f>
        <v/>
      </c>
      <c r="D34" s="120">
        <f>F80</f>
        <v/>
      </c>
      <c r="E34" s="17" t="n"/>
      <c r="F34" s="17" t="n"/>
      <c r="G34" s="17" t="n"/>
    </row>
    <row r="35">
      <c r="A35" s="17" t="inlineStr">
        <is>
          <t>Administrative Expenses</t>
        </is>
      </c>
      <c r="B35" s="17" t="inlineStr">
        <is>
          <t>17</t>
        </is>
      </c>
      <c r="C35" s="120">
        <f>E82</f>
        <v/>
      </c>
      <c r="D35" s="120">
        <f>F82</f>
        <v/>
      </c>
      <c r="E35" s="17" t="n"/>
      <c r="F35" s="17" t="n"/>
      <c r="G35" s="17" t="n"/>
    </row>
    <row r="36">
      <c r="A36" s="17" t="inlineStr">
        <is>
          <t>Finance Costs</t>
        </is>
      </c>
      <c r="B36" s="17" t="inlineStr">
        <is>
          <t>18</t>
        </is>
      </c>
      <c r="C36" s="120">
        <f>E84</f>
        <v/>
      </c>
      <c r="D36" s="120">
        <f>F84</f>
        <v/>
      </c>
      <c r="E36" s="17" t="n"/>
      <c r="F36" s="17" t="n"/>
      <c r="G36" s="17" t="n"/>
    </row>
    <row r="37">
      <c r="A37" s="17" t="inlineStr">
        <is>
          <t>Depreciation / Amortisation</t>
        </is>
      </c>
      <c r="B37" s="17" t="inlineStr">
        <is>
          <t>19</t>
        </is>
      </c>
      <c r="C37" s="120">
        <f>E86</f>
        <v/>
      </c>
      <c r="D37" s="120">
        <f>F86</f>
        <v/>
      </c>
      <c r="E37" s="17" t="n"/>
      <c r="F37" s="17" t="n"/>
      <c r="G37" s="17" t="n"/>
    </row>
    <row r="38">
      <c r="A38" s="17" t="inlineStr">
        <is>
          <t>Other Expenses</t>
        </is>
      </c>
      <c r="B38" s="17" t="inlineStr">
        <is>
          <t>20</t>
        </is>
      </c>
      <c r="C38" s="120">
        <f>E88</f>
        <v/>
      </c>
      <c r="D38" s="120">
        <f>F88</f>
        <v/>
      </c>
      <c r="E38" s="17" t="n"/>
      <c r="F38" s="17" t="n"/>
      <c r="G38" s="17" t="n"/>
    </row>
    <row r="39">
      <c r="A39" s="65" t="inlineStr">
        <is>
          <t>TOTAL EXPENDITURE</t>
        </is>
      </c>
      <c r="B39" s="65" t="str"/>
      <c r="C39" s="122">
        <f>SUM(C33,C34,C35,C36,C37,C38)</f>
        <v/>
      </c>
      <c r="D39" s="122">
        <f>SUM(D33,D34,D35,D36,D37,D38)</f>
        <v/>
      </c>
      <c r="E39" s="17" t="n"/>
      <c r="F39" s="17" t="n"/>
      <c r="G39" s="17" t="n"/>
    </row>
    <row r="40">
      <c r="A40" s="65" t="inlineStr">
        <is>
          <t>Surplus / (Deficit) for the Year</t>
        </is>
      </c>
      <c r="B40" s="65" t="str"/>
      <c r="C40" s="122">
        <f>C31-C39</f>
        <v/>
      </c>
      <c r="D40" s="122">
        <f>D31-D39</f>
        <v/>
      </c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 ht="26" customHeight="1" s="82">
      <c r="A43" s="79" t="inlineStr">
        <is>
          <t>Notes / Schedules — linked source for face statements</t>
        </is>
      </c>
      <c r="B43" s="1" t="n"/>
      <c r="C43" s="1" t="n"/>
      <c r="D43" s="1" t="n"/>
      <c r="E43" s="1" t="n"/>
      <c r="F43" s="1" t="n"/>
      <c r="G43" s="1" t="n"/>
    </row>
    <row r="44">
      <c r="A44" s="14" t="inlineStr">
        <is>
          <t>Note</t>
        </is>
      </c>
      <c r="B44" s="14" t="inlineStr">
        <is>
          <t>Note Title</t>
        </is>
      </c>
      <c r="C44" s="14" t="inlineStr">
        <is>
          <t>Statutory Line Item</t>
        </is>
      </c>
      <c r="D44" s="14" t="inlineStr">
        <is>
          <t>AAH Mapping Key</t>
        </is>
      </c>
      <c r="E44" s="14" t="inlineStr">
        <is>
          <t>Current Period</t>
        </is>
      </c>
      <c r="F44" s="14" t="inlineStr">
        <is>
          <t>Previous Period</t>
        </is>
      </c>
      <c r="G44" s="14" t="inlineStr">
        <is>
          <t>Disclosure / Remarks</t>
        </is>
      </c>
    </row>
    <row r="45">
      <c r="A45" s="17" t="inlineStr">
        <is>
          <t>1</t>
        </is>
      </c>
      <c r="B45" s="17" t="inlineStr">
        <is>
          <t>Corpus / Capital Fund</t>
        </is>
      </c>
      <c r="C45" s="17" t="inlineStr">
        <is>
          <t>Corpus fund</t>
        </is>
      </c>
      <c r="D45" s="17" t="inlineStr">
        <is>
          <t>FUND_CORPUS</t>
        </is>
      </c>
      <c r="E45" s="121" t="n">
        <v>0</v>
      </c>
      <c r="F45" s="121" t="n">
        <v>0</v>
      </c>
      <c r="G45" s="59" t="str"/>
    </row>
    <row r="46">
      <c r="A46" s="65" t="inlineStr">
        <is>
          <t>1</t>
        </is>
      </c>
      <c r="B46" s="65" t="inlineStr">
        <is>
          <t>Corpus / Capital Fund</t>
        </is>
      </c>
      <c r="C46" s="65" t="inlineStr">
        <is>
          <t>Total — Corpus / Capital Fund</t>
        </is>
      </c>
      <c r="D46" s="65" t="inlineStr">
        <is>
          <t>__TOTAL__</t>
        </is>
      </c>
      <c r="E46" s="122">
        <f>SUM(E45:E45)</f>
        <v/>
      </c>
      <c r="F46" s="122">
        <f>SUM(F45:F45)</f>
        <v/>
      </c>
      <c r="G46" s="65" t="str"/>
    </row>
    <row r="47">
      <c r="A47" s="17" t="inlineStr">
        <is>
          <t>2</t>
        </is>
      </c>
      <c r="B47" s="17" t="inlineStr">
        <is>
          <t>Restricted / Earmarked Funds</t>
        </is>
      </c>
      <c r="C47" s="17" t="inlineStr">
        <is>
          <t>Restricted / earmarked funds</t>
        </is>
      </c>
      <c r="D47" s="17" t="inlineStr">
        <is>
          <t>FUND_RESTRICT</t>
        </is>
      </c>
      <c r="E47" s="121" t="n">
        <v>0</v>
      </c>
      <c r="F47" s="121" t="n">
        <v>0</v>
      </c>
      <c r="G47" s="59" t="str"/>
    </row>
    <row r="48">
      <c r="A48" s="65" t="inlineStr">
        <is>
          <t>2</t>
        </is>
      </c>
      <c r="B48" s="65" t="inlineStr">
        <is>
          <t>Restricted / Earmarked Funds</t>
        </is>
      </c>
      <c r="C48" s="65" t="inlineStr">
        <is>
          <t>Total — Restricted / Earmarked Funds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3</t>
        </is>
      </c>
      <c r="B49" s="17" t="inlineStr">
        <is>
          <t>Unrestricted / General Fund</t>
        </is>
      </c>
      <c r="C49" s="17" t="inlineStr">
        <is>
          <t>General fund</t>
        </is>
      </c>
      <c r="D49" s="17" t="inlineStr">
        <is>
          <t>FUND_GENERAL</t>
        </is>
      </c>
      <c r="E49" s="121" t="n">
        <v>0</v>
      </c>
      <c r="F49" s="121" t="n">
        <v>0</v>
      </c>
      <c r="G49" s="59" t="str"/>
    </row>
    <row r="50">
      <c r="A50" s="65" t="inlineStr">
        <is>
          <t>3</t>
        </is>
      </c>
      <c r="B50" s="65" t="inlineStr">
        <is>
          <t>Unrestricted / General Fund</t>
        </is>
      </c>
      <c r="C50" s="65" t="inlineStr">
        <is>
          <t>Total — Unrestricted / General Fund</t>
        </is>
      </c>
      <c r="D50" s="65" t="inlineStr">
        <is>
          <t>__TOTAL__</t>
        </is>
      </c>
      <c r="E50" s="122">
        <f>SUM(E49:E49)</f>
        <v/>
      </c>
      <c r="F50" s="122">
        <f>SUM(F49:F49)</f>
        <v/>
      </c>
      <c r="G50" s="65" t="str"/>
    </row>
    <row r="51">
      <c r="A51" s="17" t="inlineStr">
        <is>
          <t>4</t>
        </is>
      </c>
      <c r="B51" s="17" t="inlineStr">
        <is>
          <t>Loans</t>
        </is>
      </c>
      <c r="C51" s="17" t="inlineStr">
        <is>
          <t>Secured loans</t>
        </is>
      </c>
      <c r="D51" s="17" t="inlineStr">
        <is>
          <t>LOAN_SEC</t>
        </is>
      </c>
      <c r="E51" s="121" t="n">
        <v>0</v>
      </c>
      <c r="F51" s="121" t="n">
        <v>0</v>
      </c>
      <c r="G51" s="59" t="str"/>
    </row>
    <row r="52">
      <c r="A52" s="17" t="inlineStr">
        <is>
          <t>4</t>
        </is>
      </c>
      <c r="B52" s="17" t="inlineStr">
        <is>
          <t>Loans</t>
        </is>
      </c>
      <c r="C52" s="17" t="inlineStr">
        <is>
          <t>Unsecured loans</t>
        </is>
      </c>
      <c r="D52" s="17" t="inlineStr">
        <is>
          <t>LOAN_UNSEC</t>
        </is>
      </c>
      <c r="E52" s="121" t="n">
        <v>0</v>
      </c>
      <c r="F52" s="121" t="n">
        <v>0</v>
      </c>
      <c r="G52" s="59" t="str"/>
    </row>
    <row r="53">
      <c r="A53" s="65" t="inlineStr">
        <is>
          <t>4</t>
        </is>
      </c>
      <c r="B53" s="65" t="inlineStr">
        <is>
          <t>Loans</t>
        </is>
      </c>
      <c r="C53" s="65" t="inlineStr">
        <is>
          <t>Total — Loans</t>
        </is>
      </c>
      <c r="D53" s="65" t="inlineStr">
        <is>
          <t>__TOTAL__</t>
        </is>
      </c>
      <c r="E53" s="122">
        <f>SUM(E51:E52)</f>
        <v/>
      </c>
      <c r="F53" s="122">
        <f>SUM(F51:F52)</f>
        <v/>
      </c>
      <c r="G53" s="65" t="str"/>
    </row>
    <row r="54">
      <c r="A54" s="17" t="inlineStr">
        <is>
          <t>5</t>
        </is>
      </c>
      <c r="B54" s="17" t="inlineStr">
        <is>
          <t>Deferred Credit Liabilities</t>
        </is>
      </c>
      <c r="C54" s="17" t="inlineStr">
        <is>
          <t>Deferred credit liabilities</t>
        </is>
      </c>
      <c r="D54" s="17" t="inlineStr">
        <is>
          <t>DCL</t>
        </is>
      </c>
      <c r="E54" s="121" t="n">
        <v>0</v>
      </c>
      <c r="F54" s="121" t="n">
        <v>0</v>
      </c>
      <c r="G54" s="59" t="str"/>
    </row>
    <row r="55">
      <c r="A55" s="65" t="inlineStr">
        <is>
          <t>5</t>
        </is>
      </c>
      <c r="B55" s="65" t="inlineStr">
        <is>
          <t>Deferred Credit Liabilities</t>
        </is>
      </c>
      <c r="C55" s="65" t="inlineStr">
        <is>
          <t>Total — Deferred Credit Liabilities</t>
        </is>
      </c>
      <c r="D55" s="65" t="inlineStr">
        <is>
          <t>__TOTAL__</t>
        </is>
      </c>
      <c r="E55" s="122">
        <f>SUM(E54:E54)</f>
        <v/>
      </c>
      <c r="F55" s="122">
        <f>SUM(F54:F54)</f>
        <v/>
      </c>
      <c r="G55" s="65" t="str"/>
    </row>
    <row r="56">
      <c r="A56" s="17" t="inlineStr">
        <is>
          <t>6</t>
        </is>
      </c>
      <c r="B56" s="17" t="inlineStr">
        <is>
          <t>Current Liabilities and Provisions</t>
        </is>
      </c>
      <c r="C56" s="17" t="inlineStr">
        <is>
          <t>Current liabilities</t>
        </is>
      </c>
      <c r="D56" s="17" t="inlineStr">
        <is>
          <t>CL</t>
        </is>
      </c>
      <c r="E56" s="121" t="n">
        <v>0</v>
      </c>
      <c r="F56" s="121" t="n">
        <v>0</v>
      </c>
      <c r="G56" s="59" t="str"/>
    </row>
    <row r="57">
      <c r="A57" s="17" t="inlineStr">
        <is>
          <t>6</t>
        </is>
      </c>
      <c r="B57" s="17" t="inlineStr">
        <is>
          <t>Current Liabilities and Provisions</t>
        </is>
      </c>
      <c r="C57" s="17" t="inlineStr">
        <is>
          <t>Provisions</t>
        </is>
      </c>
      <c r="D57" s="17" t="inlineStr">
        <is>
          <t>PROV</t>
        </is>
      </c>
      <c r="E57" s="121" t="n">
        <v>0</v>
      </c>
      <c r="F57" s="121" t="n">
        <v>0</v>
      </c>
      <c r="G57" s="59" t="str"/>
    </row>
    <row r="58">
      <c r="A58" s="65" t="inlineStr">
        <is>
          <t>6</t>
        </is>
      </c>
      <c r="B58" s="65" t="inlineStr">
        <is>
          <t>Current Liabilities and Provisions</t>
        </is>
      </c>
      <c r="C58" s="65" t="inlineStr">
        <is>
          <t>Total — Current Liabilities and Provisions</t>
        </is>
      </c>
      <c r="D58" s="65" t="inlineStr">
        <is>
          <t>__TOTAL__</t>
        </is>
      </c>
      <c r="E58" s="122">
        <f>SUM(E56:E57)</f>
        <v/>
      </c>
      <c r="F58" s="122">
        <f>SUM(F56:F57)</f>
        <v/>
      </c>
      <c r="G58" s="65" t="str"/>
    </row>
    <row r="59">
      <c r="A59" s="17" t="inlineStr">
        <is>
          <t>7</t>
        </is>
      </c>
      <c r="B59" s="17" t="inlineStr">
        <is>
          <t>Fixed Assets / PPE</t>
        </is>
      </c>
      <c r="C59" s="17" t="inlineStr">
        <is>
          <t>Fixed assets / PPE</t>
        </is>
      </c>
      <c r="D59" s="17" t="inlineStr">
        <is>
          <t>PPE</t>
        </is>
      </c>
      <c r="E59" s="121" t="n">
        <v>0</v>
      </c>
      <c r="F59" s="121" t="n">
        <v>0</v>
      </c>
      <c r="G59" s="59" t="str"/>
    </row>
    <row r="60">
      <c r="A60" s="65" t="inlineStr">
        <is>
          <t>7</t>
        </is>
      </c>
      <c r="B60" s="65" t="inlineStr">
        <is>
          <t>Fixed Assets / PPE</t>
        </is>
      </c>
      <c r="C60" s="65" t="inlineStr">
        <is>
          <t>Total — Fixed Assets / PPE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8</t>
        </is>
      </c>
      <c r="B61" s="17" t="inlineStr">
        <is>
          <t>Investments - Earmarked / Endowment Funds</t>
        </is>
      </c>
      <c r="C61" s="17" t="inlineStr">
        <is>
          <t>Earmarked / endowment investments</t>
        </is>
      </c>
      <c r="D61" s="17" t="inlineStr">
        <is>
          <t>INV_EARMARK</t>
        </is>
      </c>
      <c r="E61" s="121" t="n">
        <v>0</v>
      </c>
      <c r="F61" s="121" t="n">
        <v>0</v>
      </c>
      <c r="G61" s="59" t="str"/>
    </row>
    <row r="62">
      <c r="A62" s="65" t="inlineStr">
        <is>
          <t>8</t>
        </is>
      </c>
      <c r="B62" s="65" t="inlineStr">
        <is>
          <t>Investments - Earmarked / Endowment Funds</t>
        </is>
      </c>
      <c r="C62" s="65" t="inlineStr">
        <is>
          <t>Total — Investments - Earmarked / Endowment Funds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9</t>
        </is>
      </c>
      <c r="B63" s="17" t="inlineStr">
        <is>
          <t>Other Investments</t>
        </is>
      </c>
      <c r="C63" s="17" t="inlineStr">
        <is>
          <t>Other investments</t>
        </is>
      </c>
      <c r="D63" s="17" t="inlineStr">
        <is>
          <t>INV_OTHER</t>
        </is>
      </c>
      <c r="E63" s="121" t="n">
        <v>0</v>
      </c>
      <c r="F63" s="121" t="n">
        <v>0</v>
      </c>
      <c r="G63" s="59" t="str"/>
    </row>
    <row r="64">
      <c r="A64" s="65" t="inlineStr">
        <is>
          <t>9</t>
        </is>
      </c>
      <c r="B64" s="65" t="inlineStr">
        <is>
          <t>Other Investments</t>
        </is>
      </c>
      <c r="C64" s="65" t="inlineStr">
        <is>
          <t>Total — Other Investments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10</t>
        </is>
      </c>
      <c r="B65" s="17" t="inlineStr">
        <is>
          <t>Current Assets, Loans and Advances</t>
        </is>
      </c>
      <c r="C65" s="17" t="inlineStr">
        <is>
          <t>Current assets</t>
        </is>
      </c>
      <c r="D65" s="17" t="inlineStr">
        <is>
          <t>CA</t>
        </is>
      </c>
      <c r="E65" s="121" t="n">
        <v>0</v>
      </c>
      <c r="F65" s="121" t="n">
        <v>0</v>
      </c>
      <c r="G65" s="59" t="str"/>
    </row>
    <row r="66">
      <c r="A66" s="17" t="inlineStr">
        <is>
          <t>10</t>
        </is>
      </c>
      <c r="B66" s="17" t="inlineStr">
        <is>
          <t>Current Assets, Loans and Advances</t>
        </is>
      </c>
      <c r="C66" s="17" t="inlineStr">
        <is>
          <t>Loans and advances</t>
        </is>
      </c>
      <c r="D66" s="17" t="inlineStr">
        <is>
          <t>LA</t>
        </is>
      </c>
      <c r="E66" s="121" t="n">
        <v>0</v>
      </c>
      <c r="F66" s="121" t="n">
        <v>0</v>
      </c>
      <c r="G66" s="59" t="str"/>
    </row>
    <row r="67">
      <c r="A67" s="65" t="inlineStr">
        <is>
          <t>10</t>
        </is>
      </c>
      <c r="B67" s="65" t="inlineStr">
        <is>
          <t>Current Assets, Loans and Advances</t>
        </is>
      </c>
      <c r="C67" s="65" t="inlineStr">
        <is>
          <t>Total — Current Assets, Loans and Advances</t>
        </is>
      </c>
      <c r="D67" s="65" t="inlineStr">
        <is>
          <t>__TOTAL__</t>
        </is>
      </c>
      <c r="E67" s="122">
        <f>SUM(E65:E66)</f>
        <v/>
      </c>
      <c r="F67" s="122">
        <f>SUM(F65:F66)</f>
        <v/>
      </c>
      <c r="G67" s="65" t="str"/>
    </row>
    <row r="68">
      <c r="A68" s="17" t="inlineStr">
        <is>
          <t>11</t>
        </is>
      </c>
      <c r="B68" s="17" t="inlineStr">
        <is>
          <t>Grants / Donations / Contributions</t>
        </is>
      </c>
      <c r="C68" s="17" t="inlineStr">
        <is>
          <t>Grants</t>
        </is>
      </c>
      <c r="D68" s="17" t="inlineStr">
        <is>
          <t>INC_GRANT</t>
        </is>
      </c>
      <c r="E68" s="121" t="n">
        <v>0</v>
      </c>
      <c r="F68" s="121" t="n">
        <v>0</v>
      </c>
      <c r="G68" s="59" t="str"/>
    </row>
    <row r="69">
      <c r="A69" s="17" t="inlineStr">
        <is>
          <t>11</t>
        </is>
      </c>
      <c r="B69" s="17" t="inlineStr">
        <is>
          <t>Grants / Donations / Contributions</t>
        </is>
      </c>
      <c r="C69" s="17" t="inlineStr">
        <is>
          <t>Donations / contributions</t>
        </is>
      </c>
      <c r="D69" s="17" t="inlineStr">
        <is>
          <t>INC_DON</t>
        </is>
      </c>
      <c r="E69" s="121" t="n">
        <v>0</v>
      </c>
      <c r="F69" s="121" t="n">
        <v>0</v>
      </c>
      <c r="G69" s="59" t="str"/>
    </row>
    <row r="70">
      <c r="A70" s="65" t="inlineStr">
        <is>
          <t>11</t>
        </is>
      </c>
      <c r="B70" s="65" t="inlineStr">
        <is>
          <t>Grants / Donations / Contributions</t>
        </is>
      </c>
      <c r="C70" s="65" t="inlineStr">
        <is>
          <t>Total — Grants / Donations / Contributions</t>
        </is>
      </c>
      <c r="D70" s="65" t="inlineStr">
        <is>
          <t>__TOTAL__</t>
        </is>
      </c>
      <c r="E70" s="122">
        <f>SUM(E68:E69)</f>
        <v/>
      </c>
      <c r="F70" s="122">
        <f>SUM(F68:F69)</f>
        <v/>
      </c>
      <c r="G70" s="65" t="str"/>
    </row>
    <row r="71">
      <c r="A71" s="17" t="inlineStr">
        <is>
          <t>12</t>
        </is>
      </c>
      <c r="B71" s="17" t="inlineStr">
        <is>
          <t>Membership / Subscription Income</t>
        </is>
      </c>
      <c r="C71" s="17" t="inlineStr">
        <is>
          <t>Membership / subscription</t>
        </is>
      </c>
      <c r="D71" s="17" t="inlineStr">
        <is>
          <t>INC_SUB</t>
        </is>
      </c>
      <c r="E71" s="121" t="n">
        <v>0</v>
      </c>
      <c r="F71" s="121" t="n">
        <v>0</v>
      </c>
      <c r="G71" s="59" t="str"/>
    </row>
    <row r="72">
      <c r="A72" s="65" t="inlineStr">
        <is>
          <t>12</t>
        </is>
      </c>
      <c r="B72" s="65" t="inlineStr">
        <is>
          <t>Membership / Subscription Income</t>
        </is>
      </c>
      <c r="C72" s="65" t="inlineStr">
        <is>
          <t>Total — Membership / Subscription Income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13</t>
        </is>
      </c>
      <c r="B73" s="17" t="inlineStr">
        <is>
          <t>Income from Investments</t>
        </is>
      </c>
      <c r="C73" s="17" t="inlineStr">
        <is>
          <t>Investment income</t>
        </is>
      </c>
      <c r="D73" s="17" t="inlineStr">
        <is>
          <t>INC_INV</t>
        </is>
      </c>
      <c r="E73" s="121" t="n">
        <v>0</v>
      </c>
      <c r="F73" s="121" t="n">
        <v>0</v>
      </c>
      <c r="G73" s="59" t="str"/>
    </row>
    <row r="74">
      <c r="A74" s="65" t="inlineStr">
        <is>
          <t>13</t>
        </is>
      </c>
      <c r="B74" s="65" t="inlineStr">
        <is>
          <t>Income from Investments</t>
        </is>
      </c>
      <c r="C74" s="65" t="inlineStr">
        <is>
          <t>Total — Income from Investments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inlineStr">
        <is>
          <t>14</t>
        </is>
      </c>
      <c r="B75" s="17" t="inlineStr">
        <is>
          <t>Other Income</t>
        </is>
      </c>
      <c r="C75" s="17" t="inlineStr">
        <is>
          <t>Other income</t>
        </is>
      </c>
      <c r="D75" s="17" t="inlineStr">
        <is>
          <t>INC_OTHER</t>
        </is>
      </c>
      <c r="E75" s="121" t="n">
        <v>0</v>
      </c>
      <c r="F75" s="121" t="n">
        <v>0</v>
      </c>
      <c r="G75" s="59" t="str"/>
    </row>
    <row r="76">
      <c r="A76" s="65" t="inlineStr">
        <is>
          <t>14</t>
        </is>
      </c>
      <c r="B76" s="65" t="inlineStr">
        <is>
          <t>Other Income</t>
        </is>
      </c>
      <c r="C76" s="65" t="inlineStr">
        <is>
          <t>Total — Other Income</t>
        </is>
      </c>
      <c r="D76" s="65" t="inlineStr">
        <is>
          <t>__TOTAL__</t>
        </is>
      </c>
      <c r="E76" s="122">
        <f>SUM(E75:E75)</f>
        <v/>
      </c>
      <c r="F76" s="122">
        <f>SUM(F75:F75)</f>
        <v/>
      </c>
      <c r="G76" s="65" t="str"/>
    </row>
    <row r="77">
      <c r="A77" s="17" t="inlineStr">
        <is>
          <t>15</t>
        </is>
      </c>
      <c r="B77" s="17" t="inlineStr">
        <is>
          <t>Programme / Project Expenses</t>
        </is>
      </c>
      <c r="C77" s="17" t="inlineStr">
        <is>
          <t>Programme / project expenses</t>
        </is>
      </c>
      <c r="D77" s="17" t="inlineStr">
        <is>
          <t>EXP_PROG</t>
        </is>
      </c>
      <c r="E77" s="121" t="n">
        <v>0</v>
      </c>
      <c r="F77" s="121" t="n">
        <v>0</v>
      </c>
      <c r="G77" s="59" t="str"/>
    </row>
    <row r="78">
      <c r="A78" s="65" t="inlineStr">
        <is>
          <t>15</t>
        </is>
      </c>
      <c r="B78" s="65" t="inlineStr">
        <is>
          <t>Programme / Project Expenses</t>
        </is>
      </c>
      <c r="C78" s="65" t="inlineStr">
        <is>
          <t>Total — Programme / Project Expenses</t>
        </is>
      </c>
      <c r="D78" s="65" t="inlineStr">
        <is>
          <t>__TOTAL__</t>
        </is>
      </c>
      <c r="E78" s="122">
        <f>SUM(E77:E77)</f>
        <v/>
      </c>
      <c r="F78" s="122">
        <f>SUM(F77:F77)</f>
        <v/>
      </c>
      <c r="G78" s="65" t="str"/>
    </row>
    <row r="79">
      <c r="A79" s="17" t="inlineStr">
        <is>
          <t>16</t>
        </is>
      </c>
      <c r="B79" s="17" t="inlineStr">
        <is>
          <t>Employee Costs</t>
        </is>
      </c>
      <c r="C79" s="17" t="inlineStr">
        <is>
          <t>Employee costs</t>
        </is>
      </c>
      <c r="D79" s="17" t="inlineStr">
        <is>
          <t>EXP_EMP</t>
        </is>
      </c>
      <c r="E79" s="121" t="n">
        <v>0</v>
      </c>
      <c r="F79" s="121" t="n">
        <v>0</v>
      </c>
      <c r="G79" s="59" t="str"/>
    </row>
    <row r="80">
      <c r="A80" s="65" t="inlineStr">
        <is>
          <t>16</t>
        </is>
      </c>
      <c r="B80" s="65" t="inlineStr">
        <is>
          <t>Employee Costs</t>
        </is>
      </c>
      <c r="C80" s="65" t="inlineStr">
        <is>
          <t>Total — Employee Costs</t>
        </is>
      </c>
      <c r="D80" s="65" t="inlineStr">
        <is>
          <t>__TOTAL__</t>
        </is>
      </c>
      <c r="E80" s="122">
        <f>SUM(E79:E79)</f>
        <v/>
      </c>
      <c r="F80" s="122">
        <f>SUM(F79:F79)</f>
        <v/>
      </c>
      <c r="G80" s="65" t="str"/>
    </row>
    <row r="81">
      <c r="A81" s="17" t="inlineStr">
        <is>
          <t>17</t>
        </is>
      </c>
      <c r="B81" s="17" t="inlineStr">
        <is>
          <t>Administrative Expenses</t>
        </is>
      </c>
      <c r="C81" s="17" t="inlineStr">
        <is>
          <t>Administrative expenses</t>
        </is>
      </c>
      <c r="D81" s="17" t="inlineStr">
        <is>
          <t>EXP_ADMIN</t>
        </is>
      </c>
      <c r="E81" s="121" t="n">
        <v>0</v>
      </c>
      <c r="F81" s="121" t="n">
        <v>0</v>
      </c>
      <c r="G81" s="59" t="str"/>
    </row>
    <row r="82">
      <c r="A82" s="65" t="inlineStr">
        <is>
          <t>17</t>
        </is>
      </c>
      <c r="B82" s="65" t="inlineStr">
        <is>
          <t>Administrative Expenses</t>
        </is>
      </c>
      <c r="C82" s="65" t="inlineStr">
        <is>
          <t>Total — Administrative Expenses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inlineStr">
        <is>
          <t>18</t>
        </is>
      </c>
      <c r="B83" s="17" t="inlineStr">
        <is>
          <t>Finance Costs</t>
        </is>
      </c>
      <c r="C83" s="17" t="inlineStr">
        <is>
          <t>Finance costs</t>
        </is>
      </c>
      <c r="D83" s="17" t="inlineStr">
        <is>
          <t>EXP_FIN</t>
        </is>
      </c>
      <c r="E83" s="121" t="n">
        <v>0</v>
      </c>
      <c r="F83" s="121" t="n">
        <v>0</v>
      </c>
      <c r="G83" s="59" t="str"/>
    </row>
    <row r="84">
      <c r="A84" s="65" t="inlineStr">
        <is>
          <t>18</t>
        </is>
      </c>
      <c r="B84" s="65" t="inlineStr">
        <is>
          <t>Finance Costs</t>
        </is>
      </c>
      <c r="C84" s="65" t="inlineStr">
        <is>
          <t>Total — Finance Costs</t>
        </is>
      </c>
      <c r="D84" s="65" t="inlineStr">
        <is>
          <t>__TOTAL__</t>
        </is>
      </c>
      <c r="E84" s="122">
        <f>SUM(E83:E83)</f>
        <v/>
      </c>
      <c r="F84" s="122">
        <f>SUM(F83:F83)</f>
        <v/>
      </c>
      <c r="G84" s="65" t="str"/>
    </row>
    <row r="85">
      <c r="A85" s="17" t="inlineStr">
        <is>
          <t>19</t>
        </is>
      </c>
      <c r="B85" s="17" t="inlineStr">
        <is>
          <t>Depreciation / Amortisation</t>
        </is>
      </c>
      <c r="C85" s="17" t="inlineStr">
        <is>
          <t>Depreciation / amortisation</t>
        </is>
      </c>
      <c r="D85" s="17" t="inlineStr">
        <is>
          <t>EXP_DEPAM</t>
        </is>
      </c>
      <c r="E85" s="121" t="n">
        <v>0</v>
      </c>
      <c r="F85" s="121" t="n">
        <v>0</v>
      </c>
      <c r="G85" s="59" t="str"/>
    </row>
    <row r="86">
      <c r="A86" s="65" t="inlineStr">
        <is>
          <t>19</t>
        </is>
      </c>
      <c r="B86" s="65" t="inlineStr">
        <is>
          <t>Depreciation / Amortisation</t>
        </is>
      </c>
      <c r="C86" s="65" t="inlineStr">
        <is>
          <t>Total — Depreciation / Amortisation</t>
        </is>
      </c>
      <c r="D86" s="65" t="inlineStr">
        <is>
          <t>__TOTAL__</t>
        </is>
      </c>
      <c r="E86" s="122">
        <f>SUM(E85:E85)</f>
        <v/>
      </c>
      <c r="F86" s="122">
        <f>SUM(F85:F85)</f>
        <v/>
      </c>
      <c r="G86" s="65" t="str"/>
    </row>
    <row r="87">
      <c r="A87" s="17" t="inlineStr">
        <is>
          <t>20</t>
        </is>
      </c>
      <c r="B87" s="17" t="inlineStr">
        <is>
          <t>Other Expenses</t>
        </is>
      </c>
      <c r="C87" s="17" t="inlineStr">
        <is>
          <t>Other expenses</t>
        </is>
      </c>
      <c r="D87" s="17" t="inlineStr">
        <is>
          <t>EXP_OTHER</t>
        </is>
      </c>
      <c r="E87" s="121" t="n">
        <v>0</v>
      </c>
      <c r="F87" s="121" t="n">
        <v>0</v>
      </c>
      <c r="G87" s="59" t="str"/>
    </row>
    <row r="88">
      <c r="A88" s="65" t="inlineStr">
        <is>
          <t>20</t>
        </is>
      </c>
      <c r="B88" s="65" t="inlineStr">
        <is>
          <t>Other Expenses</t>
        </is>
      </c>
      <c r="C88" s="65" t="inlineStr">
        <is>
          <t>Total — Other Expenses</t>
        </is>
      </c>
      <c r="D88" s="65" t="inlineStr">
        <is>
          <t>__TOTAL__</t>
        </is>
      </c>
      <c r="E88" s="122">
        <f>SUM(E87:E87)</f>
        <v/>
      </c>
      <c r="F88" s="122">
        <f>SUM(F87:F87)</f>
        <v/>
      </c>
      <c r="G88" s="65" t="str"/>
    </row>
    <row r="89">
      <c r="A89" s="17" t="n"/>
      <c r="B89" s="17" t="n"/>
      <c r="C89" s="17" t="n"/>
      <c r="D89" s="17" t="n"/>
      <c r="E89" s="17" t="n"/>
      <c r="F89" s="17" t="n"/>
      <c r="G89" s="17" t="n"/>
    </row>
    <row r="90">
      <c r="A90" s="17" t="n"/>
      <c r="B90" s="17" t="n"/>
      <c r="C90" s="17" t="n"/>
      <c r="D90" s="17" t="n"/>
      <c r="E90" s="17" t="n"/>
      <c r="F90" s="17" t="n"/>
      <c r="G90" s="17" t="n"/>
    </row>
    <row r="91" ht="26" customHeight="1" s="82">
      <c r="A91" s="79" t="inlineStr">
        <is>
          <t>Validation</t>
        </is>
      </c>
      <c r="B91" s="1" t="n"/>
      <c r="C91" s="1" t="n"/>
      <c r="D91" s="1" t="n"/>
      <c r="E91" s="17" t="n"/>
      <c r="F91" s="17" t="n"/>
      <c r="G91" s="17" t="n"/>
    </row>
    <row r="92">
      <c r="A92" s="14" t="inlineStr">
        <is>
          <t>Check</t>
        </is>
      </c>
      <c r="B92" s="14" t="inlineStr">
        <is>
          <t>Current Period</t>
        </is>
      </c>
      <c r="C92" s="14" t="inlineStr">
        <is>
          <t>Previous Period</t>
        </is>
      </c>
      <c r="D92" s="14" t="inlineStr">
        <is>
          <t>Result</t>
        </is>
      </c>
      <c r="E92" s="17" t="n"/>
      <c r="F92" s="17" t="n"/>
      <c r="G92" s="17" t="n"/>
    </row>
    <row r="93">
      <c r="A93" s="17" t="inlineStr">
        <is>
          <t>Balance Sheet difference</t>
        </is>
      </c>
      <c r="B93" s="17">
        <f>C21-C15</f>
        <v/>
      </c>
      <c r="C93" s="17">
        <f>D21-D15</f>
        <v/>
      </c>
      <c r="D93" s="17">
        <f>IF(AND(ABS(B93)&lt;1,ABS(C93)&lt;1),"PASS","CHECK")</f>
        <v/>
      </c>
      <c r="E93" s="17" t="n"/>
      <c r="F93" s="17" t="n"/>
      <c r="G93" s="17" t="n"/>
    </row>
    <row r="94">
      <c r="A94" s="17" t="inlineStr">
        <is>
          <t>Notes / disclosures</t>
        </is>
      </c>
      <c r="B94" s="17" t="inlineStr">
        <is>
          <t>Review</t>
        </is>
      </c>
      <c r="C94" s="17" t="inlineStr">
        <is>
          <t>Review</t>
        </is>
      </c>
      <c r="D94" s="17" t="inlineStr">
        <is>
          <t>Review</t>
        </is>
      </c>
      <c r="E94" s="17" t="n"/>
      <c r="F94" s="17" t="n"/>
      <c r="G94" s="17" t="n"/>
    </row>
    <row r="95">
      <c r="A95" s="17" t="inlineStr">
        <is>
          <t>Profile readiness</t>
        </is>
      </c>
      <c r="B95" s="17" t="str"/>
      <c r="C95" s="17" t="str"/>
      <c r="D95" s="17">
        <f>IF(D93="PASS","READY FOR REVIEW","NOT READY")</f>
        <v/>
      </c>
      <c r="E95" s="17" t="n"/>
      <c r="F95" s="17" t="n"/>
      <c r="G95" s="17" t="n"/>
    </row>
    <row r="96"/>
    <row r="97"/>
    <row r="98"/>
    <row r="99">
      <c r="A99" s="101" t="inlineStr">
        <is>
          <t>Signatures / Certification</t>
        </is>
      </c>
      <c r="B99" s="101" t="str"/>
      <c r="C99" s="101" t="str"/>
      <c r="D99" s="101" t="str"/>
      <c r="E99" s="101" t="str"/>
      <c r="F99" s="101" t="str"/>
    </row>
    <row r="100">
      <c r="A100" s="112" t="inlineStr">
        <is>
          <t>Entity Signatory</t>
        </is>
      </c>
      <c r="B100" s="104">
        <f>'AAH Basic Info'!B13</f>
        <v/>
      </c>
      <c r="C100" s="115" t="inlineStr">
        <is>
          <t>Designation</t>
        </is>
      </c>
      <c r="D100" s="104">
        <f>'AAH Basic Info'!B14</f>
        <v/>
      </c>
      <c r="E100" s="115" t="inlineStr">
        <is>
          <t>DIN</t>
        </is>
      </c>
      <c r="F100" s="105">
        <f>'AAH Basic Info'!B15</f>
        <v/>
      </c>
    </row>
    <row r="101">
      <c r="A101" s="113" t="inlineStr">
        <is>
          <t>Signing Date</t>
        </is>
      </c>
      <c r="B101" s="107">
        <f>'AAH Basic Info'!B16</f>
        <v/>
      </c>
      <c r="C101" s="116" t="inlineStr">
        <is>
          <t>Place</t>
        </is>
      </c>
      <c r="D101" s="107">
        <f>'AAH Basic Info'!B17</f>
        <v/>
      </c>
      <c r="E101" s="116" t="str"/>
      <c r="F101" s="108" t="str"/>
    </row>
    <row r="102">
      <c r="A102" s="113" t="inlineStr">
        <is>
          <t>Audit Firm</t>
        </is>
      </c>
      <c r="B102" s="107">
        <f>'AAH Basic Info'!B18</f>
        <v/>
      </c>
      <c r="C102" s="116" t="inlineStr">
        <is>
          <t>FRN</t>
        </is>
      </c>
      <c r="D102" s="107">
        <f>'AAH Basic Info'!B19</f>
        <v/>
      </c>
      <c r="E102" s="116" t="str"/>
      <c r="F102" s="108" t="str"/>
    </row>
    <row r="103">
      <c r="A103" s="113" t="inlineStr">
        <is>
          <t>Signing CA</t>
        </is>
      </c>
      <c r="B103" s="107">
        <f>'AAH Basic Info'!B20</f>
        <v/>
      </c>
      <c r="C103" s="116" t="inlineStr">
        <is>
          <t>Designation</t>
        </is>
      </c>
      <c r="D103" s="107">
        <f>'AAH Basic Info'!B21</f>
        <v/>
      </c>
      <c r="E103" s="116" t="inlineStr">
        <is>
          <t>Membership No.</t>
        </is>
      </c>
      <c r="F103" s="108">
        <f>'AAH Basic Info'!B22</f>
        <v/>
      </c>
    </row>
    <row r="104">
      <c r="A104" s="114" t="inlineStr">
        <is>
          <t>Audit Place</t>
        </is>
      </c>
      <c r="B104" s="110">
        <f>'AAH Basic Info'!B23</f>
        <v/>
      </c>
      <c r="C104" s="117" t="inlineStr">
        <is>
          <t>Signing Date</t>
        </is>
      </c>
      <c r="D104" s="110">
        <f>'AAH Basic Info'!B30</f>
        <v/>
      </c>
      <c r="E104" s="117" t="str"/>
      <c r="F104" s="111" t="str"/>
    </row>
  </sheetData>
  <mergeCells count="6">
    <mergeCell ref="A1:G1"/>
    <mergeCell ref="A6:D6"/>
    <mergeCell ref="A91:D91"/>
    <mergeCell ref="A2:G2"/>
    <mergeCell ref="A24:D24"/>
    <mergeCell ref="A43:G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Banking Company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RBI / Banking Regulation Act | Official source: https://www.indiacode.nic.in/bitstream/123456789/1885/1/A194910.pdf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Form A —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Schedule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CAPITAL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Capital</t>
        </is>
      </c>
      <c r="B9" s="17" t="inlineStr">
        <is>
          <t>1</t>
        </is>
      </c>
      <c r="C9" s="120">
        <f>E47</f>
        <v/>
      </c>
      <c r="D9" s="120">
        <f>F47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E53</f>
        <v/>
      </c>
      <c r="D10" s="120">
        <f>F53</f>
        <v/>
      </c>
      <c r="E10" s="17" t="n"/>
      <c r="F10" s="17" t="n"/>
      <c r="G10" s="17" t="n"/>
    </row>
    <row r="11">
      <c r="A11" s="17" t="inlineStr">
        <is>
          <t>Deposits</t>
        </is>
      </c>
      <c r="B11" s="17" t="inlineStr">
        <is>
          <t>3</t>
        </is>
      </c>
      <c r="C11" s="120">
        <f>E57</f>
        <v/>
      </c>
      <c r="D11" s="120">
        <f>F57</f>
        <v/>
      </c>
      <c r="E11" s="17" t="n"/>
      <c r="F11" s="17" t="n"/>
      <c r="G11" s="17" t="n"/>
    </row>
    <row r="12">
      <c r="A12" s="17" t="inlineStr">
        <is>
          <t>Borrowings</t>
        </is>
      </c>
      <c r="B12" s="17" t="inlineStr">
        <is>
          <t>4</t>
        </is>
      </c>
      <c r="C12" s="120">
        <f>E60</f>
        <v/>
      </c>
      <c r="D12" s="120">
        <f>F60</f>
        <v/>
      </c>
      <c r="E12" s="17" t="n"/>
      <c r="F12" s="17" t="n"/>
      <c r="G12" s="17" t="n"/>
    </row>
    <row r="13">
      <c r="A13" s="17" t="inlineStr">
        <is>
          <t>Other Liabilities and Provisions</t>
        </is>
      </c>
      <c r="B13" s="17" t="inlineStr">
        <is>
          <t>5</t>
        </is>
      </c>
      <c r="C13" s="120">
        <f>E66</f>
        <v/>
      </c>
      <c r="D13" s="120">
        <f>F66</f>
        <v/>
      </c>
      <c r="E13" s="17" t="n"/>
      <c r="F13" s="17" t="n"/>
      <c r="G13" s="17" t="n"/>
    </row>
    <row r="14">
      <c r="A14" s="65" t="inlineStr">
        <is>
          <t>TOTAL CAPITAL AND LIABILITIES</t>
        </is>
      </c>
      <c r="B14" s="65" t="str"/>
      <c r="C14" s="122">
        <f>SUM(C9,C10,C11,C12,C13)</f>
        <v/>
      </c>
      <c r="D14" s="122">
        <f>SUM(D9,D10,D11,D12,D13)</f>
        <v/>
      </c>
      <c r="E14" s="17" t="n"/>
      <c r="F14" s="17" t="n"/>
      <c r="G14" s="17" t="n"/>
    </row>
    <row r="15">
      <c r="A15" s="42" t="inlineStr">
        <is>
          <t>ASSETS</t>
        </is>
      </c>
      <c r="B15" s="42" t="str"/>
      <c r="C15" s="118" t="n"/>
      <c r="D15" s="118" t="n"/>
      <c r="E15" s="17" t="n"/>
      <c r="F15" s="17" t="n"/>
      <c r="G15" s="17" t="n"/>
    </row>
    <row r="16">
      <c r="A16" s="17" t="inlineStr">
        <is>
          <t>Cash and Balances with Reserve Bank of India</t>
        </is>
      </c>
      <c r="B16" s="17" t="inlineStr">
        <is>
          <t>6</t>
        </is>
      </c>
      <c r="C16" s="120">
        <f>E69</f>
        <v/>
      </c>
      <c r="D16" s="120">
        <f>F69</f>
        <v/>
      </c>
      <c r="E16" s="17" t="n"/>
      <c r="F16" s="17" t="n"/>
      <c r="G16" s="17" t="n"/>
    </row>
    <row r="17">
      <c r="A17" s="17" t="inlineStr">
        <is>
          <t>Balances with Banks and Money at Call and Short Notice</t>
        </is>
      </c>
      <c r="B17" s="17" t="inlineStr">
        <is>
          <t>7</t>
        </is>
      </c>
      <c r="C17" s="120">
        <f>E73</f>
        <v/>
      </c>
      <c r="D17" s="120">
        <f>F73</f>
        <v/>
      </c>
      <c r="E17" s="17" t="n"/>
      <c r="F17" s="17" t="n"/>
      <c r="G17" s="17" t="n"/>
    </row>
    <row r="18">
      <c r="A18" s="17" t="inlineStr">
        <is>
          <t>Investments</t>
        </is>
      </c>
      <c r="B18" s="17" t="inlineStr">
        <is>
          <t>8</t>
        </is>
      </c>
      <c r="C18" s="120">
        <f>E80</f>
        <v/>
      </c>
      <c r="D18" s="120">
        <f>F80</f>
        <v/>
      </c>
      <c r="E18" s="17" t="n"/>
      <c r="F18" s="17" t="n"/>
      <c r="G18" s="17" t="n"/>
    </row>
    <row r="19">
      <c r="A19" s="17" t="inlineStr">
        <is>
          <t>Advances</t>
        </is>
      </c>
      <c r="B19" s="17" t="inlineStr">
        <is>
          <t>9</t>
        </is>
      </c>
      <c r="C19" s="120">
        <f>E85</f>
        <v/>
      </c>
      <c r="D19" s="120">
        <f>F85</f>
        <v/>
      </c>
      <c r="E19" s="17" t="n"/>
      <c r="F19" s="17" t="n"/>
      <c r="G19" s="17" t="n"/>
    </row>
    <row r="20">
      <c r="A20" s="17" t="inlineStr">
        <is>
          <t>Fixed Assets</t>
        </is>
      </c>
      <c r="B20" s="17" t="inlineStr">
        <is>
          <t>10</t>
        </is>
      </c>
      <c r="C20" s="120">
        <f>E89</f>
        <v/>
      </c>
      <c r="D20" s="120">
        <f>F89</f>
        <v/>
      </c>
      <c r="E20" s="17" t="n"/>
      <c r="F20" s="17" t="n"/>
      <c r="G20" s="17" t="n"/>
    </row>
    <row r="21">
      <c r="A21" s="17" t="inlineStr">
        <is>
          <t>Other Assets</t>
        </is>
      </c>
      <c r="B21" s="17" t="inlineStr">
        <is>
          <t>11</t>
        </is>
      </c>
      <c r="C21" s="120">
        <f>E96</f>
        <v/>
      </c>
      <c r="D21" s="120">
        <f>F96</f>
        <v/>
      </c>
      <c r="E21" s="17" t="n"/>
      <c r="F21" s="17" t="n"/>
      <c r="G21" s="17" t="n"/>
    </row>
    <row r="22">
      <c r="A22" s="65" t="inlineStr">
        <is>
          <t>TOTAL ASSETS</t>
        </is>
      </c>
      <c r="B22" s="65" t="str"/>
      <c r="C22" s="122">
        <f>SUM(C16,C17,C18,C19,C20,C21)</f>
        <v/>
      </c>
      <c r="D22" s="122">
        <f>SUM(D16,D17,D18,D19,D20,D21)</f>
        <v/>
      </c>
      <c r="E22" s="17" t="n"/>
      <c r="F22" s="17" t="n"/>
      <c r="G22" s="17" t="n"/>
    </row>
    <row r="23">
      <c r="A23" s="42" t="inlineStr">
        <is>
          <t>CONTINGENT LIABILITIES</t>
        </is>
      </c>
      <c r="B23" s="42" t="str"/>
      <c r="C23" s="118" t="n"/>
      <c r="D23" s="118" t="n"/>
      <c r="E23" s="17" t="n"/>
      <c r="F23" s="17" t="n"/>
      <c r="G23" s="17" t="n"/>
    </row>
    <row r="24">
      <c r="A24" s="17" t="inlineStr">
        <is>
          <t>Contingent Liabilities</t>
        </is>
      </c>
      <c r="B24" s="17" t="inlineStr">
        <is>
          <t>12</t>
        </is>
      </c>
      <c r="C24" s="120">
        <f>E103</f>
        <v/>
      </c>
      <c r="D24" s="120">
        <f>F103</f>
        <v/>
      </c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17" t="n"/>
      <c r="B26" s="17" t="n"/>
      <c r="C26" s="120" t="n"/>
      <c r="D26" s="120" t="n"/>
      <c r="E26" s="17" t="n"/>
      <c r="F26" s="17" t="n"/>
      <c r="G26" s="17" t="n"/>
    </row>
    <row r="27">
      <c r="A27" s="71" t="inlineStr">
        <is>
          <t>Form B — Profit and Loss Account</t>
        </is>
      </c>
      <c r="B27" s="1" t="n"/>
      <c r="C27" s="1" t="n"/>
      <c r="D27" s="1" t="n"/>
      <c r="E27" s="17" t="n"/>
      <c r="F27" s="17" t="n"/>
      <c r="G27" s="17" t="n"/>
    </row>
    <row r="28">
      <c r="A28" s="14" t="inlineStr">
        <is>
          <t>Particulars</t>
        </is>
      </c>
      <c r="B28" s="14" t="inlineStr">
        <is>
          <t>Schedule</t>
        </is>
      </c>
      <c r="C28" s="123" t="inlineStr">
        <is>
          <t>Current Reporting Period</t>
        </is>
      </c>
      <c r="D28" s="123" t="inlineStr">
        <is>
          <t>Previous Reporting Period</t>
        </is>
      </c>
      <c r="E28" s="17" t="n"/>
      <c r="F28" s="17" t="n"/>
      <c r="G28" s="17" t="n"/>
    </row>
    <row r="29">
      <c r="A29" s="42" t="inlineStr">
        <is>
          <t>INCOME</t>
        </is>
      </c>
      <c r="B29" s="42" t="str"/>
      <c r="C29" s="118" t="n"/>
      <c r="D29" s="118" t="n"/>
      <c r="E29" s="17" t="n"/>
      <c r="F29" s="17" t="n"/>
      <c r="G29" s="17" t="n"/>
    </row>
    <row r="30">
      <c r="A30" s="17" t="inlineStr">
        <is>
          <t>Interest Earned</t>
        </is>
      </c>
      <c r="B30" s="17" t="inlineStr">
        <is>
          <t>13</t>
        </is>
      </c>
      <c r="C30" s="120">
        <f>E108</f>
        <v/>
      </c>
      <c r="D30" s="120">
        <f>F108</f>
        <v/>
      </c>
      <c r="E30" s="17" t="n"/>
      <c r="F30" s="17" t="n"/>
      <c r="G30" s="17" t="n"/>
    </row>
    <row r="31">
      <c r="A31" s="17" t="inlineStr">
        <is>
          <t>Other Income</t>
        </is>
      </c>
      <c r="B31" s="17" t="inlineStr">
        <is>
          <t>14</t>
        </is>
      </c>
      <c r="C31" s="120">
        <f>E114</f>
        <v/>
      </c>
      <c r="D31" s="120">
        <f>F114</f>
        <v/>
      </c>
      <c r="E31" s="17" t="n"/>
      <c r="F31" s="17" t="n"/>
      <c r="G31" s="17" t="n"/>
    </row>
    <row r="32">
      <c r="A32" s="65" t="inlineStr">
        <is>
          <t>TOTAL INCOME</t>
        </is>
      </c>
      <c r="B32" s="65" t="str"/>
      <c r="C32" s="122">
        <f>SUM(C30,C31)</f>
        <v/>
      </c>
      <c r="D32" s="122">
        <f>SUM(D30,D31)</f>
        <v/>
      </c>
      <c r="E32" s="17" t="n"/>
      <c r="F32" s="17" t="n"/>
      <c r="G32" s="17" t="n"/>
    </row>
    <row r="33">
      <c r="A33" s="42" t="inlineStr">
        <is>
          <t>EXPENDITURE</t>
        </is>
      </c>
      <c r="B33" s="42" t="str"/>
      <c r="C33" s="118" t="n"/>
      <c r="D33" s="118" t="n"/>
      <c r="E33" s="17" t="n"/>
      <c r="F33" s="17" t="n"/>
      <c r="G33" s="17" t="n"/>
    </row>
    <row r="34">
      <c r="A34" s="17" t="inlineStr">
        <is>
          <t>Interest Expended</t>
        </is>
      </c>
      <c r="B34" s="17" t="inlineStr">
        <is>
          <t>15</t>
        </is>
      </c>
      <c r="C34" s="120">
        <f>E118</f>
        <v/>
      </c>
      <c r="D34" s="120">
        <f>F118</f>
        <v/>
      </c>
      <c r="E34" s="17" t="n"/>
      <c r="F34" s="17" t="n"/>
      <c r="G34" s="17" t="n"/>
    </row>
    <row r="35">
      <c r="A35" s="17" t="inlineStr">
        <is>
          <t>Operating Expenses</t>
        </is>
      </c>
      <c r="B35" s="17" t="inlineStr">
        <is>
          <t>16</t>
        </is>
      </c>
      <c r="C35" s="120">
        <f>E131</f>
        <v/>
      </c>
      <c r="D35" s="120">
        <f>F131</f>
        <v/>
      </c>
      <c r="E35" s="17" t="n"/>
      <c r="F35" s="17" t="n"/>
      <c r="G35" s="17" t="n"/>
    </row>
    <row r="36">
      <c r="A36" s="17" t="inlineStr">
        <is>
          <t>Provisions and Contingencies</t>
        </is>
      </c>
      <c r="B36" s="17" t="inlineStr">
        <is>
          <t>—</t>
        </is>
      </c>
      <c r="C36" s="121" t="n"/>
      <c r="D36" s="121" t="n"/>
      <c r="E36" s="17" t="n"/>
      <c r="F36" s="17" t="n"/>
      <c r="G36" s="17" t="n"/>
    </row>
    <row r="37">
      <c r="A37" s="65" t="inlineStr">
        <is>
          <t>TOTAL EXPENDITURE</t>
        </is>
      </c>
      <c r="B37" s="65" t="str"/>
      <c r="C37" s="122">
        <f>SUM(C34,C35)</f>
        <v/>
      </c>
      <c r="D37" s="122">
        <f>SUM(D34,D35)</f>
        <v/>
      </c>
      <c r="E37" s="17" t="n"/>
      <c r="F37" s="17" t="n"/>
      <c r="G37" s="17" t="n"/>
    </row>
    <row r="38">
      <c r="A38" s="65" t="inlineStr">
        <is>
          <t>Profit / (Loss) before Tax</t>
        </is>
      </c>
      <c r="B38" s="65" t="str"/>
      <c r="C38" s="122">
        <f>C32-C37</f>
        <v/>
      </c>
      <c r="D38" s="122">
        <f>D32-D37</f>
        <v/>
      </c>
      <c r="E38" s="17" t="n"/>
      <c r="F38" s="17" t="n"/>
      <c r="G38" s="17" t="n"/>
    </row>
    <row r="39">
      <c r="A39" s="17" t="inlineStr">
        <is>
          <t>Tax</t>
        </is>
      </c>
      <c r="B39" s="17" t="inlineStr">
        <is>
          <t>—</t>
        </is>
      </c>
      <c r="C39" s="121" t="n"/>
      <c r="D39" s="121" t="n"/>
      <c r="E39" s="17" t="n"/>
      <c r="F39" s="17" t="n"/>
      <c r="G39" s="17" t="n"/>
    </row>
    <row r="40">
      <c r="A40" s="65" t="inlineStr">
        <is>
          <t>Net Profit / (Loss)</t>
        </is>
      </c>
      <c r="B40" s="65" t="str"/>
      <c r="C40" s="122">
        <f>C38-SUM(C39)</f>
        <v/>
      </c>
      <c r="D40" s="122">
        <f>D38-SUM(D39)</f>
        <v/>
      </c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 ht="26" customHeight="1" s="82">
      <c r="A43" s="79" t="inlineStr">
        <is>
          <t>Notes / Schedules — linked source for face statements</t>
        </is>
      </c>
      <c r="B43" s="1" t="n"/>
      <c r="C43" s="1" t="n"/>
      <c r="D43" s="1" t="n"/>
      <c r="E43" s="1" t="n"/>
      <c r="F43" s="1" t="n"/>
      <c r="G43" s="1" t="n"/>
    </row>
    <row r="44">
      <c r="A44" s="14" t="inlineStr">
        <is>
          <t>Note</t>
        </is>
      </c>
      <c r="B44" s="14" t="inlineStr">
        <is>
          <t>Note Title</t>
        </is>
      </c>
      <c r="C44" s="14" t="inlineStr">
        <is>
          <t>Statutory Line Item</t>
        </is>
      </c>
      <c r="D44" s="14" t="inlineStr">
        <is>
          <t>AAH Mapping Key</t>
        </is>
      </c>
      <c r="E44" s="14" t="inlineStr">
        <is>
          <t>Current Period</t>
        </is>
      </c>
      <c r="F44" s="14" t="inlineStr">
        <is>
          <t>Previous Period</t>
        </is>
      </c>
      <c r="G44" s="14" t="inlineStr">
        <is>
          <t>Disclosure / Remarks</t>
        </is>
      </c>
    </row>
    <row r="45">
      <c r="A45" s="17" t="inlineStr">
        <is>
          <t>1</t>
        </is>
      </c>
      <c r="B45" s="17" t="inlineStr">
        <is>
          <t>Capital</t>
        </is>
      </c>
      <c r="C45" s="17" t="inlineStr">
        <is>
          <t>Authorised capital</t>
        </is>
      </c>
      <c r="D45" s="17" t="inlineStr">
        <is>
          <t>BANK_CAP_AUTH</t>
        </is>
      </c>
      <c r="E45" s="121" t="n">
        <v>0</v>
      </c>
      <c r="F45" s="121" t="n">
        <v>0</v>
      </c>
      <c r="G45" s="59" t="str"/>
    </row>
    <row r="46">
      <c r="A46" s="17" t="inlineStr">
        <is>
          <t>1</t>
        </is>
      </c>
      <c r="B46" s="17" t="inlineStr">
        <is>
          <t>Capital</t>
        </is>
      </c>
      <c r="C46" s="17" t="inlineStr">
        <is>
          <t>Issued / subscribed / paid-up capital</t>
        </is>
      </c>
      <c r="D46" s="17" t="inlineStr">
        <is>
          <t>BANK_CAP_PAID</t>
        </is>
      </c>
      <c r="E46" s="121" t="n">
        <v>0</v>
      </c>
      <c r="F46" s="121" t="n">
        <v>0</v>
      </c>
      <c r="G46" s="59" t="str"/>
    </row>
    <row r="47">
      <c r="A47" s="65" t="inlineStr">
        <is>
          <t>1</t>
        </is>
      </c>
      <c r="B47" s="65" t="inlineStr">
        <is>
          <t>Capital</t>
        </is>
      </c>
      <c r="C47" s="65" t="inlineStr">
        <is>
          <t>Total — Capital</t>
        </is>
      </c>
      <c r="D47" s="65" t="inlineStr">
        <is>
          <t>__TOTAL__</t>
        </is>
      </c>
      <c r="E47" s="122">
        <f>SUM(E45:E46)</f>
        <v/>
      </c>
      <c r="F47" s="122">
        <f>SUM(F45:F46)</f>
        <v/>
      </c>
      <c r="G47" s="65" t="str"/>
    </row>
    <row r="48">
      <c r="A48" s="17" t="inlineStr">
        <is>
          <t>2</t>
        </is>
      </c>
      <c r="B48" s="17" t="inlineStr">
        <is>
          <t>Reserves and Surplus</t>
        </is>
      </c>
      <c r="C48" s="17" t="inlineStr">
        <is>
          <t>Statutory reserve</t>
        </is>
      </c>
      <c r="D48" s="17" t="inlineStr">
        <is>
          <t>BANK_RES_STAT</t>
        </is>
      </c>
      <c r="E48" s="121" t="n">
        <v>0</v>
      </c>
      <c r="F48" s="121" t="n">
        <v>0</v>
      </c>
      <c r="G48" s="59" t="str"/>
    </row>
    <row r="49">
      <c r="A49" s="17" t="inlineStr">
        <is>
          <t>2</t>
        </is>
      </c>
      <c r="B49" s="17" t="inlineStr">
        <is>
          <t>Reserves and Surplus</t>
        </is>
      </c>
      <c r="C49" s="17" t="inlineStr">
        <is>
          <t>Capital reserve</t>
        </is>
      </c>
      <c r="D49" s="17" t="inlineStr">
        <is>
          <t>BANK_RES_CAP</t>
        </is>
      </c>
      <c r="E49" s="121" t="n">
        <v>0</v>
      </c>
      <c r="F49" s="121" t="n">
        <v>0</v>
      </c>
      <c r="G49" s="59" t="str"/>
    </row>
    <row r="50">
      <c r="A50" s="17" t="inlineStr">
        <is>
          <t>2</t>
        </is>
      </c>
      <c r="B50" s="17" t="inlineStr">
        <is>
          <t>Reserves and Surplus</t>
        </is>
      </c>
      <c r="C50" s="17" t="inlineStr">
        <is>
          <t>Share premium</t>
        </is>
      </c>
      <c r="D50" s="17" t="inlineStr">
        <is>
          <t>BANK_RES_SP</t>
        </is>
      </c>
      <c r="E50" s="121" t="n">
        <v>0</v>
      </c>
      <c r="F50" s="121" t="n">
        <v>0</v>
      </c>
      <c r="G50" s="59" t="str"/>
    </row>
    <row r="51">
      <c r="A51" s="17" t="inlineStr">
        <is>
          <t>2</t>
        </is>
      </c>
      <c r="B51" s="17" t="inlineStr">
        <is>
          <t>Reserves and Surplus</t>
        </is>
      </c>
      <c r="C51" s="17" t="inlineStr">
        <is>
          <t>Revenue / other reserves</t>
        </is>
      </c>
      <c r="D51" s="17" t="inlineStr">
        <is>
          <t>BANK_RES_OTHER</t>
        </is>
      </c>
      <c r="E51" s="121" t="n">
        <v>0</v>
      </c>
      <c r="F51" s="121" t="n">
        <v>0</v>
      </c>
      <c r="G51" s="59" t="str"/>
    </row>
    <row r="52">
      <c r="A52" s="17" t="inlineStr">
        <is>
          <t>2</t>
        </is>
      </c>
      <c r="B52" s="17" t="inlineStr">
        <is>
          <t>Reserves and Surplus</t>
        </is>
      </c>
      <c r="C52" s="17" t="inlineStr">
        <is>
          <t>Balance in P&amp;L</t>
        </is>
      </c>
      <c r="D52" s="17" t="inlineStr">
        <is>
          <t>BANK_RES_PL</t>
        </is>
      </c>
      <c r="E52" s="121" t="n">
        <v>0</v>
      </c>
      <c r="F52" s="121" t="n">
        <v>0</v>
      </c>
      <c r="G52" s="59" t="str"/>
    </row>
    <row r="53">
      <c r="A53" s="65" t="inlineStr">
        <is>
          <t>2</t>
        </is>
      </c>
      <c r="B53" s="65" t="inlineStr">
        <is>
          <t>Reserves and Surplus</t>
        </is>
      </c>
      <c r="C53" s="65" t="inlineStr">
        <is>
          <t>Total — Reserves and Surplus</t>
        </is>
      </c>
      <c r="D53" s="65" t="inlineStr">
        <is>
          <t>__TOTAL__</t>
        </is>
      </c>
      <c r="E53" s="122">
        <f>SUM(E48:E52)</f>
        <v/>
      </c>
      <c r="F53" s="122">
        <f>SUM(F48:F52)</f>
        <v/>
      </c>
      <c r="G53" s="65" t="str"/>
    </row>
    <row r="54">
      <c r="A54" s="17" t="inlineStr">
        <is>
          <t>3</t>
        </is>
      </c>
      <c r="B54" s="17" t="inlineStr">
        <is>
          <t>Deposits</t>
        </is>
      </c>
      <c r="C54" s="17" t="inlineStr">
        <is>
          <t>Demand deposits</t>
        </is>
      </c>
      <c r="D54" s="17" t="inlineStr">
        <is>
          <t>BANK_DEP_DEM</t>
        </is>
      </c>
      <c r="E54" s="121" t="n">
        <v>0</v>
      </c>
      <c r="F54" s="121" t="n">
        <v>0</v>
      </c>
      <c r="G54" s="59" t="str"/>
    </row>
    <row r="55">
      <c r="A55" s="17" t="inlineStr">
        <is>
          <t>3</t>
        </is>
      </c>
      <c r="B55" s="17" t="inlineStr">
        <is>
          <t>Deposits</t>
        </is>
      </c>
      <c r="C55" s="17" t="inlineStr">
        <is>
          <t>Savings bank deposits</t>
        </is>
      </c>
      <c r="D55" s="17" t="inlineStr">
        <is>
          <t>BANK_DEP_SAV</t>
        </is>
      </c>
      <c r="E55" s="121" t="n">
        <v>0</v>
      </c>
      <c r="F55" s="121" t="n">
        <v>0</v>
      </c>
      <c r="G55" s="59" t="str"/>
    </row>
    <row r="56">
      <c r="A56" s="17" t="inlineStr">
        <is>
          <t>3</t>
        </is>
      </c>
      <c r="B56" s="17" t="inlineStr">
        <is>
          <t>Deposits</t>
        </is>
      </c>
      <c r="C56" s="17" t="inlineStr">
        <is>
          <t>Term deposits</t>
        </is>
      </c>
      <c r="D56" s="17" t="inlineStr">
        <is>
          <t>BANK_DEP_TERM</t>
        </is>
      </c>
      <c r="E56" s="121" t="n">
        <v>0</v>
      </c>
      <c r="F56" s="121" t="n">
        <v>0</v>
      </c>
      <c r="G56" s="59" t="str"/>
    </row>
    <row r="57">
      <c r="A57" s="65" t="inlineStr">
        <is>
          <t>3</t>
        </is>
      </c>
      <c r="B57" s="65" t="inlineStr">
        <is>
          <t>Deposits</t>
        </is>
      </c>
      <c r="C57" s="65" t="inlineStr">
        <is>
          <t>Total — Deposits</t>
        </is>
      </c>
      <c r="D57" s="65" t="inlineStr">
        <is>
          <t>__TOTAL__</t>
        </is>
      </c>
      <c r="E57" s="122">
        <f>SUM(E54:E56)</f>
        <v/>
      </c>
      <c r="F57" s="122">
        <f>SUM(F54:F56)</f>
        <v/>
      </c>
      <c r="G57" s="65" t="str"/>
    </row>
    <row r="58">
      <c r="A58" s="17" t="inlineStr">
        <is>
          <t>4</t>
        </is>
      </c>
      <c r="B58" s="17" t="inlineStr">
        <is>
          <t>Borrowings</t>
        </is>
      </c>
      <c r="C58" s="17" t="inlineStr">
        <is>
          <t>Borrowings in India</t>
        </is>
      </c>
      <c r="D58" s="17" t="inlineStr">
        <is>
          <t>BANK_BORR_IN</t>
        </is>
      </c>
      <c r="E58" s="121" t="n">
        <v>0</v>
      </c>
      <c r="F58" s="121" t="n">
        <v>0</v>
      </c>
      <c r="G58" s="59" t="str"/>
    </row>
    <row r="59">
      <c r="A59" s="17" t="inlineStr">
        <is>
          <t>4</t>
        </is>
      </c>
      <c r="B59" s="17" t="inlineStr">
        <is>
          <t>Borrowings</t>
        </is>
      </c>
      <c r="C59" s="17" t="inlineStr">
        <is>
          <t>Borrowings outside India</t>
        </is>
      </c>
      <c r="D59" s="17" t="inlineStr">
        <is>
          <t>BANK_BORR_OUT</t>
        </is>
      </c>
      <c r="E59" s="121" t="n">
        <v>0</v>
      </c>
      <c r="F59" s="121" t="n">
        <v>0</v>
      </c>
      <c r="G59" s="59" t="str"/>
    </row>
    <row r="60">
      <c r="A60" s="65" t="inlineStr">
        <is>
          <t>4</t>
        </is>
      </c>
      <c r="B60" s="65" t="inlineStr">
        <is>
          <t>Borrowings</t>
        </is>
      </c>
      <c r="C60" s="65" t="inlineStr">
        <is>
          <t>Total — Borrowings</t>
        </is>
      </c>
      <c r="D60" s="65" t="inlineStr">
        <is>
          <t>__TOTAL__</t>
        </is>
      </c>
      <c r="E60" s="122">
        <f>SUM(E58:E59)</f>
        <v/>
      </c>
      <c r="F60" s="122">
        <f>SUM(F58:F59)</f>
        <v/>
      </c>
      <c r="G60" s="65" t="str"/>
    </row>
    <row r="61">
      <c r="A61" s="17" t="inlineStr">
        <is>
          <t>5</t>
        </is>
      </c>
      <c r="B61" s="17" t="inlineStr">
        <is>
          <t>Other Liabilities and Provisions</t>
        </is>
      </c>
      <c r="C61" s="17" t="inlineStr">
        <is>
          <t>Bills payable</t>
        </is>
      </c>
      <c r="D61" s="17" t="inlineStr">
        <is>
          <t>BANK_OL_BILLS</t>
        </is>
      </c>
      <c r="E61" s="121" t="n">
        <v>0</v>
      </c>
      <c r="F61" s="121" t="n">
        <v>0</v>
      </c>
      <c r="G61" s="59" t="str"/>
    </row>
    <row r="62">
      <c r="A62" s="17" t="inlineStr">
        <is>
          <t>5</t>
        </is>
      </c>
      <c r="B62" s="17" t="inlineStr">
        <is>
          <t>Other Liabilities and Provisions</t>
        </is>
      </c>
      <c r="C62" s="17" t="inlineStr">
        <is>
          <t>Inter-office adjustments</t>
        </is>
      </c>
      <c r="D62" s="17" t="inlineStr">
        <is>
          <t>BANK_OL_IO</t>
        </is>
      </c>
      <c r="E62" s="121" t="n">
        <v>0</v>
      </c>
      <c r="F62" s="121" t="n">
        <v>0</v>
      </c>
      <c r="G62" s="59" t="str"/>
    </row>
    <row r="63">
      <c r="A63" s="17" t="inlineStr">
        <is>
          <t>5</t>
        </is>
      </c>
      <c r="B63" s="17" t="inlineStr">
        <is>
          <t>Other Liabilities and Provisions</t>
        </is>
      </c>
      <c r="C63" s="17" t="inlineStr">
        <is>
          <t>Interest accrued</t>
        </is>
      </c>
      <c r="D63" s="17" t="inlineStr">
        <is>
          <t>BANK_OL_INT</t>
        </is>
      </c>
      <c r="E63" s="121" t="n">
        <v>0</v>
      </c>
      <c r="F63" s="121" t="n">
        <v>0</v>
      </c>
      <c r="G63" s="59" t="str"/>
    </row>
    <row r="64">
      <c r="A64" s="17" t="inlineStr">
        <is>
          <t>5</t>
        </is>
      </c>
      <c r="B64" s="17" t="inlineStr">
        <is>
          <t>Other Liabilities and Provisions</t>
        </is>
      </c>
      <c r="C64" s="17" t="inlineStr">
        <is>
          <t>Other liabilities</t>
        </is>
      </c>
      <c r="D64" s="17" t="inlineStr">
        <is>
          <t>BANK_OL_OTHER</t>
        </is>
      </c>
      <c r="E64" s="121" t="n">
        <v>0</v>
      </c>
      <c r="F64" s="121" t="n">
        <v>0</v>
      </c>
      <c r="G64" s="59" t="str"/>
    </row>
    <row r="65">
      <c r="A65" s="17" t="inlineStr">
        <is>
          <t>5</t>
        </is>
      </c>
      <c r="B65" s="17" t="inlineStr">
        <is>
          <t>Other Liabilities and Provisions</t>
        </is>
      </c>
      <c r="C65" s="17" t="inlineStr">
        <is>
          <t>Provisions</t>
        </is>
      </c>
      <c r="D65" s="17" t="inlineStr">
        <is>
          <t>BANK_OL_PROV</t>
        </is>
      </c>
      <c r="E65" s="121" t="n">
        <v>0</v>
      </c>
      <c r="F65" s="121" t="n">
        <v>0</v>
      </c>
      <c r="G65" s="59" t="str"/>
    </row>
    <row r="66">
      <c r="A66" s="65" t="inlineStr">
        <is>
          <t>5</t>
        </is>
      </c>
      <c r="B66" s="65" t="inlineStr">
        <is>
          <t>Other Liabilities and Provisions</t>
        </is>
      </c>
      <c r="C66" s="65" t="inlineStr">
        <is>
          <t>Total — Other Liabilities and Provisions</t>
        </is>
      </c>
      <c r="D66" s="65" t="inlineStr">
        <is>
          <t>__TOTAL__</t>
        </is>
      </c>
      <c r="E66" s="122">
        <f>SUM(E61:E65)</f>
        <v/>
      </c>
      <c r="F66" s="122">
        <f>SUM(F61:F65)</f>
        <v/>
      </c>
      <c r="G66" s="65" t="str"/>
    </row>
    <row r="67">
      <c r="A67" s="17" t="inlineStr">
        <is>
          <t>6</t>
        </is>
      </c>
      <c r="B67" s="17" t="inlineStr">
        <is>
          <t>Cash and Balances with RBI</t>
        </is>
      </c>
      <c r="C67" s="17" t="inlineStr">
        <is>
          <t>Cash in hand</t>
        </is>
      </c>
      <c r="D67" s="17" t="inlineStr">
        <is>
          <t>BANK_CASH</t>
        </is>
      </c>
      <c r="E67" s="121" t="n">
        <v>0</v>
      </c>
      <c r="F67" s="121" t="n">
        <v>0</v>
      </c>
      <c r="G67" s="59" t="str"/>
    </row>
    <row r="68">
      <c r="A68" s="17" t="inlineStr">
        <is>
          <t>6</t>
        </is>
      </c>
      <c r="B68" s="17" t="inlineStr">
        <is>
          <t>Cash and Balances with RBI</t>
        </is>
      </c>
      <c r="C68" s="17" t="inlineStr">
        <is>
          <t>Balances with RBI</t>
        </is>
      </c>
      <c r="D68" s="17" t="inlineStr">
        <is>
          <t>BANK_RBI</t>
        </is>
      </c>
      <c r="E68" s="121" t="n">
        <v>0</v>
      </c>
      <c r="F68" s="121" t="n">
        <v>0</v>
      </c>
      <c r="G68" s="59" t="str"/>
    </row>
    <row r="69">
      <c r="A69" s="65" t="inlineStr">
        <is>
          <t>6</t>
        </is>
      </c>
      <c r="B69" s="65" t="inlineStr">
        <is>
          <t>Cash and Balances with RBI</t>
        </is>
      </c>
      <c r="C69" s="65" t="inlineStr">
        <is>
          <t>Total — Cash and Balances with RBI</t>
        </is>
      </c>
      <c r="D69" s="65" t="inlineStr">
        <is>
          <t>__TOTAL__</t>
        </is>
      </c>
      <c r="E69" s="122">
        <f>SUM(E67:E68)</f>
        <v/>
      </c>
      <c r="F69" s="122">
        <f>SUM(F67:F68)</f>
        <v/>
      </c>
      <c r="G69" s="65" t="str"/>
    </row>
    <row r="70">
      <c r="A70" s="17" t="inlineStr">
        <is>
          <t>7</t>
        </is>
      </c>
      <c r="B70" s="17" t="inlineStr">
        <is>
          <t>Balances with Banks and Money at Call / Short Notice</t>
        </is>
      </c>
      <c r="C70" s="17" t="inlineStr">
        <is>
          <t>Balances with banks in India</t>
        </is>
      </c>
      <c r="D70" s="17" t="inlineStr">
        <is>
          <t>BANK_BAL_IN</t>
        </is>
      </c>
      <c r="E70" s="121" t="n">
        <v>0</v>
      </c>
      <c r="F70" s="121" t="n">
        <v>0</v>
      </c>
      <c r="G70" s="59" t="str"/>
    </row>
    <row r="71">
      <c r="A71" s="17" t="inlineStr">
        <is>
          <t>7</t>
        </is>
      </c>
      <c r="B71" s="17" t="inlineStr">
        <is>
          <t>Balances with Banks and Money at Call / Short Notice</t>
        </is>
      </c>
      <c r="C71" s="17" t="inlineStr">
        <is>
          <t>Money at call / short notice</t>
        </is>
      </c>
      <c r="D71" s="17" t="inlineStr">
        <is>
          <t>BANK_CALL</t>
        </is>
      </c>
      <c r="E71" s="121" t="n">
        <v>0</v>
      </c>
      <c r="F71" s="121" t="n">
        <v>0</v>
      </c>
      <c r="G71" s="59" t="str"/>
    </row>
    <row r="72">
      <c r="A72" s="17" t="inlineStr">
        <is>
          <t>7</t>
        </is>
      </c>
      <c r="B72" s="17" t="inlineStr">
        <is>
          <t>Balances with Banks and Money at Call / Short Notice</t>
        </is>
      </c>
      <c r="C72" s="17" t="inlineStr">
        <is>
          <t>Balances outside India</t>
        </is>
      </c>
      <c r="D72" s="17" t="inlineStr">
        <is>
          <t>BANK_BAL_OUT</t>
        </is>
      </c>
      <c r="E72" s="121" t="n">
        <v>0</v>
      </c>
      <c r="F72" s="121" t="n">
        <v>0</v>
      </c>
      <c r="G72" s="59" t="str"/>
    </row>
    <row r="73">
      <c r="A73" s="65" t="inlineStr">
        <is>
          <t>7</t>
        </is>
      </c>
      <c r="B73" s="65" t="inlineStr">
        <is>
          <t>Balances with Banks and Money at Call / Short Notice</t>
        </is>
      </c>
      <c r="C73" s="65" t="inlineStr">
        <is>
          <t>Total — Balances with Banks and Money at Call / Short Notice</t>
        </is>
      </c>
      <c r="D73" s="65" t="inlineStr">
        <is>
          <t>__TOTAL__</t>
        </is>
      </c>
      <c r="E73" s="122">
        <f>SUM(E70:E72)</f>
        <v/>
      </c>
      <c r="F73" s="122">
        <f>SUM(F70:F72)</f>
        <v/>
      </c>
      <c r="G73" s="65" t="str"/>
    </row>
    <row r="74">
      <c r="A74" s="17" t="inlineStr">
        <is>
          <t>8</t>
        </is>
      </c>
      <c r="B74" s="17" t="inlineStr">
        <is>
          <t>Investments</t>
        </is>
      </c>
      <c r="C74" s="17" t="inlineStr">
        <is>
          <t>Government securities</t>
        </is>
      </c>
      <c r="D74" s="17" t="inlineStr">
        <is>
          <t>BANK_INV_GS</t>
        </is>
      </c>
      <c r="E74" s="121" t="n">
        <v>0</v>
      </c>
      <c r="F74" s="121" t="n">
        <v>0</v>
      </c>
      <c r="G74" s="59" t="str"/>
    </row>
    <row r="75">
      <c r="A75" s="17" t="inlineStr">
        <is>
          <t>8</t>
        </is>
      </c>
      <c r="B75" s="17" t="inlineStr">
        <is>
          <t>Investments</t>
        </is>
      </c>
      <c r="C75" s="17" t="inlineStr">
        <is>
          <t>Other approved securities</t>
        </is>
      </c>
      <c r="D75" s="17" t="inlineStr">
        <is>
          <t>BANK_INV_APPROVED</t>
        </is>
      </c>
      <c r="E75" s="121" t="n">
        <v>0</v>
      </c>
      <c r="F75" s="121" t="n">
        <v>0</v>
      </c>
      <c r="G75" s="59" t="str"/>
    </row>
    <row r="76">
      <c r="A76" s="17" t="inlineStr">
        <is>
          <t>8</t>
        </is>
      </c>
      <c r="B76" s="17" t="inlineStr">
        <is>
          <t>Investments</t>
        </is>
      </c>
      <c r="C76" s="17" t="inlineStr">
        <is>
          <t>Shares</t>
        </is>
      </c>
      <c r="D76" s="17" t="inlineStr">
        <is>
          <t>BANK_INV_SH</t>
        </is>
      </c>
      <c r="E76" s="121" t="n">
        <v>0</v>
      </c>
      <c r="F76" s="121" t="n">
        <v>0</v>
      </c>
      <c r="G76" s="59" t="str"/>
    </row>
    <row r="77">
      <c r="A77" s="17" t="inlineStr">
        <is>
          <t>8</t>
        </is>
      </c>
      <c r="B77" s="17" t="inlineStr">
        <is>
          <t>Investments</t>
        </is>
      </c>
      <c r="C77" s="17" t="inlineStr">
        <is>
          <t>Debentures / bonds</t>
        </is>
      </c>
      <c r="D77" s="17" t="inlineStr">
        <is>
          <t>BANK_INV_DB</t>
        </is>
      </c>
      <c r="E77" s="121" t="n">
        <v>0</v>
      </c>
      <c r="F77" s="121" t="n">
        <v>0</v>
      </c>
      <c r="G77" s="59" t="str"/>
    </row>
    <row r="78">
      <c r="A78" s="17" t="inlineStr">
        <is>
          <t>8</t>
        </is>
      </c>
      <c r="B78" s="17" t="inlineStr">
        <is>
          <t>Investments</t>
        </is>
      </c>
      <c r="C78" s="17" t="inlineStr">
        <is>
          <t>Subsidiaries / JVs</t>
        </is>
      </c>
      <c r="D78" s="17" t="inlineStr">
        <is>
          <t>BANK_INV_SUB</t>
        </is>
      </c>
      <c r="E78" s="121" t="n">
        <v>0</v>
      </c>
      <c r="F78" s="121" t="n">
        <v>0</v>
      </c>
      <c r="G78" s="59" t="str"/>
    </row>
    <row r="79">
      <c r="A79" s="17" t="inlineStr">
        <is>
          <t>8</t>
        </is>
      </c>
      <c r="B79" s="17" t="inlineStr">
        <is>
          <t>Investments</t>
        </is>
      </c>
      <c r="C79" s="17" t="inlineStr">
        <is>
          <t>Other investments</t>
        </is>
      </c>
      <c r="D79" s="17" t="inlineStr">
        <is>
          <t>BANK_INV_OTHER</t>
        </is>
      </c>
      <c r="E79" s="121" t="n">
        <v>0</v>
      </c>
      <c r="F79" s="121" t="n">
        <v>0</v>
      </c>
      <c r="G79" s="59" t="str"/>
    </row>
    <row r="80">
      <c r="A80" s="65" t="inlineStr">
        <is>
          <t>8</t>
        </is>
      </c>
      <c r="B80" s="65" t="inlineStr">
        <is>
          <t>Investments</t>
        </is>
      </c>
      <c r="C80" s="65" t="inlineStr">
        <is>
          <t>Total — Investments</t>
        </is>
      </c>
      <c r="D80" s="65" t="inlineStr">
        <is>
          <t>__TOTAL__</t>
        </is>
      </c>
      <c r="E80" s="122">
        <f>SUM(E74:E79)</f>
        <v/>
      </c>
      <c r="F80" s="122">
        <f>SUM(F74:F79)</f>
        <v/>
      </c>
      <c r="G80" s="65" t="str"/>
    </row>
    <row r="81">
      <c r="A81" s="17" t="inlineStr">
        <is>
          <t>9</t>
        </is>
      </c>
      <c r="B81" s="17" t="inlineStr">
        <is>
          <t>Advances</t>
        </is>
      </c>
      <c r="C81" s="17" t="inlineStr">
        <is>
          <t>Bills purchased / discounted</t>
        </is>
      </c>
      <c r="D81" s="17" t="inlineStr">
        <is>
          <t>BANK_ADV_BILLS</t>
        </is>
      </c>
      <c r="E81" s="121" t="n">
        <v>0</v>
      </c>
      <c r="F81" s="121" t="n">
        <v>0</v>
      </c>
      <c r="G81" s="59" t="str"/>
    </row>
    <row r="82">
      <c r="A82" s="17" t="inlineStr">
        <is>
          <t>9</t>
        </is>
      </c>
      <c r="B82" s="17" t="inlineStr">
        <is>
          <t>Advances</t>
        </is>
      </c>
      <c r="C82" s="17" t="inlineStr">
        <is>
          <t>Cash credits / overdrafts / demand loans</t>
        </is>
      </c>
      <c r="D82" s="17" t="inlineStr">
        <is>
          <t>BANK_ADV_CC</t>
        </is>
      </c>
      <c r="E82" s="121" t="n">
        <v>0</v>
      </c>
      <c r="F82" s="121" t="n">
        <v>0</v>
      </c>
      <c r="G82" s="59" t="str"/>
    </row>
    <row r="83">
      <c r="A83" s="17" t="inlineStr">
        <is>
          <t>9</t>
        </is>
      </c>
      <c r="B83" s="17" t="inlineStr">
        <is>
          <t>Advances</t>
        </is>
      </c>
      <c r="C83" s="17" t="inlineStr">
        <is>
          <t>Term loans</t>
        </is>
      </c>
      <c r="D83" s="17" t="inlineStr">
        <is>
          <t>BANK_ADV_TERM</t>
        </is>
      </c>
      <c r="E83" s="121" t="n">
        <v>0</v>
      </c>
      <c r="F83" s="121" t="n">
        <v>0</v>
      </c>
      <c r="G83" s="59" t="str"/>
    </row>
    <row r="84">
      <c r="A84" s="17" t="inlineStr">
        <is>
          <t>9</t>
        </is>
      </c>
      <c r="B84" s="17" t="inlineStr">
        <is>
          <t>Advances</t>
        </is>
      </c>
      <c r="C84" s="17" t="inlineStr">
        <is>
          <t>Provision / impairment</t>
        </is>
      </c>
      <c r="D84" s="17" t="inlineStr">
        <is>
          <t>BANK_ADV_PROV</t>
        </is>
      </c>
      <c r="E84" s="121" t="n">
        <v>0</v>
      </c>
      <c r="F84" s="121" t="n">
        <v>0</v>
      </c>
      <c r="G84" s="59" t="str"/>
    </row>
    <row r="85">
      <c r="A85" s="65" t="inlineStr">
        <is>
          <t>9</t>
        </is>
      </c>
      <c r="B85" s="65" t="inlineStr">
        <is>
          <t>Advances</t>
        </is>
      </c>
      <c r="C85" s="65" t="inlineStr">
        <is>
          <t>Total — Advances</t>
        </is>
      </c>
      <c r="D85" s="65" t="inlineStr">
        <is>
          <t>__TOTAL__</t>
        </is>
      </c>
      <c r="E85" s="122">
        <f>SUM(E81:E84)</f>
        <v/>
      </c>
      <c r="F85" s="122">
        <f>SUM(F81:F84)</f>
        <v/>
      </c>
      <c r="G85" s="65" t="str"/>
    </row>
    <row r="86">
      <c r="A86" s="17" t="inlineStr">
        <is>
          <t>10</t>
        </is>
      </c>
      <c r="B86" s="17" t="inlineStr">
        <is>
          <t>Fixed Assets</t>
        </is>
      </c>
      <c r="C86" s="17" t="inlineStr">
        <is>
          <t>Premises</t>
        </is>
      </c>
      <c r="D86" s="17" t="inlineStr">
        <is>
          <t>BANK_FA_PREM</t>
        </is>
      </c>
      <c r="E86" s="121" t="n">
        <v>0</v>
      </c>
      <c r="F86" s="121" t="n">
        <v>0</v>
      </c>
      <c r="G86" s="59" t="str"/>
    </row>
    <row r="87">
      <c r="A87" s="17" t="inlineStr">
        <is>
          <t>10</t>
        </is>
      </c>
      <c r="B87" s="17" t="inlineStr">
        <is>
          <t>Fixed Assets</t>
        </is>
      </c>
      <c r="C87" s="17" t="inlineStr">
        <is>
          <t>Other fixed assets</t>
        </is>
      </c>
      <c r="D87" s="17" t="inlineStr">
        <is>
          <t>BANK_FA_OTHER</t>
        </is>
      </c>
      <c r="E87" s="121" t="n">
        <v>0</v>
      </c>
      <c r="F87" s="121" t="n">
        <v>0</v>
      </c>
      <c r="G87" s="59" t="str"/>
    </row>
    <row r="88">
      <c r="A88" s="17" t="inlineStr">
        <is>
          <t>10</t>
        </is>
      </c>
      <c r="B88" s="17" t="inlineStr">
        <is>
          <t>Fixed Assets</t>
        </is>
      </c>
      <c r="C88" s="17" t="inlineStr">
        <is>
          <t>CWIP</t>
        </is>
      </c>
      <c r="D88" s="17" t="inlineStr">
        <is>
          <t>BANK_FA_CWIP</t>
        </is>
      </c>
      <c r="E88" s="121" t="n">
        <v>0</v>
      </c>
      <c r="F88" s="121" t="n">
        <v>0</v>
      </c>
      <c r="G88" s="59" t="str"/>
    </row>
    <row r="89">
      <c r="A89" s="65" t="inlineStr">
        <is>
          <t>10</t>
        </is>
      </c>
      <c r="B89" s="65" t="inlineStr">
        <is>
          <t>Fixed Assets</t>
        </is>
      </c>
      <c r="C89" s="65" t="inlineStr">
        <is>
          <t>Total — Fixed Assets</t>
        </is>
      </c>
      <c r="D89" s="65" t="inlineStr">
        <is>
          <t>__TOTAL__</t>
        </is>
      </c>
      <c r="E89" s="122">
        <f>SUM(E86:E88)</f>
        <v/>
      </c>
      <c r="F89" s="122">
        <f>SUM(F86:F88)</f>
        <v/>
      </c>
      <c r="G89" s="65" t="str"/>
    </row>
    <row r="90">
      <c r="A90" s="17" t="inlineStr">
        <is>
          <t>11</t>
        </is>
      </c>
      <c r="B90" s="17" t="inlineStr">
        <is>
          <t>Other Assets</t>
        </is>
      </c>
      <c r="C90" s="17" t="inlineStr">
        <is>
          <t>Inter-office adjustments</t>
        </is>
      </c>
      <c r="D90" s="17" t="inlineStr">
        <is>
          <t>BANK_OA_IO</t>
        </is>
      </c>
      <c r="E90" s="121" t="n">
        <v>0</v>
      </c>
      <c r="F90" s="121" t="n">
        <v>0</v>
      </c>
      <c r="G90" s="59" t="str"/>
    </row>
    <row r="91">
      <c r="A91" s="17" t="inlineStr">
        <is>
          <t>11</t>
        </is>
      </c>
      <c r="B91" s="17" t="inlineStr">
        <is>
          <t>Other Assets</t>
        </is>
      </c>
      <c r="C91" s="17" t="inlineStr">
        <is>
          <t>Interest accrued</t>
        </is>
      </c>
      <c r="D91" s="17" t="inlineStr">
        <is>
          <t>BANK_OA_INT</t>
        </is>
      </c>
      <c r="E91" s="121" t="n">
        <v>0</v>
      </c>
      <c r="F91" s="121" t="n">
        <v>0</v>
      </c>
      <c r="G91" s="59" t="str"/>
    </row>
    <row r="92">
      <c r="A92" s="17" t="inlineStr">
        <is>
          <t>11</t>
        </is>
      </c>
      <c r="B92" s="17" t="inlineStr">
        <is>
          <t>Other Assets</t>
        </is>
      </c>
      <c r="C92" s="17" t="inlineStr">
        <is>
          <t>Tax paid in advance</t>
        </is>
      </c>
      <c r="D92" s="17" t="inlineStr">
        <is>
          <t>BANK_OA_TAX</t>
        </is>
      </c>
      <c r="E92" s="121" t="n">
        <v>0</v>
      </c>
      <c r="F92" s="121" t="n">
        <v>0</v>
      </c>
      <c r="G92" s="59" t="str"/>
    </row>
    <row r="93">
      <c r="A93" s="17" t="inlineStr">
        <is>
          <t>11</t>
        </is>
      </c>
      <c r="B93" s="17" t="inlineStr">
        <is>
          <t>Other Assets</t>
        </is>
      </c>
      <c r="C93" s="17" t="inlineStr">
        <is>
          <t>Stationery / stamps</t>
        </is>
      </c>
      <c r="D93" s="17" t="inlineStr">
        <is>
          <t>BANK_OA_STAT</t>
        </is>
      </c>
      <c r="E93" s="121" t="n">
        <v>0</v>
      </c>
      <c r="F93" s="121" t="n">
        <v>0</v>
      </c>
      <c r="G93" s="59" t="str"/>
    </row>
    <row r="94">
      <c r="A94" s="17" t="inlineStr">
        <is>
          <t>11</t>
        </is>
      </c>
      <c r="B94" s="17" t="inlineStr">
        <is>
          <t>Other Assets</t>
        </is>
      </c>
      <c r="C94" s="17" t="inlineStr">
        <is>
          <t>Non-banking assets</t>
        </is>
      </c>
      <c r="D94" s="17" t="inlineStr">
        <is>
          <t>BANK_OA_NBA</t>
        </is>
      </c>
      <c r="E94" s="121" t="n">
        <v>0</v>
      </c>
      <c r="F94" s="121" t="n">
        <v>0</v>
      </c>
      <c r="G94" s="59" t="str"/>
    </row>
    <row r="95">
      <c r="A95" s="17" t="inlineStr">
        <is>
          <t>11</t>
        </is>
      </c>
      <c r="B95" s="17" t="inlineStr">
        <is>
          <t>Other Assets</t>
        </is>
      </c>
      <c r="C95" s="17" t="inlineStr">
        <is>
          <t>Other assets</t>
        </is>
      </c>
      <c r="D95" s="17" t="inlineStr">
        <is>
          <t>BANK_OA_OTHER</t>
        </is>
      </c>
      <c r="E95" s="121" t="n">
        <v>0</v>
      </c>
      <c r="F95" s="121" t="n">
        <v>0</v>
      </c>
      <c r="G95" s="59" t="str"/>
    </row>
    <row r="96">
      <c r="A96" s="65" t="inlineStr">
        <is>
          <t>11</t>
        </is>
      </c>
      <c r="B96" s="65" t="inlineStr">
        <is>
          <t>Other Assets</t>
        </is>
      </c>
      <c r="C96" s="65" t="inlineStr">
        <is>
          <t>Total — Other Assets</t>
        </is>
      </c>
      <c r="D96" s="65" t="inlineStr">
        <is>
          <t>__TOTAL__</t>
        </is>
      </c>
      <c r="E96" s="122">
        <f>SUM(E90:E95)</f>
        <v/>
      </c>
      <c r="F96" s="122">
        <f>SUM(F90:F95)</f>
        <v/>
      </c>
      <c r="G96" s="65" t="str"/>
    </row>
    <row r="97">
      <c r="A97" s="17" t="inlineStr">
        <is>
          <t>12</t>
        </is>
      </c>
      <c r="B97" s="17" t="inlineStr">
        <is>
          <t>Contingent Liabilities</t>
        </is>
      </c>
      <c r="C97" s="17" t="inlineStr">
        <is>
          <t>Claims not acknowledged as debts</t>
        </is>
      </c>
      <c r="D97" s="17" t="inlineStr">
        <is>
          <t>BANK_CL_CLAIMS</t>
        </is>
      </c>
      <c r="E97" s="121" t="n">
        <v>0</v>
      </c>
      <c r="F97" s="121" t="n">
        <v>0</v>
      </c>
      <c r="G97" s="59" t="str"/>
    </row>
    <row r="98">
      <c r="A98" s="17" t="inlineStr">
        <is>
          <t>12</t>
        </is>
      </c>
      <c r="B98" s="17" t="inlineStr">
        <is>
          <t>Contingent Liabilities</t>
        </is>
      </c>
      <c r="C98" s="17" t="inlineStr">
        <is>
          <t>Partly paid investments</t>
        </is>
      </c>
      <c r="D98" s="17" t="inlineStr">
        <is>
          <t>BANK_CL_PART</t>
        </is>
      </c>
      <c r="E98" s="121" t="n">
        <v>0</v>
      </c>
      <c r="F98" s="121" t="n">
        <v>0</v>
      </c>
      <c r="G98" s="59" t="str"/>
    </row>
    <row r="99">
      <c r="A99" s="17" t="inlineStr">
        <is>
          <t>12</t>
        </is>
      </c>
      <c r="B99" s="17" t="inlineStr">
        <is>
          <t>Contingent Liabilities</t>
        </is>
      </c>
      <c r="C99" s="17" t="inlineStr">
        <is>
          <t>Forward exchange contracts</t>
        </is>
      </c>
      <c r="D99" s="17" t="inlineStr">
        <is>
          <t>BANK_CL_FX</t>
        </is>
      </c>
      <c r="E99" s="121" t="n">
        <v>0</v>
      </c>
      <c r="F99" s="121" t="n">
        <v>0</v>
      </c>
      <c r="G99" s="59" t="str"/>
    </row>
    <row r="100">
      <c r="A100" s="17" t="inlineStr">
        <is>
          <t>12</t>
        </is>
      </c>
      <c r="B100" s="17" t="inlineStr">
        <is>
          <t>Contingent Liabilities</t>
        </is>
      </c>
      <c r="C100" s="17" t="inlineStr">
        <is>
          <t>Guarantees</t>
        </is>
      </c>
      <c r="D100" s="17" t="inlineStr">
        <is>
          <t>BANK_CL_GUAR</t>
        </is>
      </c>
      <c r="E100" s="121" t="n">
        <v>0</v>
      </c>
      <c r="F100" s="121" t="n">
        <v>0</v>
      </c>
      <c r="G100" s="59" t="str"/>
    </row>
    <row r="101">
      <c r="A101" s="17" t="inlineStr">
        <is>
          <t>12</t>
        </is>
      </c>
      <c r="B101" s="17" t="inlineStr">
        <is>
          <t>Contingent Liabilities</t>
        </is>
      </c>
      <c r="C101" s="17" t="inlineStr">
        <is>
          <t>Acceptances / endorsements</t>
        </is>
      </c>
      <c r="D101" s="17" t="inlineStr">
        <is>
          <t>BANK_CL_ACCEPT</t>
        </is>
      </c>
      <c r="E101" s="121" t="n">
        <v>0</v>
      </c>
      <c r="F101" s="121" t="n">
        <v>0</v>
      </c>
      <c r="G101" s="59" t="str"/>
    </row>
    <row r="102">
      <c r="A102" s="17" t="inlineStr">
        <is>
          <t>12</t>
        </is>
      </c>
      <c r="B102" s="17" t="inlineStr">
        <is>
          <t>Contingent Liabilities</t>
        </is>
      </c>
      <c r="C102" s="17" t="inlineStr">
        <is>
          <t>Other contingent liabilities</t>
        </is>
      </c>
      <c r="D102" s="17" t="inlineStr">
        <is>
          <t>BANK_CL_OTHER</t>
        </is>
      </c>
      <c r="E102" s="121" t="n">
        <v>0</v>
      </c>
      <c r="F102" s="121" t="n">
        <v>0</v>
      </c>
      <c r="G102" s="59" t="str"/>
    </row>
    <row r="103">
      <c r="A103" s="65" t="inlineStr">
        <is>
          <t>12</t>
        </is>
      </c>
      <c r="B103" s="65" t="inlineStr">
        <is>
          <t>Contingent Liabilities</t>
        </is>
      </c>
      <c r="C103" s="65" t="inlineStr">
        <is>
          <t>Total — Contingent Liabilities</t>
        </is>
      </c>
      <c r="D103" s="65" t="inlineStr">
        <is>
          <t>__TOTAL__</t>
        </is>
      </c>
      <c r="E103" s="122">
        <f>SUM(E97:E102)</f>
        <v/>
      </c>
      <c r="F103" s="122">
        <f>SUM(F97:F102)</f>
        <v/>
      </c>
      <c r="G103" s="65" t="str"/>
    </row>
    <row r="104">
      <c r="A104" s="17" t="inlineStr">
        <is>
          <t>13</t>
        </is>
      </c>
      <c r="B104" s="17" t="inlineStr">
        <is>
          <t>Interest Earned</t>
        </is>
      </c>
      <c r="C104" s="17" t="inlineStr">
        <is>
          <t>Interest / discount on advances / bills</t>
        </is>
      </c>
      <c r="D104" s="17" t="inlineStr">
        <is>
          <t>BANK_IE_ADV</t>
        </is>
      </c>
      <c r="E104" s="121" t="n">
        <v>0</v>
      </c>
      <c r="F104" s="121" t="n">
        <v>0</v>
      </c>
      <c r="G104" s="59" t="str"/>
    </row>
    <row r="105">
      <c r="A105" s="17" t="inlineStr">
        <is>
          <t>13</t>
        </is>
      </c>
      <c r="B105" s="17" t="inlineStr">
        <is>
          <t>Interest Earned</t>
        </is>
      </c>
      <c r="C105" s="17" t="inlineStr">
        <is>
          <t>Income on investments</t>
        </is>
      </c>
      <c r="D105" s="17" t="inlineStr">
        <is>
          <t>BANK_IE_INV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13</t>
        </is>
      </c>
      <c r="B106" s="17" t="inlineStr">
        <is>
          <t>Interest Earned</t>
        </is>
      </c>
      <c r="C106" s="17" t="inlineStr">
        <is>
          <t>Interest on balances with RBI / inter-bank</t>
        </is>
      </c>
      <c r="D106" s="17" t="inlineStr">
        <is>
          <t>BANK_IE_RBI</t>
        </is>
      </c>
      <c r="E106" s="121" t="n">
        <v>0</v>
      </c>
      <c r="F106" s="121" t="n">
        <v>0</v>
      </c>
      <c r="G106" s="59" t="str"/>
    </row>
    <row r="107">
      <c r="A107" s="17" t="inlineStr">
        <is>
          <t>13</t>
        </is>
      </c>
      <c r="B107" s="17" t="inlineStr">
        <is>
          <t>Interest Earned</t>
        </is>
      </c>
      <c r="C107" s="17" t="inlineStr">
        <is>
          <t>Other interest</t>
        </is>
      </c>
      <c r="D107" s="17" t="inlineStr">
        <is>
          <t>BANK_IE_OTHER</t>
        </is>
      </c>
      <c r="E107" s="121" t="n">
        <v>0</v>
      </c>
      <c r="F107" s="121" t="n">
        <v>0</v>
      </c>
      <c r="G107" s="59" t="str"/>
    </row>
    <row r="108">
      <c r="A108" s="65" t="inlineStr">
        <is>
          <t>13</t>
        </is>
      </c>
      <c r="B108" s="65" t="inlineStr">
        <is>
          <t>Interest Earned</t>
        </is>
      </c>
      <c r="C108" s="65" t="inlineStr">
        <is>
          <t>Total — Interest Earned</t>
        </is>
      </c>
      <c r="D108" s="65" t="inlineStr">
        <is>
          <t>__TOTAL__</t>
        </is>
      </c>
      <c r="E108" s="122">
        <f>SUM(E104:E107)</f>
        <v/>
      </c>
      <c r="F108" s="122">
        <f>SUM(F104:F107)</f>
        <v/>
      </c>
      <c r="G108" s="65" t="str"/>
    </row>
    <row r="109">
      <c r="A109" s="17" t="inlineStr">
        <is>
          <t>14</t>
        </is>
      </c>
      <c r="B109" s="17" t="inlineStr">
        <is>
          <t>Other Income</t>
        </is>
      </c>
      <c r="C109" s="17" t="inlineStr">
        <is>
          <t>Commission / exchange / brokerage</t>
        </is>
      </c>
      <c r="D109" s="17" t="inlineStr">
        <is>
          <t>BANK_OI_COMM</t>
        </is>
      </c>
      <c r="E109" s="121" t="n">
        <v>0</v>
      </c>
      <c r="F109" s="121" t="n">
        <v>0</v>
      </c>
      <c r="G109" s="59" t="str"/>
    </row>
    <row r="110">
      <c r="A110" s="17" t="inlineStr">
        <is>
          <t>14</t>
        </is>
      </c>
      <c r="B110" s="17" t="inlineStr">
        <is>
          <t>Other Income</t>
        </is>
      </c>
      <c r="C110" s="17" t="inlineStr">
        <is>
          <t>Profit / loss on sale of investments</t>
        </is>
      </c>
      <c r="D110" s="17" t="inlineStr">
        <is>
          <t>BANK_OI_INV</t>
        </is>
      </c>
      <c r="E110" s="121" t="n">
        <v>0</v>
      </c>
      <c r="F110" s="121" t="n">
        <v>0</v>
      </c>
      <c r="G110" s="59" t="str"/>
    </row>
    <row r="111">
      <c r="A111" s="17" t="inlineStr">
        <is>
          <t>14</t>
        </is>
      </c>
      <c r="B111" s="17" t="inlineStr">
        <is>
          <t>Other Income</t>
        </is>
      </c>
      <c r="C111" s="17" t="inlineStr">
        <is>
          <t>Profit / loss on revaluation</t>
        </is>
      </c>
      <c r="D111" s="17" t="inlineStr">
        <is>
          <t>BANK_OI_REVAL</t>
        </is>
      </c>
      <c r="E111" s="121" t="n">
        <v>0</v>
      </c>
      <c r="F111" s="121" t="n">
        <v>0</v>
      </c>
      <c r="G111" s="59" t="str"/>
    </row>
    <row r="112">
      <c r="A112" s="17" t="inlineStr">
        <is>
          <t>14</t>
        </is>
      </c>
      <c r="B112" s="17" t="inlineStr">
        <is>
          <t>Other Income</t>
        </is>
      </c>
      <c r="C112" s="17" t="inlineStr">
        <is>
          <t>Profit / loss on sale of land/buildings/assets</t>
        </is>
      </c>
      <c r="D112" s="17" t="inlineStr">
        <is>
          <t>BANK_OI_ASSET</t>
        </is>
      </c>
      <c r="E112" s="121" t="n">
        <v>0</v>
      </c>
      <c r="F112" s="121" t="n">
        <v>0</v>
      </c>
      <c r="G112" s="59" t="str"/>
    </row>
    <row r="113">
      <c r="A113" s="17" t="inlineStr">
        <is>
          <t>14</t>
        </is>
      </c>
      <c r="B113" s="17" t="inlineStr">
        <is>
          <t>Other Income</t>
        </is>
      </c>
      <c r="C113" s="17" t="inlineStr">
        <is>
          <t>Miscellaneous income</t>
        </is>
      </c>
      <c r="D113" s="17" t="inlineStr">
        <is>
          <t>BANK_OI_MISC</t>
        </is>
      </c>
      <c r="E113" s="121" t="n">
        <v>0</v>
      </c>
      <c r="F113" s="121" t="n">
        <v>0</v>
      </c>
      <c r="G113" s="59" t="str"/>
    </row>
    <row r="114">
      <c r="A114" s="65" t="inlineStr">
        <is>
          <t>14</t>
        </is>
      </c>
      <c r="B114" s="65" t="inlineStr">
        <is>
          <t>Other Income</t>
        </is>
      </c>
      <c r="C114" s="65" t="inlineStr">
        <is>
          <t>Total — Other Income</t>
        </is>
      </c>
      <c r="D114" s="65" t="inlineStr">
        <is>
          <t>__TOTAL__</t>
        </is>
      </c>
      <c r="E114" s="122">
        <f>SUM(E109:E113)</f>
        <v/>
      </c>
      <c r="F114" s="122">
        <f>SUM(F109:F113)</f>
        <v/>
      </c>
      <c r="G114" s="65" t="str"/>
    </row>
    <row r="115">
      <c r="A115" s="17" t="inlineStr">
        <is>
          <t>15</t>
        </is>
      </c>
      <c r="B115" s="17" t="inlineStr">
        <is>
          <t>Interest Expended</t>
        </is>
      </c>
      <c r="C115" s="17" t="inlineStr">
        <is>
          <t>Interest on deposits</t>
        </is>
      </c>
      <c r="D115" s="17" t="inlineStr">
        <is>
          <t>BANK_IX_DEP</t>
        </is>
      </c>
      <c r="E115" s="121" t="n">
        <v>0</v>
      </c>
      <c r="F115" s="121" t="n">
        <v>0</v>
      </c>
      <c r="G115" s="59" t="str"/>
    </row>
    <row r="116">
      <c r="A116" s="17" t="inlineStr">
        <is>
          <t>15</t>
        </is>
      </c>
      <c r="B116" s="17" t="inlineStr">
        <is>
          <t>Interest Expended</t>
        </is>
      </c>
      <c r="C116" s="17" t="inlineStr">
        <is>
          <t>Interest on RBI / inter-bank borrowings</t>
        </is>
      </c>
      <c r="D116" s="17" t="inlineStr">
        <is>
          <t>BANK_IX_RBI</t>
        </is>
      </c>
      <c r="E116" s="121" t="n">
        <v>0</v>
      </c>
      <c r="F116" s="121" t="n">
        <v>0</v>
      </c>
      <c r="G116" s="59" t="str"/>
    </row>
    <row r="117">
      <c r="A117" s="17" t="inlineStr">
        <is>
          <t>15</t>
        </is>
      </c>
      <c r="B117" s="17" t="inlineStr">
        <is>
          <t>Interest Expended</t>
        </is>
      </c>
      <c r="C117" s="17" t="inlineStr">
        <is>
          <t>Other interest</t>
        </is>
      </c>
      <c r="D117" s="17" t="inlineStr">
        <is>
          <t>BANK_IX_OTHER</t>
        </is>
      </c>
      <c r="E117" s="121" t="n">
        <v>0</v>
      </c>
      <c r="F117" s="121" t="n">
        <v>0</v>
      </c>
      <c r="G117" s="59" t="str"/>
    </row>
    <row r="118">
      <c r="A118" s="65" t="inlineStr">
        <is>
          <t>15</t>
        </is>
      </c>
      <c r="B118" s="65" t="inlineStr">
        <is>
          <t>Interest Expended</t>
        </is>
      </c>
      <c r="C118" s="65" t="inlineStr">
        <is>
          <t>Total — Interest Expended</t>
        </is>
      </c>
      <c r="D118" s="65" t="inlineStr">
        <is>
          <t>__TOTAL__</t>
        </is>
      </c>
      <c r="E118" s="122">
        <f>SUM(E115:E117)</f>
        <v/>
      </c>
      <c r="F118" s="122">
        <f>SUM(F115:F117)</f>
        <v/>
      </c>
      <c r="G118" s="65" t="str"/>
    </row>
    <row r="119">
      <c r="A119" s="17" t="inlineStr">
        <is>
          <t>16</t>
        </is>
      </c>
      <c r="B119" s="17" t="inlineStr">
        <is>
          <t>Operating Expenses</t>
        </is>
      </c>
      <c r="C119" s="17" t="inlineStr">
        <is>
          <t>Payments to employees</t>
        </is>
      </c>
      <c r="D119" s="17" t="inlineStr">
        <is>
          <t>BANK_OE_EMP</t>
        </is>
      </c>
      <c r="E119" s="121" t="n">
        <v>0</v>
      </c>
      <c r="F119" s="121" t="n">
        <v>0</v>
      </c>
      <c r="G119" s="59" t="str"/>
    </row>
    <row r="120">
      <c r="A120" s="17" t="inlineStr">
        <is>
          <t>16</t>
        </is>
      </c>
      <c r="B120" s="17" t="inlineStr">
        <is>
          <t>Operating Expenses</t>
        </is>
      </c>
      <c r="C120" s="17" t="inlineStr">
        <is>
          <t>Rent / taxes / lighting</t>
        </is>
      </c>
      <c r="D120" s="17" t="inlineStr">
        <is>
          <t>BANK_OE_RENT</t>
        </is>
      </c>
      <c r="E120" s="121" t="n">
        <v>0</v>
      </c>
      <c r="F120" s="121" t="n">
        <v>0</v>
      </c>
      <c r="G120" s="59" t="str"/>
    </row>
    <row r="121">
      <c r="A121" s="17" t="inlineStr">
        <is>
          <t>16</t>
        </is>
      </c>
      <c r="B121" s="17" t="inlineStr">
        <is>
          <t>Operating Expenses</t>
        </is>
      </c>
      <c r="C121" s="17" t="inlineStr">
        <is>
          <t>Printing / stationery</t>
        </is>
      </c>
      <c r="D121" s="17" t="inlineStr">
        <is>
          <t>BANK_OE_PRINT</t>
        </is>
      </c>
      <c r="E121" s="121" t="n">
        <v>0</v>
      </c>
      <c r="F121" s="121" t="n">
        <v>0</v>
      </c>
      <c r="G121" s="59" t="str"/>
    </row>
    <row r="122">
      <c r="A122" s="17" t="inlineStr">
        <is>
          <t>16</t>
        </is>
      </c>
      <c r="B122" s="17" t="inlineStr">
        <is>
          <t>Operating Expenses</t>
        </is>
      </c>
      <c r="C122" s="17" t="inlineStr">
        <is>
          <t>Advertisement / publicity</t>
        </is>
      </c>
      <c r="D122" s="17" t="inlineStr">
        <is>
          <t>BANK_OE_ADV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16</t>
        </is>
      </c>
      <c r="B123" s="17" t="inlineStr">
        <is>
          <t>Operating Expenses</t>
        </is>
      </c>
      <c r="C123" s="17" t="inlineStr">
        <is>
          <t>Depreciation</t>
        </is>
      </c>
      <c r="D123" s="17" t="inlineStr">
        <is>
          <t>BANK_OE_DEP</t>
        </is>
      </c>
      <c r="E123" s="121" t="n">
        <v>0</v>
      </c>
      <c r="F123" s="121" t="n">
        <v>0</v>
      </c>
      <c r="G123" s="59" t="str"/>
    </row>
    <row r="124">
      <c r="A124" s="17" t="inlineStr">
        <is>
          <t>16</t>
        </is>
      </c>
      <c r="B124" s="17" t="inlineStr">
        <is>
          <t>Operating Expenses</t>
        </is>
      </c>
      <c r="C124" s="17" t="inlineStr">
        <is>
          <t>Directors' fees</t>
        </is>
      </c>
      <c r="D124" s="17" t="inlineStr">
        <is>
          <t>BANK_OE_DIR</t>
        </is>
      </c>
      <c r="E124" s="121" t="n">
        <v>0</v>
      </c>
      <c r="F124" s="121" t="n">
        <v>0</v>
      </c>
      <c r="G124" s="59" t="str"/>
    </row>
    <row r="125">
      <c r="A125" s="17" t="inlineStr">
        <is>
          <t>16</t>
        </is>
      </c>
      <c r="B125" s="17" t="inlineStr">
        <is>
          <t>Operating Expenses</t>
        </is>
      </c>
      <c r="C125" s="17" t="inlineStr">
        <is>
          <t>Auditors' fees</t>
        </is>
      </c>
      <c r="D125" s="17" t="inlineStr">
        <is>
          <t>BANK_OE_AUD</t>
        </is>
      </c>
      <c r="E125" s="121" t="n">
        <v>0</v>
      </c>
      <c r="F125" s="121" t="n">
        <v>0</v>
      </c>
      <c r="G125" s="59" t="str"/>
    </row>
    <row r="126">
      <c r="A126" s="17" t="inlineStr">
        <is>
          <t>16</t>
        </is>
      </c>
      <c r="B126" s="17" t="inlineStr">
        <is>
          <t>Operating Expenses</t>
        </is>
      </c>
      <c r="C126" s="17" t="inlineStr">
        <is>
          <t>Law charges</t>
        </is>
      </c>
      <c r="D126" s="17" t="inlineStr">
        <is>
          <t>BANK_OE_LAW</t>
        </is>
      </c>
      <c r="E126" s="121" t="n">
        <v>0</v>
      </c>
      <c r="F126" s="121" t="n">
        <v>0</v>
      </c>
      <c r="G126" s="59" t="str"/>
    </row>
    <row r="127">
      <c r="A127" s="17" t="inlineStr">
        <is>
          <t>16</t>
        </is>
      </c>
      <c r="B127" s="17" t="inlineStr">
        <is>
          <t>Operating Expenses</t>
        </is>
      </c>
      <c r="C127" s="17" t="inlineStr">
        <is>
          <t>Postage / telecom</t>
        </is>
      </c>
      <c r="D127" s="17" t="inlineStr">
        <is>
          <t>BANK_OE_POST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16</t>
        </is>
      </c>
      <c r="B128" s="17" t="inlineStr">
        <is>
          <t>Operating Expenses</t>
        </is>
      </c>
      <c r="C128" s="17" t="inlineStr">
        <is>
          <t>Repairs / maintenance</t>
        </is>
      </c>
      <c r="D128" s="17" t="inlineStr">
        <is>
          <t>BANK_OE_REPAIR</t>
        </is>
      </c>
      <c r="E128" s="121" t="n">
        <v>0</v>
      </c>
      <c r="F128" s="121" t="n">
        <v>0</v>
      </c>
      <c r="G128" s="59" t="str"/>
    </row>
    <row r="129">
      <c r="A129" s="17" t="inlineStr">
        <is>
          <t>16</t>
        </is>
      </c>
      <c r="B129" s="17" t="inlineStr">
        <is>
          <t>Operating Expenses</t>
        </is>
      </c>
      <c r="C129" s="17" t="inlineStr">
        <is>
          <t>Insurance</t>
        </is>
      </c>
      <c r="D129" s="17" t="inlineStr">
        <is>
          <t>BANK_OE_INS</t>
        </is>
      </c>
      <c r="E129" s="121" t="n">
        <v>0</v>
      </c>
      <c r="F129" s="121" t="n">
        <v>0</v>
      </c>
      <c r="G129" s="59" t="str"/>
    </row>
    <row r="130">
      <c r="A130" s="17" t="inlineStr">
        <is>
          <t>16</t>
        </is>
      </c>
      <c r="B130" s="17" t="inlineStr">
        <is>
          <t>Operating Expenses</t>
        </is>
      </c>
      <c r="C130" s="17" t="inlineStr">
        <is>
          <t>Other expenditure</t>
        </is>
      </c>
      <c r="D130" s="17" t="inlineStr">
        <is>
          <t>BANK_OE_OTHER</t>
        </is>
      </c>
      <c r="E130" s="121" t="n">
        <v>0</v>
      </c>
      <c r="F130" s="121" t="n">
        <v>0</v>
      </c>
      <c r="G130" s="59" t="str"/>
    </row>
    <row r="131">
      <c r="A131" s="65" t="inlineStr">
        <is>
          <t>16</t>
        </is>
      </c>
      <c r="B131" s="65" t="inlineStr">
        <is>
          <t>Operating Expenses</t>
        </is>
      </c>
      <c r="C131" s="65" t="inlineStr">
        <is>
          <t>Total — Operating Expenses</t>
        </is>
      </c>
      <c r="D131" s="65" t="inlineStr">
        <is>
          <t>__TOTAL__</t>
        </is>
      </c>
      <c r="E131" s="122">
        <f>SUM(E119:E130)</f>
        <v/>
      </c>
      <c r="F131" s="122">
        <f>SUM(F119:F130)</f>
        <v/>
      </c>
      <c r="G131" s="65" t="str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</row>
    <row r="134" ht="26" customHeight="1" s="82">
      <c r="A134" s="79" t="inlineStr">
        <is>
          <t>Validation</t>
        </is>
      </c>
      <c r="B134" s="1" t="n"/>
      <c r="C134" s="1" t="n"/>
      <c r="D134" s="1" t="n"/>
      <c r="E134" s="17" t="n"/>
      <c r="F134" s="17" t="n"/>
      <c r="G134" s="17" t="n"/>
    </row>
    <row r="135">
      <c r="A135" s="14" t="inlineStr">
        <is>
          <t>Check</t>
        </is>
      </c>
      <c r="B135" s="14" t="inlineStr">
        <is>
          <t>Current Period</t>
        </is>
      </c>
      <c r="C135" s="14" t="inlineStr">
        <is>
          <t>Previous Period</t>
        </is>
      </c>
      <c r="D135" s="14" t="inlineStr">
        <is>
          <t>Result</t>
        </is>
      </c>
      <c r="E135" s="17" t="n"/>
      <c r="F135" s="17" t="n"/>
      <c r="G135" s="17" t="n"/>
    </row>
    <row r="136">
      <c r="A136" s="17" t="inlineStr">
        <is>
          <t>Balance Sheet difference</t>
        </is>
      </c>
      <c r="B136" s="17">
        <f>C22-C14</f>
        <v/>
      </c>
      <c r="C136" s="17">
        <f>D22-D14</f>
        <v/>
      </c>
      <c r="D136" s="17">
        <f>IF(AND(ABS(B136)&lt;1,ABS(C136)&lt;1),"PASS","CHECK")</f>
        <v/>
      </c>
      <c r="E136" s="17" t="n"/>
      <c r="F136" s="17" t="n"/>
      <c r="G136" s="17" t="n"/>
    </row>
    <row r="137">
      <c r="A137" s="17" t="inlineStr">
        <is>
          <t>Notes / disclosures</t>
        </is>
      </c>
      <c r="B137" s="17" t="inlineStr">
        <is>
          <t>Review</t>
        </is>
      </c>
      <c r="C137" s="17" t="inlineStr">
        <is>
          <t>Review</t>
        </is>
      </c>
      <c r="D137" s="17" t="inlineStr">
        <is>
          <t>Review</t>
        </is>
      </c>
      <c r="E137" s="17" t="n"/>
      <c r="F137" s="17" t="n"/>
      <c r="G137" s="17" t="n"/>
    </row>
    <row r="138">
      <c r="A138" s="17" t="inlineStr">
        <is>
          <t>Profile readiness</t>
        </is>
      </c>
      <c r="B138" s="17" t="str"/>
      <c r="C138" s="17" t="str"/>
      <c r="D138" s="17">
        <f>IF(D136="PASS","READY FOR REVIEW","NOT READY")</f>
        <v/>
      </c>
      <c r="E138" s="17" t="n"/>
      <c r="F138" s="17" t="n"/>
      <c r="G138" s="17" t="n"/>
    </row>
    <row r="139"/>
    <row r="140"/>
    <row r="141"/>
    <row r="142">
      <c r="A142" s="101" t="inlineStr">
        <is>
          <t>Signatures / Certification</t>
        </is>
      </c>
      <c r="B142" s="101" t="str"/>
      <c r="C142" s="101" t="str"/>
      <c r="D142" s="101" t="str"/>
      <c r="E142" s="101" t="str"/>
      <c r="F142" s="101" t="str"/>
    </row>
    <row r="143">
      <c r="A143" s="112" t="inlineStr">
        <is>
          <t>Entity Signatory</t>
        </is>
      </c>
      <c r="B143" s="104">
        <f>'AAH Basic Info'!B13</f>
        <v/>
      </c>
      <c r="C143" s="115" t="inlineStr">
        <is>
          <t>Designation</t>
        </is>
      </c>
      <c r="D143" s="104">
        <f>'AAH Basic Info'!B14</f>
        <v/>
      </c>
      <c r="E143" s="115" t="inlineStr">
        <is>
          <t>DIN</t>
        </is>
      </c>
      <c r="F143" s="105">
        <f>'AAH Basic Info'!B15</f>
        <v/>
      </c>
    </row>
    <row r="144">
      <c r="A144" s="113" t="inlineStr">
        <is>
          <t>Signing Date</t>
        </is>
      </c>
      <c r="B144" s="107">
        <f>'AAH Basic Info'!B16</f>
        <v/>
      </c>
      <c r="C144" s="116" t="inlineStr">
        <is>
          <t>Place</t>
        </is>
      </c>
      <c r="D144" s="107">
        <f>'AAH Basic Info'!B17</f>
        <v/>
      </c>
      <c r="E144" s="116" t="str"/>
      <c r="F144" s="108" t="str"/>
    </row>
    <row r="145">
      <c r="A145" s="113" t="inlineStr">
        <is>
          <t>Audit Firm</t>
        </is>
      </c>
      <c r="B145" s="107">
        <f>'AAH Basic Info'!B18</f>
        <v/>
      </c>
      <c r="C145" s="116" t="inlineStr">
        <is>
          <t>FRN</t>
        </is>
      </c>
      <c r="D145" s="107">
        <f>'AAH Basic Info'!B19</f>
        <v/>
      </c>
      <c r="E145" s="116" t="str"/>
      <c r="F145" s="108" t="str"/>
    </row>
    <row r="146">
      <c r="A146" s="113" t="inlineStr">
        <is>
          <t>Signing CA</t>
        </is>
      </c>
      <c r="B146" s="107">
        <f>'AAH Basic Info'!B20</f>
        <v/>
      </c>
      <c r="C146" s="116" t="inlineStr">
        <is>
          <t>Designation</t>
        </is>
      </c>
      <c r="D146" s="107">
        <f>'AAH Basic Info'!B21</f>
        <v/>
      </c>
      <c r="E146" s="116" t="inlineStr">
        <is>
          <t>Membership No.</t>
        </is>
      </c>
      <c r="F146" s="108">
        <f>'AAH Basic Info'!B22</f>
        <v/>
      </c>
    </row>
    <row r="147">
      <c r="A147" s="114" t="inlineStr">
        <is>
          <t>Audit Place</t>
        </is>
      </c>
      <c r="B147" s="110">
        <f>'AAH Basic Info'!B23</f>
        <v/>
      </c>
      <c r="C147" s="117" t="inlineStr">
        <is>
          <t>Signing Date</t>
        </is>
      </c>
      <c r="D147" s="110">
        <f>'AAH Basic Info'!B30</f>
        <v/>
      </c>
      <c r="E147" s="117" t="str"/>
      <c r="F147" s="111" t="str"/>
    </row>
  </sheetData>
  <mergeCells count="6">
    <mergeCell ref="A27:D27"/>
    <mergeCell ref="A1:G1"/>
    <mergeCell ref="A6:D6"/>
    <mergeCell ref="A134:D134"/>
    <mergeCell ref="A2:G2"/>
    <mergeCell ref="A43:G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Co-operative Bank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RBI / Banking Regulation Act as adapted | Official source: https://www.rbi.org.in/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Form A —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Schedule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CAPITAL AND LIABILITIES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Capital</t>
        </is>
      </c>
      <c r="B9" s="17" t="inlineStr">
        <is>
          <t>1</t>
        </is>
      </c>
      <c r="C9" s="120">
        <f>E47</f>
        <v/>
      </c>
      <c r="D9" s="120">
        <f>F47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E53</f>
        <v/>
      </c>
      <c r="D10" s="120">
        <f>F53</f>
        <v/>
      </c>
      <c r="E10" s="17" t="n"/>
      <c r="F10" s="17" t="n"/>
      <c r="G10" s="17" t="n"/>
    </row>
    <row r="11">
      <c r="A11" s="17" t="inlineStr">
        <is>
          <t>Deposits</t>
        </is>
      </c>
      <c r="B11" s="17" t="inlineStr">
        <is>
          <t>3</t>
        </is>
      </c>
      <c r="C11" s="120">
        <f>E57</f>
        <v/>
      </c>
      <c r="D11" s="120">
        <f>F57</f>
        <v/>
      </c>
      <c r="E11" s="17" t="n"/>
      <c r="F11" s="17" t="n"/>
      <c r="G11" s="17" t="n"/>
    </row>
    <row r="12">
      <c r="A12" s="17" t="inlineStr">
        <is>
          <t>Borrowings</t>
        </is>
      </c>
      <c r="B12" s="17" t="inlineStr">
        <is>
          <t>4</t>
        </is>
      </c>
      <c r="C12" s="120">
        <f>E60</f>
        <v/>
      </c>
      <c r="D12" s="120">
        <f>F60</f>
        <v/>
      </c>
      <c r="E12" s="17" t="n"/>
      <c r="F12" s="17" t="n"/>
      <c r="G12" s="17" t="n"/>
    </row>
    <row r="13">
      <c r="A13" s="17" t="inlineStr">
        <is>
          <t>Other Liabilities and Provisions</t>
        </is>
      </c>
      <c r="B13" s="17" t="inlineStr">
        <is>
          <t>5</t>
        </is>
      </c>
      <c r="C13" s="120">
        <f>E66</f>
        <v/>
      </c>
      <c r="D13" s="120">
        <f>F66</f>
        <v/>
      </c>
      <c r="E13" s="17" t="n"/>
      <c r="F13" s="17" t="n"/>
      <c r="G13" s="17" t="n"/>
    </row>
    <row r="14">
      <c r="A14" s="65" t="inlineStr">
        <is>
          <t>TOTAL CAPITAL AND LIABILITIES</t>
        </is>
      </c>
      <c r="B14" s="65" t="str"/>
      <c r="C14" s="122">
        <f>SUM(C9,C10,C11,C12,C13)</f>
        <v/>
      </c>
      <c r="D14" s="122">
        <f>SUM(D9,D10,D11,D12,D13)</f>
        <v/>
      </c>
      <c r="E14" s="17" t="n"/>
      <c r="F14" s="17" t="n"/>
      <c r="G14" s="17" t="n"/>
    </row>
    <row r="15">
      <c r="A15" s="42" t="inlineStr">
        <is>
          <t>ASSETS</t>
        </is>
      </c>
      <c r="B15" s="42" t="str"/>
      <c r="C15" s="118" t="n"/>
      <c r="D15" s="118" t="n"/>
      <c r="E15" s="17" t="n"/>
      <c r="F15" s="17" t="n"/>
      <c r="G15" s="17" t="n"/>
    </row>
    <row r="16">
      <c r="A16" s="17" t="inlineStr">
        <is>
          <t>Cash and Balances with Reserve Bank of India</t>
        </is>
      </c>
      <c r="B16" s="17" t="inlineStr">
        <is>
          <t>6</t>
        </is>
      </c>
      <c r="C16" s="120">
        <f>E69</f>
        <v/>
      </c>
      <c r="D16" s="120">
        <f>F69</f>
        <v/>
      </c>
      <c r="E16" s="17" t="n"/>
      <c r="F16" s="17" t="n"/>
      <c r="G16" s="17" t="n"/>
    </row>
    <row r="17">
      <c r="A17" s="17" t="inlineStr">
        <is>
          <t>Balances with Banks and Money at Call and Short Notice</t>
        </is>
      </c>
      <c r="B17" s="17" t="inlineStr">
        <is>
          <t>7</t>
        </is>
      </c>
      <c r="C17" s="120">
        <f>E73</f>
        <v/>
      </c>
      <c r="D17" s="120">
        <f>F73</f>
        <v/>
      </c>
      <c r="E17" s="17" t="n"/>
      <c r="F17" s="17" t="n"/>
      <c r="G17" s="17" t="n"/>
    </row>
    <row r="18">
      <c r="A18" s="17" t="inlineStr">
        <is>
          <t>Investments</t>
        </is>
      </c>
      <c r="B18" s="17" t="inlineStr">
        <is>
          <t>8</t>
        </is>
      </c>
      <c r="C18" s="120">
        <f>E80</f>
        <v/>
      </c>
      <c r="D18" s="120">
        <f>F80</f>
        <v/>
      </c>
      <c r="E18" s="17" t="n"/>
      <c r="F18" s="17" t="n"/>
      <c r="G18" s="17" t="n"/>
    </row>
    <row r="19">
      <c r="A19" s="17" t="inlineStr">
        <is>
          <t>Advances</t>
        </is>
      </c>
      <c r="B19" s="17" t="inlineStr">
        <is>
          <t>9</t>
        </is>
      </c>
      <c r="C19" s="120">
        <f>E85</f>
        <v/>
      </c>
      <c r="D19" s="120">
        <f>F85</f>
        <v/>
      </c>
      <c r="E19" s="17" t="n"/>
      <c r="F19" s="17" t="n"/>
      <c r="G19" s="17" t="n"/>
    </row>
    <row r="20">
      <c r="A20" s="17" t="inlineStr">
        <is>
          <t>Fixed Assets</t>
        </is>
      </c>
      <c r="B20" s="17" t="inlineStr">
        <is>
          <t>10</t>
        </is>
      </c>
      <c r="C20" s="120">
        <f>E89</f>
        <v/>
      </c>
      <c r="D20" s="120">
        <f>F89</f>
        <v/>
      </c>
      <c r="E20" s="17" t="n"/>
      <c r="F20" s="17" t="n"/>
      <c r="G20" s="17" t="n"/>
    </row>
    <row r="21">
      <c r="A21" s="17" t="inlineStr">
        <is>
          <t>Other Assets</t>
        </is>
      </c>
      <c r="B21" s="17" t="inlineStr">
        <is>
          <t>11</t>
        </is>
      </c>
      <c r="C21" s="120">
        <f>E96</f>
        <v/>
      </c>
      <c r="D21" s="120">
        <f>F96</f>
        <v/>
      </c>
      <c r="E21" s="17" t="n"/>
      <c r="F21" s="17" t="n"/>
      <c r="G21" s="17" t="n"/>
    </row>
    <row r="22">
      <c r="A22" s="65" t="inlineStr">
        <is>
          <t>TOTAL ASSETS</t>
        </is>
      </c>
      <c r="B22" s="65" t="str"/>
      <c r="C22" s="122">
        <f>SUM(C16,C17,C18,C19,C20,C21)</f>
        <v/>
      </c>
      <c r="D22" s="122">
        <f>SUM(D16,D17,D18,D19,D20,D21)</f>
        <v/>
      </c>
      <c r="E22" s="17" t="n"/>
      <c r="F22" s="17" t="n"/>
      <c r="G22" s="17" t="n"/>
    </row>
    <row r="23">
      <c r="A23" s="42" t="inlineStr">
        <is>
          <t>CONTINGENT LIABILITIES</t>
        </is>
      </c>
      <c r="B23" s="42" t="str"/>
      <c r="C23" s="118" t="n"/>
      <c r="D23" s="118" t="n"/>
      <c r="E23" s="17" t="n"/>
      <c r="F23" s="17" t="n"/>
      <c r="G23" s="17" t="n"/>
    </row>
    <row r="24">
      <c r="A24" s="17" t="inlineStr">
        <is>
          <t>Contingent Liabilities</t>
        </is>
      </c>
      <c r="B24" s="17" t="inlineStr">
        <is>
          <t>12</t>
        </is>
      </c>
      <c r="C24" s="120">
        <f>E103</f>
        <v/>
      </c>
      <c r="D24" s="120">
        <f>F103</f>
        <v/>
      </c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17" t="n"/>
      <c r="B26" s="17" t="n"/>
      <c r="C26" s="120" t="n"/>
      <c r="D26" s="120" t="n"/>
      <c r="E26" s="17" t="n"/>
      <c r="F26" s="17" t="n"/>
      <c r="G26" s="17" t="n"/>
    </row>
    <row r="27">
      <c r="A27" s="71" t="inlineStr">
        <is>
          <t>Form B — Profit and Loss Account</t>
        </is>
      </c>
      <c r="B27" s="1" t="n"/>
      <c r="C27" s="1" t="n"/>
      <c r="D27" s="1" t="n"/>
      <c r="E27" s="17" t="n"/>
      <c r="F27" s="17" t="n"/>
      <c r="G27" s="17" t="n"/>
    </row>
    <row r="28">
      <c r="A28" s="14" t="inlineStr">
        <is>
          <t>Particulars</t>
        </is>
      </c>
      <c r="B28" s="14" t="inlineStr">
        <is>
          <t>Schedule</t>
        </is>
      </c>
      <c r="C28" s="123" t="inlineStr">
        <is>
          <t>Current Reporting Period</t>
        </is>
      </c>
      <c r="D28" s="123" t="inlineStr">
        <is>
          <t>Previous Reporting Period</t>
        </is>
      </c>
      <c r="E28" s="17" t="n"/>
      <c r="F28" s="17" t="n"/>
      <c r="G28" s="17" t="n"/>
    </row>
    <row r="29">
      <c r="A29" s="42" t="inlineStr">
        <is>
          <t>INCOME</t>
        </is>
      </c>
      <c r="B29" s="42" t="str"/>
      <c r="C29" s="118" t="n"/>
      <c r="D29" s="118" t="n"/>
      <c r="E29" s="17" t="n"/>
      <c r="F29" s="17" t="n"/>
      <c r="G29" s="17" t="n"/>
    </row>
    <row r="30">
      <c r="A30" s="17" t="inlineStr">
        <is>
          <t>Interest Earned</t>
        </is>
      </c>
      <c r="B30" s="17" t="inlineStr">
        <is>
          <t>13</t>
        </is>
      </c>
      <c r="C30" s="120">
        <f>E108</f>
        <v/>
      </c>
      <c r="D30" s="120">
        <f>F108</f>
        <v/>
      </c>
      <c r="E30" s="17" t="n"/>
      <c r="F30" s="17" t="n"/>
      <c r="G30" s="17" t="n"/>
    </row>
    <row r="31">
      <c r="A31" s="17" t="inlineStr">
        <is>
          <t>Other Income</t>
        </is>
      </c>
      <c r="B31" s="17" t="inlineStr">
        <is>
          <t>14</t>
        </is>
      </c>
      <c r="C31" s="120">
        <f>E114</f>
        <v/>
      </c>
      <c r="D31" s="120">
        <f>F114</f>
        <v/>
      </c>
      <c r="E31" s="17" t="n"/>
      <c r="F31" s="17" t="n"/>
      <c r="G31" s="17" t="n"/>
    </row>
    <row r="32">
      <c r="A32" s="65" t="inlineStr">
        <is>
          <t>TOTAL INCOME</t>
        </is>
      </c>
      <c r="B32" s="65" t="str"/>
      <c r="C32" s="122">
        <f>SUM(C30,C31)</f>
        <v/>
      </c>
      <c r="D32" s="122">
        <f>SUM(D30,D31)</f>
        <v/>
      </c>
      <c r="E32" s="17" t="n"/>
      <c r="F32" s="17" t="n"/>
      <c r="G32" s="17" t="n"/>
    </row>
    <row r="33">
      <c r="A33" s="42" t="inlineStr">
        <is>
          <t>EXPENDITURE</t>
        </is>
      </c>
      <c r="B33" s="42" t="str"/>
      <c r="C33" s="118" t="n"/>
      <c r="D33" s="118" t="n"/>
      <c r="E33" s="17" t="n"/>
      <c r="F33" s="17" t="n"/>
      <c r="G33" s="17" t="n"/>
    </row>
    <row r="34">
      <c r="A34" s="17" t="inlineStr">
        <is>
          <t>Interest Expended</t>
        </is>
      </c>
      <c r="B34" s="17" t="inlineStr">
        <is>
          <t>15</t>
        </is>
      </c>
      <c r="C34" s="120">
        <f>E118</f>
        <v/>
      </c>
      <c r="D34" s="120">
        <f>F118</f>
        <v/>
      </c>
      <c r="E34" s="17" t="n"/>
      <c r="F34" s="17" t="n"/>
      <c r="G34" s="17" t="n"/>
    </row>
    <row r="35">
      <c r="A35" s="17" t="inlineStr">
        <is>
          <t>Operating Expenses</t>
        </is>
      </c>
      <c r="B35" s="17" t="inlineStr">
        <is>
          <t>16</t>
        </is>
      </c>
      <c r="C35" s="120">
        <f>E131</f>
        <v/>
      </c>
      <c r="D35" s="120">
        <f>F131</f>
        <v/>
      </c>
      <c r="E35" s="17" t="n"/>
      <c r="F35" s="17" t="n"/>
      <c r="G35" s="17" t="n"/>
    </row>
    <row r="36">
      <c r="A36" s="17" t="inlineStr">
        <is>
          <t>Provisions and Contingencies</t>
        </is>
      </c>
      <c r="B36" s="17" t="inlineStr">
        <is>
          <t>—</t>
        </is>
      </c>
      <c r="C36" s="121" t="n"/>
      <c r="D36" s="121" t="n"/>
      <c r="E36" s="17" t="n"/>
      <c r="F36" s="17" t="n"/>
      <c r="G36" s="17" t="n"/>
    </row>
    <row r="37">
      <c r="A37" s="65" t="inlineStr">
        <is>
          <t>TOTAL EXPENDITURE</t>
        </is>
      </c>
      <c r="B37" s="65" t="str"/>
      <c r="C37" s="122">
        <f>SUM(C34,C35)</f>
        <v/>
      </c>
      <c r="D37" s="122">
        <f>SUM(D34,D35)</f>
        <v/>
      </c>
      <c r="E37" s="17" t="n"/>
      <c r="F37" s="17" t="n"/>
      <c r="G37" s="17" t="n"/>
    </row>
    <row r="38">
      <c r="A38" s="65" t="inlineStr">
        <is>
          <t>Profit / (Loss) before Tax</t>
        </is>
      </c>
      <c r="B38" s="65" t="str"/>
      <c r="C38" s="122">
        <f>C32-C37</f>
        <v/>
      </c>
      <c r="D38" s="122">
        <f>D32-D37</f>
        <v/>
      </c>
      <c r="E38" s="17" t="n"/>
      <c r="F38" s="17" t="n"/>
      <c r="G38" s="17" t="n"/>
    </row>
    <row r="39">
      <c r="A39" s="17" t="inlineStr">
        <is>
          <t>Tax</t>
        </is>
      </c>
      <c r="B39" s="17" t="inlineStr">
        <is>
          <t>—</t>
        </is>
      </c>
      <c r="C39" s="121" t="n"/>
      <c r="D39" s="121" t="n"/>
      <c r="E39" s="17" t="n"/>
      <c r="F39" s="17" t="n"/>
      <c r="G39" s="17" t="n"/>
    </row>
    <row r="40">
      <c r="A40" s="65" t="inlineStr">
        <is>
          <t>Net Profit / (Loss)</t>
        </is>
      </c>
      <c r="B40" s="65" t="str"/>
      <c r="C40" s="122">
        <f>C38-SUM(C39)</f>
        <v/>
      </c>
      <c r="D40" s="122">
        <f>D38-SUM(D39)</f>
        <v/>
      </c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 ht="26" customHeight="1" s="82">
      <c r="A43" s="79" t="inlineStr">
        <is>
          <t>Notes / Schedules — linked source for face statements</t>
        </is>
      </c>
      <c r="B43" s="1" t="n"/>
      <c r="C43" s="1" t="n"/>
      <c r="D43" s="1" t="n"/>
      <c r="E43" s="1" t="n"/>
      <c r="F43" s="1" t="n"/>
      <c r="G43" s="1" t="n"/>
    </row>
    <row r="44">
      <c r="A44" s="14" t="inlineStr">
        <is>
          <t>Note</t>
        </is>
      </c>
      <c r="B44" s="14" t="inlineStr">
        <is>
          <t>Note Title</t>
        </is>
      </c>
      <c r="C44" s="14" t="inlineStr">
        <is>
          <t>Statutory Line Item</t>
        </is>
      </c>
      <c r="D44" s="14" t="inlineStr">
        <is>
          <t>AAH Mapping Key</t>
        </is>
      </c>
      <c r="E44" s="14" t="inlineStr">
        <is>
          <t>Current Period</t>
        </is>
      </c>
      <c r="F44" s="14" t="inlineStr">
        <is>
          <t>Previous Period</t>
        </is>
      </c>
      <c r="G44" s="14" t="inlineStr">
        <is>
          <t>Disclosure / Remarks</t>
        </is>
      </c>
    </row>
    <row r="45">
      <c r="A45" s="17" t="inlineStr">
        <is>
          <t>1</t>
        </is>
      </c>
      <c r="B45" s="17" t="inlineStr">
        <is>
          <t>Capital</t>
        </is>
      </c>
      <c r="C45" s="17" t="inlineStr">
        <is>
          <t>Authorised capital</t>
        </is>
      </c>
      <c r="D45" s="17" t="inlineStr">
        <is>
          <t>BANK_CAP_AUTH</t>
        </is>
      </c>
      <c r="E45" s="121" t="n">
        <v>0</v>
      </c>
      <c r="F45" s="121" t="n">
        <v>0</v>
      </c>
      <c r="G45" s="59" t="str"/>
    </row>
    <row r="46">
      <c r="A46" s="17" t="inlineStr">
        <is>
          <t>1</t>
        </is>
      </c>
      <c r="B46" s="17" t="inlineStr">
        <is>
          <t>Capital</t>
        </is>
      </c>
      <c r="C46" s="17" t="inlineStr">
        <is>
          <t>Issued / subscribed / paid-up capital</t>
        </is>
      </c>
      <c r="D46" s="17" t="inlineStr">
        <is>
          <t>BANK_CAP_PAID</t>
        </is>
      </c>
      <c r="E46" s="121" t="n">
        <v>0</v>
      </c>
      <c r="F46" s="121" t="n">
        <v>0</v>
      </c>
      <c r="G46" s="59" t="str"/>
    </row>
    <row r="47">
      <c r="A47" s="65" t="inlineStr">
        <is>
          <t>1</t>
        </is>
      </c>
      <c r="B47" s="65" t="inlineStr">
        <is>
          <t>Capital</t>
        </is>
      </c>
      <c r="C47" s="65" t="inlineStr">
        <is>
          <t>Total — Capital</t>
        </is>
      </c>
      <c r="D47" s="65" t="inlineStr">
        <is>
          <t>__TOTAL__</t>
        </is>
      </c>
      <c r="E47" s="122">
        <f>SUM(E45:E46)</f>
        <v/>
      </c>
      <c r="F47" s="122">
        <f>SUM(F45:F46)</f>
        <v/>
      </c>
      <c r="G47" s="65" t="str"/>
    </row>
    <row r="48">
      <c r="A48" s="17" t="inlineStr">
        <is>
          <t>2</t>
        </is>
      </c>
      <c r="B48" s="17" t="inlineStr">
        <is>
          <t>Reserves and Surplus</t>
        </is>
      </c>
      <c r="C48" s="17" t="inlineStr">
        <is>
          <t>Statutory reserve</t>
        </is>
      </c>
      <c r="D48" s="17" t="inlineStr">
        <is>
          <t>BANK_RES_STAT</t>
        </is>
      </c>
      <c r="E48" s="121" t="n">
        <v>0</v>
      </c>
      <c r="F48" s="121" t="n">
        <v>0</v>
      </c>
      <c r="G48" s="59" t="str"/>
    </row>
    <row r="49">
      <c r="A49" s="17" t="inlineStr">
        <is>
          <t>2</t>
        </is>
      </c>
      <c r="B49" s="17" t="inlineStr">
        <is>
          <t>Reserves and Surplus</t>
        </is>
      </c>
      <c r="C49" s="17" t="inlineStr">
        <is>
          <t>Capital reserve</t>
        </is>
      </c>
      <c r="D49" s="17" t="inlineStr">
        <is>
          <t>BANK_RES_CAP</t>
        </is>
      </c>
      <c r="E49" s="121" t="n">
        <v>0</v>
      </c>
      <c r="F49" s="121" t="n">
        <v>0</v>
      </c>
      <c r="G49" s="59" t="str"/>
    </row>
    <row r="50">
      <c r="A50" s="17" t="inlineStr">
        <is>
          <t>2</t>
        </is>
      </c>
      <c r="B50" s="17" t="inlineStr">
        <is>
          <t>Reserves and Surplus</t>
        </is>
      </c>
      <c r="C50" s="17" t="inlineStr">
        <is>
          <t>Share premium</t>
        </is>
      </c>
      <c r="D50" s="17" t="inlineStr">
        <is>
          <t>BANK_RES_SP</t>
        </is>
      </c>
      <c r="E50" s="121" t="n">
        <v>0</v>
      </c>
      <c r="F50" s="121" t="n">
        <v>0</v>
      </c>
      <c r="G50" s="59" t="str"/>
    </row>
    <row r="51">
      <c r="A51" s="17" t="inlineStr">
        <is>
          <t>2</t>
        </is>
      </c>
      <c r="B51" s="17" t="inlineStr">
        <is>
          <t>Reserves and Surplus</t>
        </is>
      </c>
      <c r="C51" s="17" t="inlineStr">
        <is>
          <t>Revenue / other reserves</t>
        </is>
      </c>
      <c r="D51" s="17" t="inlineStr">
        <is>
          <t>BANK_RES_OTHER</t>
        </is>
      </c>
      <c r="E51" s="121" t="n">
        <v>0</v>
      </c>
      <c r="F51" s="121" t="n">
        <v>0</v>
      </c>
      <c r="G51" s="59" t="str"/>
    </row>
    <row r="52">
      <c r="A52" s="17" t="inlineStr">
        <is>
          <t>2</t>
        </is>
      </c>
      <c r="B52" s="17" t="inlineStr">
        <is>
          <t>Reserves and Surplus</t>
        </is>
      </c>
      <c r="C52" s="17" t="inlineStr">
        <is>
          <t>Balance in P&amp;L</t>
        </is>
      </c>
      <c r="D52" s="17" t="inlineStr">
        <is>
          <t>BANK_RES_PL</t>
        </is>
      </c>
      <c r="E52" s="121" t="n">
        <v>0</v>
      </c>
      <c r="F52" s="121" t="n">
        <v>0</v>
      </c>
      <c r="G52" s="59" t="str"/>
    </row>
    <row r="53">
      <c r="A53" s="65" t="inlineStr">
        <is>
          <t>2</t>
        </is>
      </c>
      <c r="B53" s="65" t="inlineStr">
        <is>
          <t>Reserves and Surplus</t>
        </is>
      </c>
      <c r="C53" s="65" t="inlineStr">
        <is>
          <t>Total — Reserves and Surplus</t>
        </is>
      </c>
      <c r="D53" s="65" t="inlineStr">
        <is>
          <t>__TOTAL__</t>
        </is>
      </c>
      <c r="E53" s="122">
        <f>SUM(E48:E52)</f>
        <v/>
      </c>
      <c r="F53" s="122">
        <f>SUM(F48:F52)</f>
        <v/>
      </c>
      <c r="G53" s="65" t="str"/>
    </row>
    <row r="54">
      <c r="A54" s="17" t="inlineStr">
        <is>
          <t>3</t>
        </is>
      </c>
      <c r="B54" s="17" t="inlineStr">
        <is>
          <t>Deposits</t>
        </is>
      </c>
      <c r="C54" s="17" t="inlineStr">
        <is>
          <t>Demand deposits</t>
        </is>
      </c>
      <c r="D54" s="17" t="inlineStr">
        <is>
          <t>BANK_DEP_DEM</t>
        </is>
      </c>
      <c r="E54" s="121" t="n">
        <v>0</v>
      </c>
      <c r="F54" s="121" t="n">
        <v>0</v>
      </c>
      <c r="G54" s="59" t="str"/>
    </row>
    <row r="55">
      <c r="A55" s="17" t="inlineStr">
        <is>
          <t>3</t>
        </is>
      </c>
      <c r="B55" s="17" t="inlineStr">
        <is>
          <t>Deposits</t>
        </is>
      </c>
      <c r="C55" s="17" t="inlineStr">
        <is>
          <t>Savings bank deposits</t>
        </is>
      </c>
      <c r="D55" s="17" t="inlineStr">
        <is>
          <t>BANK_DEP_SAV</t>
        </is>
      </c>
      <c r="E55" s="121" t="n">
        <v>0</v>
      </c>
      <c r="F55" s="121" t="n">
        <v>0</v>
      </c>
      <c r="G55" s="59" t="str"/>
    </row>
    <row r="56">
      <c r="A56" s="17" t="inlineStr">
        <is>
          <t>3</t>
        </is>
      </c>
      <c r="B56" s="17" t="inlineStr">
        <is>
          <t>Deposits</t>
        </is>
      </c>
      <c r="C56" s="17" t="inlineStr">
        <is>
          <t>Term deposits</t>
        </is>
      </c>
      <c r="D56" s="17" t="inlineStr">
        <is>
          <t>BANK_DEP_TERM</t>
        </is>
      </c>
      <c r="E56" s="121" t="n">
        <v>0</v>
      </c>
      <c r="F56" s="121" t="n">
        <v>0</v>
      </c>
      <c r="G56" s="59" t="str"/>
    </row>
    <row r="57">
      <c r="A57" s="65" t="inlineStr">
        <is>
          <t>3</t>
        </is>
      </c>
      <c r="B57" s="65" t="inlineStr">
        <is>
          <t>Deposits</t>
        </is>
      </c>
      <c r="C57" s="65" t="inlineStr">
        <is>
          <t>Total — Deposits</t>
        </is>
      </c>
      <c r="D57" s="65" t="inlineStr">
        <is>
          <t>__TOTAL__</t>
        </is>
      </c>
      <c r="E57" s="122">
        <f>SUM(E54:E56)</f>
        <v/>
      </c>
      <c r="F57" s="122">
        <f>SUM(F54:F56)</f>
        <v/>
      </c>
      <c r="G57" s="65" t="str"/>
    </row>
    <row r="58">
      <c r="A58" s="17" t="inlineStr">
        <is>
          <t>4</t>
        </is>
      </c>
      <c r="B58" s="17" t="inlineStr">
        <is>
          <t>Borrowings</t>
        </is>
      </c>
      <c r="C58" s="17" t="inlineStr">
        <is>
          <t>Borrowings in India</t>
        </is>
      </c>
      <c r="D58" s="17" t="inlineStr">
        <is>
          <t>BANK_BORR_IN</t>
        </is>
      </c>
      <c r="E58" s="121" t="n">
        <v>0</v>
      </c>
      <c r="F58" s="121" t="n">
        <v>0</v>
      </c>
      <c r="G58" s="59" t="str"/>
    </row>
    <row r="59">
      <c r="A59" s="17" t="inlineStr">
        <is>
          <t>4</t>
        </is>
      </c>
      <c r="B59" s="17" t="inlineStr">
        <is>
          <t>Borrowings</t>
        </is>
      </c>
      <c r="C59" s="17" t="inlineStr">
        <is>
          <t>Borrowings outside India</t>
        </is>
      </c>
      <c r="D59" s="17" t="inlineStr">
        <is>
          <t>BANK_BORR_OUT</t>
        </is>
      </c>
      <c r="E59" s="121" t="n">
        <v>0</v>
      </c>
      <c r="F59" s="121" t="n">
        <v>0</v>
      </c>
      <c r="G59" s="59" t="str"/>
    </row>
    <row r="60">
      <c r="A60" s="65" t="inlineStr">
        <is>
          <t>4</t>
        </is>
      </c>
      <c r="B60" s="65" t="inlineStr">
        <is>
          <t>Borrowings</t>
        </is>
      </c>
      <c r="C60" s="65" t="inlineStr">
        <is>
          <t>Total — Borrowings</t>
        </is>
      </c>
      <c r="D60" s="65" t="inlineStr">
        <is>
          <t>__TOTAL__</t>
        </is>
      </c>
      <c r="E60" s="122">
        <f>SUM(E58:E59)</f>
        <v/>
      </c>
      <c r="F60" s="122">
        <f>SUM(F58:F59)</f>
        <v/>
      </c>
      <c r="G60" s="65" t="str"/>
    </row>
    <row r="61">
      <c r="A61" s="17" t="inlineStr">
        <is>
          <t>5</t>
        </is>
      </c>
      <c r="B61" s="17" t="inlineStr">
        <is>
          <t>Other Liabilities and Provisions</t>
        </is>
      </c>
      <c r="C61" s="17" t="inlineStr">
        <is>
          <t>Bills payable</t>
        </is>
      </c>
      <c r="D61" s="17" t="inlineStr">
        <is>
          <t>BANK_OL_BILLS</t>
        </is>
      </c>
      <c r="E61" s="121" t="n">
        <v>0</v>
      </c>
      <c r="F61" s="121" t="n">
        <v>0</v>
      </c>
      <c r="G61" s="59" t="str"/>
    </row>
    <row r="62">
      <c r="A62" s="17" t="inlineStr">
        <is>
          <t>5</t>
        </is>
      </c>
      <c r="B62" s="17" t="inlineStr">
        <is>
          <t>Other Liabilities and Provisions</t>
        </is>
      </c>
      <c r="C62" s="17" t="inlineStr">
        <is>
          <t>Inter-office adjustments</t>
        </is>
      </c>
      <c r="D62" s="17" t="inlineStr">
        <is>
          <t>BANK_OL_IO</t>
        </is>
      </c>
      <c r="E62" s="121" t="n">
        <v>0</v>
      </c>
      <c r="F62" s="121" t="n">
        <v>0</v>
      </c>
      <c r="G62" s="59" t="str"/>
    </row>
    <row r="63">
      <c r="A63" s="17" t="inlineStr">
        <is>
          <t>5</t>
        </is>
      </c>
      <c r="B63" s="17" t="inlineStr">
        <is>
          <t>Other Liabilities and Provisions</t>
        </is>
      </c>
      <c r="C63" s="17" t="inlineStr">
        <is>
          <t>Interest accrued</t>
        </is>
      </c>
      <c r="D63" s="17" t="inlineStr">
        <is>
          <t>BANK_OL_INT</t>
        </is>
      </c>
      <c r="E63" s="121" t="n">
        <v>0</v>
      </c>
      <c r="F63" s="121" t="n">
        <v>0</v>
      </c>
      <c r="G63" s="59" t="str"/>
    </row>
    <row r="64">
      <c r="A64" s="17" t="inlineStr">
        <is>
          <t>5</t>
        </is>
      </c>
      <c r="B64" s="17" t="inlineStr">
        <is>
          <t>Other Liabilities and Provisions</t>
        </is>
      </c>
      <c r="C64" s="17" t="inlineStr">
        <is>
          <t>Other liabilities</t>
        </is>
      </c>
      <c r="D64" s="17" t="inlineStr">
        <is>
          <t>BANK_OL_OTHER</t>
        </is>
      </c>
      <c r="E64" s="121" t="n">
        <v>0</v>
      </c>
      <c r="F64" s="121" t="n">
        <v>0</v>
      </c>
      <c r="G64" s="59" t="str"/>
    </row>
    <row r="65">
      <c r="A65" s="17" t="inlineStr">
        <is>
          <t>5</t>
        </is>
      </c>
      <c r="B65" s="17" t="inlineStr">
        <is>
          <t>Other Liabilities and Provisions</t>
        </is>
      </c>
      <c r="C65" s="17" t="inlineStr">
        <is>
          <t>Provisions</t>
        </is>
      </c>
      <c r="D65" s="17" t="inlineStr">
        <is>
          <t>BANK_OL_PROV</t>
        </is>
      </c>
      <c r="E65" s="121" t="n">
        <v>0</v>
      </c>
      <c r="F65" s="121" t="n">
        <v>0</v>
      </c>
      <c r="G65" s="59" t="str"/>
    </row>
    <row r="66">
      <c r="A66" s="65" t="inlineStr">
        <is>
          <t>5</t>
        </is>
      </c>
      <c r="B66" s="65" t="inlineStr">
        <is>
          <t>Other Liabilities and Provisions</t>
        </is>
      </c>
      <c r="C66" s="65" t="inlineStr">
        <is>
          <t>Total — Other Liabilities and Provisions</t>
        </is>
      </c>
      <c r="D66" s="65" t="inlineStr">
        <is>
          <t>__TOTAL__</t>
        </is>
      </c>
      <c r="E66" s="122">
        <f>SUM(E61:E65)</f>
        <v/>
      </c>
      <c r="F66" s="122">
        <f>SUM(F61:F65)</f>
        <v/>
      </c>
      <c r="G66" s="65" t="str"/>
    </row>
    <row r="67">
      <c r="A67" s="17" t="inlineStr">
        <is>
          <t>6</t>
        </is>
      </c>
      <c r="B67" s="17" t="inlineStr">
        <is>
          <t>Cash and Balances with RBI</t>
        </is>
      </c>
      <c r="C67" s="17" t="inlineStr">
        <is>
          <t>Cash in hand</t>
        </is>
      </c>
      <c r="D67" s="17" t="inlineStr">
        <is>
          <t>BANK_CASH</t>
        </is>
      </c>
      <c r="E67" s="121" t="n">
        <v>0</v>
      </c>
      <c r="F67" s="121" t="n">
        <v>0</v>
      </c>
      <c r="G67" s="59" t="str"/>
    </row>
    <row r="68">
      <c r="A68" s="17" t="inlineStr">
        <is>
          <t>6</t>
        </is>
      </c>
      <c r="B68" s="17" t="inlineStr">
        <is>
          <t>Cash and Balances with RBI</t>
        </is>
      </c>
      <c r="C68" s="17" t="inlineStr">
        <is>
          <t>Balances with RBI</t>
        </is>
      </c>
      <c r="D68" s="17" t="inlineStr">
        <is>
          <t>BANK_RBI</t>
        </is>
      </c>
      <c r="E68" s="121" t="n">
        <v>0</v>
      </c>
      <c r="F68" s="121" t="n">
        <v>0</v>
      </c>
      <c r="G68" s="59" t="str"/>
    </row>
    <row r="69">
      <c r="A69" s="65" t="inlineStr">
        <is>
          <t>6</t>
        </is>
      </c>
      <c r="B69" s="65" t="inlineStr">
        <is>
          <t>Cash and Balances with RBI</t>
        </is>
      </c>
      <c r="C69" s="65" t="inlineStr">
        <is>
          <t>Total — Cash and Balances with RBI</t>
        </is>
      </c>
      <c r="D69" s="65" t="inlineStr">
        <is>
          <t>__TOTAL__</t>
        </is>
      </c>
      <c r="E69" s="122">
        <f>SUM(E67:E68)</f>
        <v/>
      </c>
      <c r="F69" s="122">
        <f>SUM(F67:F68)</f>
        <v/>
      </c>
      <c r="G69" s="65" t="str"/>
    </row>
    <row r="70">
      <c r="A70" s="17" t="inlineStr">
        <is>
          <t>7</t>
        </is>
      </c>
      <c r="B70" s="17" t="inlineStr">
        <is>
          <t>Balances with Banks and Money at Call / Short Notice</t>
        </is>
      </c>
      <c r="C70" s="17" t="inlineStr">
        <is>
          <t>Balances with banks in India</t>
        </is>
      </c>
      <c r="D70" s="17" t="inlineStr">
        <is>
          <t>BANK_BAL_IN</t>
        </is>
      </c>
      <c r="E70" s="121" t="n">
        <v>0</v>
      </c>
      <c r="F70" s="121" t="n">
        <v>0</v>
      </c>
      <c r="G70" s="59" t="str"/>
    </row>
    <row r="71">
      <c r="A71" s="17" t="inlineStr">
        <is>
          <t>7</t>
        </is>
      </c>
      <c r="B71" s="17" t="inlineStr">
        <is>
          <t>Balances with Banks and Money at Call / Short Notice</t>
        </is>
      </c>
      <c r="C71" s="17" t="inlineStr">
        <is>
          <t>Money at call / short notice</t>
        </is>
      </c>
      <c r="D71" s="17" t="inlineStr">
        <is>
          <t>BANK_CALL</t>
        </is>
      </c>
      <c r="E71" s="121" t="n">
        <v>0</v>
      </c>
      <c r="F71" s="121" t="n">
        <v>0</v>
      </c>
      <c r="G71" s="59" t="str"/>
    </row>
    <row r="72">
      <c r="A72" s="17" t="inlineStr">
        <is>
          <t>7</t>
        </is>
      </c>
      <c r="B72" s="17" t="inlineStr">
        <is>
          <t>Balances with Banks and Money at Call / Short Notice</t>
        </is>
      </c>
      <c r="C72" s="17" t="inlineStr">
        <is>
          <t>Balances outside India</t>
        </is>
      </c>
      <c r="D72" s="17" t="inlineStr">
        <is>
          <t>BANK_BAL_OUT</t>
        </is>
      </c>
      <c r="E72" s="121" t="n">
        <v>0</v>
      </c>
      <c r="F72" s="121" t="n">
        <v>0</v>
      </c>
      <c r="G72" s="59" t="str"/>
    </row>
    <row r="73">
      <c r="A73" s="65" t="inlineStr">
        <is>
          <t>7</t>
        </is>
      </c>
      <c r="B73" s="65" t="inlineStr">
        <is>
          <t>Balances with Banks and Money at Call / Short Notice</t>
        </is>
      </c>
      <c r="C73" s="65" t="inlineStr">
        <is>
          <t>Total — Balances with Banks and Money at Call / Short Notice</t>
        </is>
      </c>
      <c r="D73" s="65" t="inlineStr">
        <is>
          <t>__TOTAL__</t>
        </is>
      </c>
      <c r="E73" s="122">
        <f>SUM(E70:E72)</f>
        <v/>
      </c>
      <c r="F73" s="122">
        <f>SUM(F70:F72)</f>
        <v/>
      </c>
      <c r="G73" s="65" t="str"/>
    </row>
    <row r="74">
      <c r="A74" s="17" t="inlineStr">
        <is>
          <t>8</t>
        </is>
      </c>
      <c r="B74" s="17" t="inlineStr">
        <is>
          <t>Investments</t>
        </is>
      </c>
      <c r="C74" s="17" t="inlineStr">
        <is>
          <t>Government securities</t>
        </is>
      </c>
      <c r="D74" s="17" t="inlineStr">
        <is>
          <t>BANK_INV_GS</t>
        </is>
      </c>
      <c r="E74" s="121" t="n">
        <v>0</v>
      </c>
      <c r="F74" s="121" t="n">
        <v>0</v>
      </c>
      <c r="G74" s="59" t="str"/>
    </row>
    <row r="75">
      <c r="A75" s="17" t="inlineStr">
        <is>
          <t>8</t>
        </is>
      </c>
      <c r="B75" s="17" t="inlineStr">
        <is>
          <t>Investments</t>
        </is>
      </c>
      <c r="C75" s="17" t="inlineStr">
        <is>
          <t>Other approved securities</t>
        </is>
      </c>
      <c r="D75" s="17" t="inlineStr">
        <is>
          <t>BANK_INV_APPROVED</t>
        </is>
      </c>
      <c r="E75" s="121" t="n">
        <v>0</v>
      </c>
      <c r="F75" s="121" t="n">
        <v>0</v>
      </c>
      <c r="G75" s="59" t="str"/>
    </row>
    <row r="76">
      <c r="A76" s="17" t="inlineStr">
        <is>
          <t>8</t>
        </is>
      </c>
      <c r="B76" s="17" t="inlineStr">
        <is>
          <t>Investments</t>
        </is>
      </c>
      <c r="C76" s="17" t="inlineStr">
        <is>
          <t>Shares</t>
        </is>
      </c>
      <c r="D76" s="17" t="inlineStr">
        <is>
          <t>BANK_INV_SH</t>
        </is>
      </c>
      <c r="E76" s="121" t="n">
        <v>0</v>
      </c>
      <c r="F76" s="121" t="n">
        <v>0</v>
      </c>
      <c r="G76" s="59" t="str"/>
    </row>
    <row r="77">
      <c r="A77" s="17" t="inlineStr">
        <is>
          <t>8</t>
        </is>
      </c>
      <c r="B77" s="17" t="inlineStr">
        <is>
          <t>Investments</t>
        </is>
      </c>
      <c r="C77" s="17" t="inlineStr">
        <is>
          <t>Debentures / bonds</t>
        </is>
      </c>
      <c r="D77" s="17" t="inlineStr">
        <is>
          <t>BANK_INV_DB</t>
        </is>
      </c>
      <c r="E77" s="121" t="n">
        <v>0</v>
      </c>
      <c r="F77" s="121" t="n">
        <v>0</v>
      </c>
      <c r="G77" s="59" t="str"/>
    </row>
    <row r="78">
      <c r="A78" s="17" t="inlineStr">
        <is>
          <t>8</t>
        </is>
      </c>
      <c r="B78" s="17" t="inlineStr">
        <is>
          <t>Investments</t>
        </is>
      </c>
      <c r="C78" s="17" t="inlineStr">
        <is>
          <t>Subsidiaries / JVs</t>
        </is>
      </c>
      <c r="D78" s="17" t="inlineStr">
        <is>
          <t>BANK_INV_SUB</t>
        </is>
      </c>
      <c r="E78" s="121" t="n">
        <v>0</v>
      </c>
      <c r="F78" s="121" t="n">
        <v>0</v>
      </c>
      <c r="G78" s="59" t="str"/>
    </row>
    <row r="79">
      <c r="A79" s="17" t="inlineStr">
        <is>
          <t>8</t>
        </is>
      </c>
      <c r="B79" s="17" t="inlineStr">
        <is>
          <t>Investments</t>
        </is>
      </c>
      <c r="C79" s="17" t="inlineStr">
        <is>
          <t>Other investments</t>
        </is>
      </c>
      <c r="D79" s="17" t="inlineStr">
        <is>
          <t>BANK_INV_OTHER</t>
        </is>
      </c>
      <c r="E79" s="121" t="n">
        <v>0</v>
      </c>
      <c r="F79" s="121" t="n">
        <v>0</v>
      </c>
      <c r="G79" s="59" t="str"/>
    </row>
    <row r="80">
      <c r="A80" s="65" t="inlineStr">
        <is>
          <t>8</t>
        </is>
      </c>
      <c r="B80" s="65" t="inlineStr">
        <is>
          <t>Investments</t>
        </is>
      </c>
      <c r="C80" s="65" t="inlineStr">
        <is>
          <t>Total — Investments</t>
        </is>
      </c>
      <c r="D80" s="65" t="inlineStr">
        <is>
          <t>__TOTAL__</t>
        </is>
      </c>
      <c r="E80" s="122">
        <f>SUM(E74:E79)</f>
        <v/>
      </c>
      <c r="F80" s="122">
        <f>SUM(F74:F79)</f>
        <v/>
      </c>
      <c r="G80" s="65" t="str"/>
    </row>
    <row r="81">
      <c r="A81" s="17" t="inlineStr">
        <is>
          <t>9</t>
        </is>
      </c>
      <c r="B81" s="17" t="inlineStr">
        <is>
          <t>Advances</t>
        </is>
      </c>
      <c r="C81" s="17" t="inlineStr">
        <is>
          <t>Bills purchased / discounted</t>
        </is>
      </c>
      <c r="D81" s="17" t="inlineStr">
        <is>
          <t>BANK_ADV_BILLS</t>
        </is>
      </c>
      <c r="E81" s="121" t="n">
        <v>0</v>
      </c>
      <c r="F81" s="121" t="n">
        <v>0</v>
      </c>
      <c r="G81" s="59" t="str"/>
    </row>
    <row r="82">
      <c r="A82" s="17" t="inlineStr">
        <is>
          <t>9</t>
        </is>
      </c>
      <c r="B82" s="17" t="inlineStr">
        <is>
          <t>Advances</t>
        </is>
      </c>
      <c r="C82" s="17" t="inlineStr">
        <is>
          <t>Cash credits / overdrafts / demand loans</t>
        </is>
      </c>
      <c r="D82" s="17" t="inlineStr">
        <is>
          <t>BANK_ADV_CC</t>
        </is>
      </c>
      <c r="E82" s="121" t="n">
        <v>0</v>
      </c>
      <c r="F82" s="121" t="n">
        <v>0</v>
      </c>
      <c r="G82" s="59" t="str"/>
    </row>
    <row r="83">
      <c r="A83" s="17" t="inlineStr">
        <is>
          <t>9</t>
        </is>
      </c>
      <c r="B83" s="17" t="inlineStr">
        <is>
          <t>Advances</t>
        </is>
      </c>
      <c r="C83" s="17" t="inlineStr">
        <is>
          <t>Term loans</t>
        </is>
      </c>
      <c r="D83" s="17" t="inlineStr">
        <is>
          <t>BANK_ADV_TERM</t>
        </is>
      </c>
      <c r="E83" s="121" t="n">
        <v>0</v>
      </c>
      <c r="F83" s="121" t="n">
        <v>0</v>
      </c>
      <c r="G83" s="59" t="str"/>
    </row>
    <row r="84">
      <c r="A84" s="17" t="inlineStr">
        <is>
          <t>9</t>
        </is>
      </c>
      <c r="B84" s="17" t="inlineStr">
        <is>
          <t>Advances</t>
        </is>
      </c>
      <c r="C84" s="17" t="inlineStr">
        <is>
          <t>Provision / impairment</t>
        </is>
      </c>
      <c r="D84" s="17" t="inlineStr">
        <is>
          <t>BANK_ADV_PROV</t>
        </is>
      </c>
      <c r="E84" s="121" t="n">
        <v>0</v>
      </c>
      <c r="F84" s="121" t="n">
        <v>0</v>
      </c>
      <c r="G84" s="59" t="str"/>
    </row>
    <row r="85">
      <c r="A85" s="65" t="inlineStr">
        <is>
          <t>9</t>
        </is>
      </c>
      <c r="B85" s="65" t="inlineStr">
        <is>
          <t>Advances</t>
        </is>
      </c>
      <c r="C85" s="65" t="inlineStr">
        <is>
          <t>Total — Advances</t>
        </is>
      </c>
      <c r="D85" s="65" t="inlineStr">
        <is>
          <t>__TOTAL__</t>
        </is>
      </c>
      <c r="E85" s="122">
        <f>SUM(E81:E84)</f>
        <v/>
      </c>
      <c r="F85" s="122">
        <f>SUM(F81:F84)</f>
        <v/>
      </c>
      <c r="G85" s="65" t="str"/>
    </row>
    <row r="86">
      <c r="A86" s="17" t="inlineStr">
        <is>
          <t>10</t>
        </is>
      </c>
      <c r="B86" s="17" t="inlineStr">
        <is>
          <t>Fixed Assets</t>
        </is>
      </c>
      <c r="C86" s="17" t="inlineStr">
        <is>
          <t>Premises</t>
        </is>
      </c>
      <c r="D86" s="17" t="inlineStr">
        <is>
          <t>BANK_FA_PREM</t>
        </is>
      </c>
      <c r="E86" s="121" t="n">
        <v>0</v>
      </c>
      <c r="F86" s="121" t="n">
        <v>0</v>
      </c>
      <c r="G86" s="59" t="str"/>
    </row>
    <row r="87">
      <c r="A87" s="17" t="inlineStr">
        <is>
          <t>10</t>
        </is>
      </c>
      <c r="B87" s="17" t="inlineStr">
        <is>
          <t>Fixed Assets</t>
        </is>
      </c>
      <c r="C87" s="17" t="inlineStr">
        <is>
          <t>Other fixed assets</t>
        </is>
      </c>
      <c r="D87" s="17" t="inlineStr">
        <is>
          <t>BANK_FA_OTHER</t>
        </is>
      </c>
      <c r="E87" s="121" t="n">
        <v>0</v>
      </c>
      <c r="F87" s="121" t="n">
        <v>0</v>
      </c>
      <c r="G87" s="59" t="str"/>
    </row>
    <row r="88">
      <c r="A88" s="17" t="inlineStr">
        <is>
          <t>10</t>
        </is>
      </c>
      <c r="B88" s="17" t="inlineStr">
        <is>
          <t>Fixed Assets</t>
        </is>
      </c>
      <c r="C88" s="17" t="inlineStr">
        <is>
          <t>CWIP</t>
        </is>
      </c>
      <c r="D88" s="17" t="inlineStr">
        <is>
          <t>BANK_FA_CWIP</t>
        </is>
      </c>
      <c r="E88" s="121" t="n">
        <v>0</v>
      </c>
      <c r="F88" s="121" t="n">
        <v>0</v>
      </c>
      <c r="G88" s="59" t="str"/>
    </row>
    <row r="89">
      <c r="A89" s="65" t="inlineStr">
        <is>
          <t>10</t>
        </is>
      </c>
      <c r="B89" s="65" t="inlineStr">
        <is>
          <t>Fixed Assets</t>
        </is>
      </c>
      <c r="C89" s="65" t="inlineStr">
        <is>
          <t>Total — Fixed Assets</t>
        </is>
      </c>
      <c r="D89" s="65" t="inlineStr">
        <is>
          <t>__TOTAL__</t>
        </is>
      </c>
      <c r="E89" s="122">
        <f>SUM(E86:E88)</f>
        <v/>
      </c>
      <c r="F89" s="122">
        <f>SUM(F86:F88)</f>
        <v/>
      </c>
      <c r="G89" s="65" t="str"/>
    </row>
    <row r="90">
      <c r="A90" s="17" t="inlineStr">
        <is>
          <t>11</t>
        </is>
      </c>
      <c r="B90" s="17" t="inlineStr">
        <is>
          <t>Other Assets</t>
        </is>
      </c>
      <c r="C90" s="17" t="inlineStr">
        <is>
          <t>Inter-office adjustments</t>
        </is>
      </c>
      <c r="D90" s="17" t="inlineStr">
        <is>
          <t>BANK_OA_IO</t>
        </is>
      </c>
      <c r="E90" s="121" t="n">
        <v>0</v>
      </c>
      <c r="F90" s="121" t="n">
        <v>0</v>
      </c>
      <c r="G90" s="59" t="str"/>
    </row>
    <row r="91">
      <c r="A91" s="17" t="inlineStr">
        <is>
          <t>11</t>
        </is>
      </c>
      <c r="B91" s="17" t="inlineStr">
        <is>
          <t>Other Assets</t>
        </is>
      </c>
      <c r="C91" s="17" t="inlineStr">
        <is>
          <t>Interest accrued</t>
        </is>
      </c>
      <c r="D91" s="17" t="inlineStr">
        <is>
          <t>BANK_OA_INT</t>
        </is>
      </c>
      <c r="E91" s="121" t="n">
        <v>0</v>
      </c>
      <c r="F91" s="121" t="n">
        <v>0</v>
      </c>
      <c r="G91" s="59" t="str"/>
    </row>
    <row r="92">
      <c r="A92" s="17" t="inlineStr">
        <is>
          <t>11</t>
        </is>
      </c>
      <c r="B92" s="17" t="inlineStr">
        <is>
          <t>Other Assets</t>
        </is>
      </c>
      <c r="C92" s="17" t="inlineStr">
        <is>
          <t>Tax paid in advance</t>
        </is>
      </c>
      <c r="D92" s="17" t="inlineStr">
        <is>
          <t>BANK_OA_TAX</t>
        </is>
      </c>
      <c r="E92" s="121" t="n">
        <v>0</v>
      </c>
      <c r="F92" s="121" t="n">
        <v>0</v>
      </c>
      <c r="G92" s="59" t="str"/>
    </row>
    <row r="93">
      <c r="A93" s="17" t="inlineStr">
        <is>
          <t>11</t>
        </is>
      </c>
      <c r="B93" s="17" t="inlineStr">
        <is>
          <t>Other Assets</t>
        </is>
      </c>
      <c r="C93" s="17" t="inlineStr">
        <is>
          <t>Stationery / stamps</t>
        </is>
      </c>
      <c r="D93" s="17" t="inlineStr">
        <is>
          <t>BANK_OA_STAT</t>
        </is>
      </c>
      <c r="E93" s="121" t="n">
        <v>0</v>
      </c>
      <c r="F93" s="121" t="n">
        <v>0</v>
      </c>
      <c r="G93" s="59" t="str"/>
    </row>
    <row r="94">
      <c r="A94" s="17" t="inlineStr">
        <is>
          <t>11</t>
        </is>
      </c>
      <c r="B94" s="17" t="inlineStr">
        <is>
          <t>Other Assets</t>
        </is>
      </c>
      <c r="C94" s="17" t="inlineStr">
        <is>
          <t>Non-banking assets</t>
        </is>
      </c>
      <c r="D94" s="17" t="inlineStr">
        <is>
          <t>BANK_OA_NBA</t>
        </is>
      </c>
      <c r="E94" s="121" t="n">
        <v>0</v>
      </c>
      <c r="F94" s="121" t="n">
        <v>0</v>
      </c>
      <c r="G94" s="59" t="str"/>
    </row>
    <row r="95">
      <c r="A95" s="17" t="inlineStr">
        <is>
          <t>11</t>
        </is>
      </c>
      <c r="B95" s="17" t="inlineStr">
        <is>
          <t>Other Assets</t>
        </is>
      </c>
      <c r="C95" s="17" t="inlineStr">
        <is>
          <t>Other assets</t>
        </is>
      </c>
      <c r="D95" s="17" t="inlineStr">
        <is>
          <t>BANK_OA_OTHER</t>
        </is>
      </c>
      <c r="E95" s="121" t="n">
        <v>0</v>
      </c>
      <c r="F95" s="121" t="n">
        <v>0</v>
      </c>
      <c r="G95" s="59" t="str"/>
    </row>
    <row r="96">
      <c r="A96" s="65" t="inlineStr">
        <is>
          <t>11</t>
        </is>
      </c>
      <c r="B96" s="65" t="inlineStr">
        <is>
          <t>Other Assets</t>
        </is>
      </c>
      <c r="C96" s="65" t="inlineStr">
        <is>
          <t>Total — Other Assets</t>
        </is>
      </c>
      <c r="D96" s="65" t="inlineStr">
        <is>
          <t>__TOTAL__</t>
        </is>
      </c>
      <c r="E96" s="122">
        <f>SUM(E90:E95)</f>
        <v/>
      </c>
      <c r="F96" s="122">
        <f>SUM(F90:F95)</f>
        <v/>
      </c>
      <c r="G96" s="65" t="str"/>
    </row>
    <row r="97">
      <c r="A97" s="17" t="inlineStr">
        <is>
          <t>12</t>
        </is>
      </c>
      <c r="B97" s="17" t="inlineStr">
        <is>
          <t>Contingent Liabilities</t>
        </is>
      </c>
      <c r="C97" s="17" t="inlineStr">
        <is>
          <t>Claims not acknowledged as debts</t>
        </is>
      </c>
      <c r="D97" s="17" t="inlineStr">
        <is>
          <t>BANK_CL_CLAIMS</t>
        </is>
      </c>
      <c r="E97" s="121" t="n">
        <v>0</v>
      </c>
      <c r="F97" s="121" t="n">
        <v>0</v>
      </c>
      <c r="G97" s="59" t="str"/>
    </row>
    <row r="98">
      <c r="A98" s="17" t="inlineStr">
        <is>
          <t>12</t>
        </is>
      </c>
      <c r="B98" s="17" t="inlineStr">
        <is>
          <t>Contingent Liabilities</t>
        </is>
      </c>
      <c r="C98" s="17" t="inlineStr">
        <is>
          <t>Partly paid investments</t>
        </is>
      </c>
      <c r="D98" s="17" t="inlineStr">
        <is>
          <t>BANK_CL_PART</t>
        </is>
      </c>
      <c r="E98" s="121" t="n">
        <v>0</v>
      </c>
      <c r="F98" s="121" t="n">
        <v>0</v>
      </c>
      <c r="G98" s="59" t="str"/>
    </row>
    <row r="99">
      <c r="A99" s="17" t="inlineStr">
        <is>
          <t>12</t>
        </is>
      </c>
      <c r="B99" s="17" t="inlineStr">
        <is>
          <t>Contingent Liabilities</t>
        </is>
      </c>
      <c r="C99" s="17" t="inlineStr">
        <is>
          <t>Forward exchange contracts</t>
        </is>
      </c>
      <c r="D99" s="17" t="inlineStr">
        <is>
          <t>BANK_CL_FX</t>
        </is>
      </c>
      <c r="E99" s="121" t="n">
        <v>0</v>
      </c>
      <c r="F99" s="121" t="n">
        <v>0</v>
      </c>
      <c r="G99" s="59" t="str"/>
    </row>
    <row r="100">
      <c r="A100" s="17" t="inlineStr">
        <is>
          <t>12</t>
        </is>
      </c>
      <c r="B100" s="17" t="inlineStr">
        <is>
          <t>Contingent Liabilities</t>
        </is>
      </c>
      <c r="C100" s="17" t="inlineStr">
        <is>
          <t>Guarantees</t>
        </is>
      </c>
      <c r="D100" s="17" t="inlineStr">
        <is>
          <t>BANK_CL_GUAR</t>
        </is>
      </c>
      <c r="E100" s="121" t="n">
        <v>0</v>
      </c>
      <c r="F100" s="121" t="n">
        <v>0</v>
      </c>
      <c r="G100" s="59" t="str"/>
    </row>
    <row r="101">
      <c r="A101" s="17" t="inlineStr">
        <is>
          <t>12</t>
        </is>
      </c>
      <c r="B101" s="17" t="inlineStr">
        <is>
          <t>Contingent Liabilities</t>
        </is>
      </c>
      <c r="C101" s="17" t="inlineStr">
        <is>
          <t>Acceptances / endorsements</t>
        </is>
      </c>
      <c r="D101" s="17" t="inlineStr">
        <is>
          <t>BANK_CL_ACCEPT</t>
        </is>
      </c>
      <c r="E101" s="121" t="n">
        <v>0</v>
      </c>
      <c r="F101" s="121" t="n">
        <v>0</v>
      </c>
      <c r="G101" s="59" t="str"/>
    </row>
    <row r="102">
      <c r="A102" s="17" t="inlineStr">
        <is>
          <t>12</t>
        </is>
      </c>
      <c r="B102" s="17" t="inlineStr">
        <is>
          <t>Contingent Liabilities</t>
        </is>
      </c>
      <c r="C102" s="17" t="inlineStr">
        <is>
          <t>Other contingent liabilities</t>
        </is>
      </c>
      <c r="D102" s="17" t="inlineStr">
        <is>
          <t>BANK_CL_OTHER</t>
        </is>
      </c>
      <c r="E102" s="121" t="n">
        <v>0</v>
      </c>
      <c r="F102" s="121" t="n">
        <v>0</v>
      </c>
      <c r="G102" s="59" t="str"/>
    </row>
    <row r="103">
      <c r="A103" s="65" t="inlineStr">
        <is>
          <t>12</t>
        </is>
      </c>
      <c r="B103" s="65" t="inlineStr">
        <is>
          <t>Contingent Liabilities</t>
        </is>
      </c>
      <c r="C103" s="65" t="inlineStr">
        <is>
          <t>Total — Contingent Liabilities</t>
        </is>
      </c>
      <c r="D103" s="65" t="inlineStr">
        <is>
          <t>__TOTAL__</t>
        </is>
      </c>
      <c r="E103" s="122">
        <f>SUM(E97:E102)</f>
        <v/>
      </c>
      <c r="F103" s="122">
        <f>SUM(F97:F102)</f>
        <v/>
      </c>
      <c r="G103" s="65" t="str"/>
    </row>
    <row r="104">
      <c r="A104" s="17" t="inlineStr">
        <is>
          <t>13</t>
        </is>
      </c>
      <c r="B104" s="17" t="inlineStr">
        <is>
          <t>Interest Earned</t>
        </is>
      </c>
      <c r="C104" s="17" t="inlineStr">
        <is>
          <t>Interest / discount on advances / bills</t>
        </is>
      </c>
      <c r="D104" s="17" t="inlineStr">
        <is>
          <t>BANK_IE_ADV</t>
        </is>
      </c>
      <c r="E104" s="121" t="n">
        <v>0</v>
      </c>
      <c r="F104" s="121" t="n">
        <v>0</v>
      </c>
      <c r="G104" s="59" t="str"/>
    </row>
    <row r="105">
      <c r="A105" s="17" t="inlineStr">
        <is>
          <t>13</t>
        </is>
      </c>
      <c r="B105" s="17" t="inlineStr">
        <is>
          <t>Interest Earned</t>
        </is>
      </c>
      <c r="C105" s="17" t="inlineStr">
        <is>
          <t>Income on investments</t>
        </is>
      </c>
      <c r="D105" s="17" t="inlineStr">
        <is>
          <t>BANK_IE_INV</t>
        </is>
      </c>
      <c r="E105" s="121" t="n">
        <v>0</v>
      </c>
      <c r="F105" s="121" t="n">
        <v>0</v>
      </c>
      <c r="G105" s="59" t="str"/>
    </row>
    <row r="106">
      <c r="A106" s="17" t="inlineStr">
        <is>
          <t>13</t>
        </is>
      </c>
      <c r="B106" s="17" t="inlineStr">
        <is>
          <t>Interest Earned</t>
        </is>
      </c>
      <c r="C106" s="17" t="inlineStr">
        <is>
          <t>Interest on balances with RBI / inter-bank</t>
        </is>
      </c>
      <c r="D106" s="17" t="inlineStr">
        <is>
          <t>BANK_IE_RBI</t>
        </is>
      </c>
      <c r="E106" s="121" t="n">
        <v>0</v>
      </c>
      <c r="F106" s="121" t="n">
        <v>0</v>
      </c>
      <c r="G106" s="59" t="str"/>
    </row>
    <row r="107">
      <c r="A107" s="17" t="inlineStr">
        <is>
          <t>13</t>
        </is>
      </c>
      <c r="B107" s="17" t="inlineStr">
        <is>
          <t>Interest Earned</t>
        </is>
      </c>
      <c r="C107" s="17" t="inlineStr">
        <is>
          <t>Other interest</t>
        </is>
      </c>
      <c r="D107" s="17" t="inlineStr">
        <is>
          <t>BANK_IE_OTHER</t>
        </is>
      </c>
      <c r="E107" s="121" t="n">
        <v>0</v>
      </c>
      <c r="F107" s="121" t="n">
        <v>0</v>
      </c>
      <c r="G107" s="59" t="str"/>
    </row>
    <row r="108">
      <c r="A108" s="65" t="inlineStr">
        <is>
          <t>13</t>
        </is>
      </c>
      <c r="B108" s="65" t="inlineStr">
        <is>
          <t>Interest Earned</t>
        </is>
      </c>
      <c r="C108" s="65" t="inlineStr">
        <is>
          <t>Total — Interest Earned</t>
        </is>
      </c>
      <c r="D108" s="65" t="inlineStr">
        <is>
          <t>__TOTAL__</t>
        </is>
      </c>
      <c r="E108" s="122">
        <f>SUM(E104:E107)</f>
        <v/>
      </c>
      <c r="F108" s="122">
        <f>SUM(F104:F107)</f>
        <v/>
      </c>
      <c r="G108" s="65" t="str"/>
    </row>
    <row r="109">
      <c r="A109" s="17" t="inlineStr">
        <is>
          <t>14</t>
        </is>
      </c>
      <c r="B109" s="17" t="inlineStr">
        <is>
          <t>Other Income</t>
        </is>
      </c>
      <c r="C109" s="17" t="inlineStr">
        <is>
          <t>Commission / exchange / brokerage</t>
        </is>
      </c>
      <c r="D109" s="17" t="inlineStr">
        <is>
          <t>BANK_OI_COMM</t>
        </is>
      </c>
      <c r="E109" s="121" t="n">
        <v>0</v>
      </c>
      <c r="F109" s="121" t="n">
        <v>0</v>
      </c>
      <c r="G109" s="59" t="str"/>
    </row>
    <row r="110">
      <c r="A110" s="17" t="inlineStr">
        <is>
          <t>14</t>
        </is>
      </c>
      <c r="B110" s="17" t="inlineStr">
        <is>
          <t>Other Income</t>
        </is>
      </c>
      <c r="C110" s="17" t="inlineStr">
        <is>
          <t>Profit / loss on sale of investments</t>
        </is>
      </c>
      <c r="D110" s="17" t="inlineStr">
        <is>
          <t>BANK_OI_INV</t>
        </is>
      </c>
      <c r="E110" s="121" t="n">
        <v>0</v>
      </c>
      <c r="F110" s="121" t="n">
        <v>0</v>
      </c>
      <c r="G110" s="59" t="str"/>
    </row>
    <row r="111">
      <c r="A111" s="17" t="inlineStr">
        <is>
          <t>14</t>
        </is>
      </c>
      <c r="B111" s="17" t="inlineStr">
        <is>
          <t>Other Income</t>
        </is>
      </c>
      <c r="C111" s="17" t="inlineStr">
        <is>
          <t>Profit / loss on revaluation</t>
        </is>
      </c>
      <c r="D111" s="17" t="inlineStr">
        <is>
          <t>BANK_OI_REVAL</t>
        </is>
      </c>
      <c r="E111" s="121" t="n">
        <v>0</v>
      </c>
      <c r="F111" s="121" t="n">
        <v>0</v>
      </c>
      <c r="G111" s="59" t="str"/>
    </row>
    <row r="112">
      <c r="A112" s="17" t="inlineStr">
        <is>
          <t>14</t>
        </is>
      </c>
      <c r="B112" s="17" t="inlineStr">
        <is>
          <t>Other Income</t>
        </is>
      </c>
      <c r="C112" s="17" t="inlineStr">
        <is>
          <t>Profit / loss on sale of land/buildings/assets</t>
        </is>
      </c>
      <c r="D112" s="17" t="inlineStr">
        <is>
          <t>BANK_OI_ASSET</t>
        </is>
      </c>
      <c r="E112" s="121" t="n">
        <v>0</v>
      </c>
      <c r="F112" s="121" t="n">
        <v>0</v>
      </c>
      <c r="G112" s="59" t="str"/>
    </row>
    <row r="113">
      <c r="A113" s="17" t="inlineStr">
        <is>
          <t>14</t>
        </is>
      </c>
      <c r="B113" s="17" t="inlineStr">
        <is>
          <t>Other Income</t>
        </is>
      </c>
      <c r="C113" s="17" t="inlineStr">
        <is>
          <t>Miscellaneous income</t>
        </is>
      </c>
      <c r="D113" s="17" t="inlineStr">
        <is>
          <t>BANK_OI_MISC</t>
        </is>
      </c>
      <c r="E113" s="121" t="n">
        <v>0</v>
      </c>
      <c r="F113" s="121" t="n">
        <v>0</v>
      </c>
      <c r="G113" s="59" t="str"/>
    </row>
    <row r="114">
      <c r="A114" s="65" t="inlineStr">
        <is>
          <t>14</t>
        </is>
      </c>
      <c r="B114" s="65" t="inlineStr">
        <is>
          <t>Other Income</t>
        </is>
      </c>
      <c r="C114" s="65" t="inlineStr">
        <is>
          <t>Total — Other Income</t>
        </is>
      </c>
      <c r="D114" s="65" t="inlineStr">
        <is>
          <t>__TOTAL__</t>
        </is>
      </c>
      <c r="E114" s="122">
        <f>SUM(E109:E113)</f>
        <v/>
      </c>
      <c r="F114" s="122">
        <f>SUM(F109:F113)</f>
        <v/>
      </c>
      <c r="G114" s="65" t="str"/>
    </row>
    <row r="115">
      <c r="A115" s="17" t="inlineStr">
        <is>
          <t>15</t>
        </is>
      </c>
      <c r="B115" s="17" t="inlineStr">
        <is>
          <t>Interest Expended</t>
        </is>
      </c>
      <c r="C115" s="17" t="inlineStr">
        <is>
          <t>Interest on deposits</t>
        </is>
      </c>
      <c r="D115" s="17" t="inlineStr">
        <is>
          <t>BANK_IX_DEP</t>
        </is>
      </c>
      <c r="E115" s="121" t="n">
        <v>0</v>
      </c>
      <c r="F115" s="121" t="n">
        <v>0</v>
      </c>
      <c r="G115" s="59" t="str"/>
    </row>
    <row r="116">
      <c r="A116" s="17" t="inlineStr">
        <is>
          <t>15</t>
        </is>
      </c>
      <c r="B116" s="17" t="inlineStr">
        <is>
          <t>Interest Expended</t>
        </is>
      </c>
      <c r="C116" s="17" t="inlineStr">
        <is>
          <t>Interest on RBI / inter-bank borrowings</t>
        </is>
      </c>
      <c r="D116" s="17" t="inlineStr">
        <is>
          <t>BANK_IX_RBI</t>
        </is>
      </c>
      <c r="E116" s="121" t="n">
        <v>0</v>
      </c>
      <c r="F116" s="121" t="n">
        <v>0</v>
      </c>
      <c r="G116" s="59" t="str"/>
    </row>
    <row r="117">
      <c r="A117" s="17" t="inlineStr">
        <is>
          <t>15</t>
        </is>
      </c>
      <c r="B117" s="17" t="inlineStr">
        <is>
          <t>Interest Expended</t>
        </is>
      </c>
      <c r="C117" s="17" t="inlineStr">
        <is>
          <t>Other interest</t>
        </is>
      </c>
      <c r="D117" s="17" t="inlineStr">
        <is>
          <t>BANK_IX_OTHER</t>
        </is>
      </c>
      <c r="E117" s="121" t="n">
        <v>0</v>
      </c>
      <c r="F117" s="121" t="n">
        <v>0</v>
      </c>
      <c r="G117" s="59" t="str"/>
    </row>
    <row r="118">
      <c r="A118" s="65" t="inlineStr">
        <is>
          <t>15</t>
        </is>
      </c>
      <c r="B118" s="65" t="inlineStr">
        <is>
          <t>Interest Expended</t>
        </is>
      </c>
      <c r="C118" s="65" t="inlineStr">
        <is>
          <t>Total — Interest Expended</t>
        </is>
      </c>
      <c r="D118" s="65" t="inlineStr">
        <is>
          <t>__TOTAL__</t>
        </is>
      </c>
      <c r="E118" s="122">
        <f>SUM(E115:E117)</f>
        <v/>
      </c>
      <c r="F118" s="122">
        <f>SUM(F115:F117)</f>
        <v/>
      </c>
      <c r="G118" s="65" t="str"/>
    </row>
    <row r="119">
      <c r="A119" s="17" t="inlineStr">
        <is>
          <t>16</t>
        </is>
      </c>
      <c r="B119" s="17" t="inlineStr">
        <is>
          <t>Operating Expenses</t>
        </is>
      </c>
      <c r="C119" s="17" t="inlineStr">
        <is>
          <t>Payments to employees</t>
        </is>
      </c>
      <c r="D119" s="17" t="inlineStr">
        <is>
          <t>BANK_OE_EMP</t>
        </is>
      </c>
      <c r="E119" s="121" t="n">
        <v>0</v>
      </c>
      <c r="F119" s="121" t="n">
        <v>0</v>
      </c>
      <c r="G119" s="59" t="str"/>
    </row>
    <row r="120">
      <c r="A120" s="17" t="inlineStr">
        <is>
          <t>16</t>
        </is>
      </c>
      <c r="B120" s="17" t="inlineStr">
        <is>
          <t>Operating Expenses</t>
        </is>
      </c>
      <c r="C120" s="17" t="inlineStr">
        <is>
          <t>Rent / taxes / lighting</t>
        </is>
      </c>
      <c r="D120" s="17" t="inlineStr">
        <is>
          <t>BANK_OE_RENT</t>
        </is>
      </c>
      <c r="E120" s="121" t="n">
        <v>0</v>
      </c>
      <c r="F120" s="121" t="n">
        <v>0</v>
      </c>
      <c r="G120" s="59" t="str"/>
    </row>
    <row r="121">
      <c r="A121" s="17" t="inlineStr">
        <is>
          <t>16</t>
        </is>
      </c>
      <c r="B121" s="17" t="inlineStr">
        <is>
          <t>Operating Expenses</t>
        </is>
      </c>
      <c r="C121" s="17" t="inlineStr">
        <is>
          <t>Printing / stationery</t>
        </is>
      </c>
      <c r="D121" s="17" t="inlineStr">
        <is>
          <t>BANK_OE_PRINT</t>
        </is>
      </c>
      <c r="E121" s="121" t="n">
        <v>0</v>
      </c>
      <c r="F121" s="121" t="n">
        <v>0</v>
      </c>
      <c r="G121" s="59" t="str"/>
    </row>
    <row r="122">
      <c r="A122" s="17" t="inlineStr">
        <is>
          <t>16</t>
        </is>
      </c>
      <c r="B122" s="17" t="inlineStr">
        <is>
          <t>Operating Expenses</t>
        </is>
      </c>
      <c r="C122" s="17" t="inlineStr">
        <is>
          <t>Advertisement / publicity</t>
        </is>
      </c>
      <c r="D122" s="17" t="inlineStr">
        <is>
          <t>BANK_OE_ADV</t>
        </is>
      </c>
      <c r="E122" s="121" t="n">
        <v>0</v>
      </c>
      <c r="F122" s="121" t="n">
        <v>0</v>
      </c>
      <c r="G122" s="59" t="str"/>
    </row>
    <row r="123">
      <c r="A123" s="17" t="inlineStr">
        <is>
          <t>16</t>
        </is>
      </c>
      <c r="B123" s="17" t="inlineStr">
        <is>
          <t>Operating Expenses</t>
        </is>
      </c>
      <c r="C123" s="17" t="inlineStr">
        <is>
          <t>Depreciation</t>
        </is>
      </c>
      <c r="D123" s="17" t="inlineStr">
        <is>
          <t>BANK_OE_DEP</t>
        </is>
      </c>
      <c r="E123" s="121" t="n">
        <v>0</v>
      </c>
      <c r="F123" s="121" t="n">
        <v>0</v>
      </c>
      <c r="G123" s="59" t="str"/>
    </row>
    <row r="124">
      <c r="A124" s="17" t="inlineStr">
        <is>
          <t>16</t>
        </is>
      </c>
      <c r="B124" s="17" t="inlineStr">
        <is>
          <t>Operating Expenses</t>
        </is>
      </c>
      <c r="C124" s="17" t="inlineStr">
        <is>
          <t>Directors' fees</t>
        </is>
      </c>
      <c r="D124" s="17" t="inlineStr">
        <is>
          <t>BANK_OE_DIR</t>
        </is>
      </c>
      <c r="E124" s="121" t="n">
        <v>0</v>
      </c>
      <c r="F124" s="121" t="n">
        <v>0</v>
      </c>
      <c r="G124" s="59" t="str"/>
    </row>
    <row r="125">
      <c r="A125" s="17" t="inlineStr">
        <is>
          <t>16</t>
        </is>
      </c>
      <c r="B125" s="17" t="inlineStr">
        <is>
          <t>Operating Expenses</t>
        </is>
      </c>
      <c r="C125" s="17" t="inlineStr">
        <is>
          <t>Auditors' fees</t>
        </is>
      </c>
      <c r="D125" s="17" t="inlineStr">
        <is>
          <t>BANK_OE_AUD</t>
        </is>
      </c>
      <c r="E125" s="121" t="n">
        <v>0</v>
      </c>
      <c r="F125" s="121" t="n">
        <v>0</v>
      </c>
      <c r="G125" s="59" t="str"/>
    </row>
    <row r="126">
      <c r="A126" s="17" t="inlineStr">
        <is>
          <t>16</t>
        </is>
      </c>
      <c r="B126" s="17" t="inlineStr">
        <is>
          <t>Operating Expenses</t>
        </is>
      </c>
      <c r="C126" s="17" t="inlineStr">
        <is>
          <t>Law charges</t>
        </is>
      </c>
      <c r="D126" s="17" t="inlineStr">
        <is>
          <t>BANK_OE_LAW</t>
        </is>
      </c>
      <c r="E126" s="121" t="n">
        <v>0</v>
      </c>
      <c r="F126" s="121" t="n">
        <v>0</v>
      </c>
      <c r="G126" s="59" t="str"/>
    </row>
    <row r="127">
      <c r="A127" s="17" t="inlineStr">
        <is>
          <t>16</t>
        </is>
      </c>
      <c r="B127" s="17" t="inlineStr">
        <is>
          <t>Operating Expenses</t>
        </is>
      </c>
      <c r="C127" s="17" t="inlineStr">
        <is>
          <t>Postage / telecom</t>
        </is>
      </c>
      <c r="D127" s="17" t="inlineStr">
        <is>
          <t>BANK_OE_POST</t>
        </is>
      </c>
      <c r="E127" s="121" t="n">
        <v>0</v>
      </c>
      <c r="F127" s="121" t="n">
        <v>0</v>
      </c>
      <c r="G127" s="59" t="str"/>
    </row>
    <row r="128">
      <c r="A128" s="17" t="inlineStr">
        <is>
          <t>16</t>
        </is>
      </c>
      <c r="B128" s="17" t="inlineStr">
        <is>
          <t>Operating Expenses</t>
        </is>
      </c>
      <c r="C128" s="17" t="inlineStr">
        <is>
          <t>Repairs / maintenance</t>
        </is>
      </c>
      <c r="D128" s="17" t="inlineStr">
        <is>
          <t>BANK_OE_REPAIR</t>
        </is>
      </c>
      <c r="E128" s="121" t="n">
        <v>0</v>
      </c>
      <c r="F128" s="121" t="n">
        <v>0</v>
      </c>
      <c r="G128" s="59" t="str"/>
    </row>
    <row r="129">
      <c r="A129" s="17" t="inlineStr">
        <is>
          <t>16</t>
        </is>
      </c>
      <c r="B129" s="17" t="inlineStr">
        <is>
          <t>Operating Expenses</t>
        </is>
      </c>
      <c r="C129" s="17" t="inlineStr">
        <is>
          <t>Insurance</t>
        </is>
      </c>
      <c r="D129" s="17" t="inlineStr">
        <is>
          <t>BANK_OE_INS</t>
        </is>
      </c>
      <c r="E129" s="121" t="n">
        <v>0</v>
      </c>
      <c r="F129" s="121" t="n">
        <v>0</v>
      </c>
      <c r="G129" s="59" t="str"/>
    </row>
    <row r="130">
      <c r="A130" s="17" t="inlineStr">
        <is>
          <t>16</t>
        </is>
      </c>
      <c r="B130" s="17" t="inlineStr">
        <is>
          <t>Operating Expenses</t>
        </is>
      </c>
      <c r="C130" s="17" t="inlineStr">
        <is>
          <t>Other expenditure</t>
        </is>
      </c>
      <c r="D130" s="17" t="inlineStr">
        <is>
          <t>BANK_OE_OTHER</t>
        </is>
      </c>
      <c r="E130" s="121" t="n">
        <v>0</v>
      </c>
      <c r="F130" s="121" t="n">
        <v>0</v>
      </c>
      <c r="G130" s="59" t="str"/>
    </row>
    <row r="131">
      <c r="A131" s="65" t="inlineStr">
        <is>
          <t>16</t>
        </is>
      </c>
      <c r="B131" s="65" t="inlineStr">
        <is>
          <t>Operating Expenses</t>
        </is>
      </c>
      <c r="C131" s="65" t="inlineStr">
        <is>
          <t>Total — Operating Expenses</t>
        </is>
      </c>
      <c r="D131" s="65" t="inlineStr">
        <is>
          <t>__TOTAL__</t>
        </is>
      </c>
      <c r="E131" s="122">
        <f>SUM(E119:E130)</f>
        <v/>
      </c>
      <c r="F131" s="122">
        <f>SUM(F119:F130)</f>
        <v/>
      </c>
      <c r="G131" s="65" t="str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</row>
    <row r="134" ht="26" customHeight="1" s="82">
      <c r="A134" s="79" t="inlineStr">
        <is>
          <t>Validation</t>
        </is>
      </c>
      <c r="B134" s="1" t="n"/>
      <c r="C134" s="1" t="n"/>
      <c r="D134" s="1" t="n"/>
      <c r="E134" s="17" t="n"/>
      <c r="F134" s="17" t="n"/>
      <c r="G134" s="17" t="n"/>
    </row>
    <row r="135">
      <c r="A135" s="14" t="inlineStr">
        <is>
          <t>Check</t>
        </is>
      </c>
      <c r="B135" s="14" t="inlineStr">
        <is>
          <t>Current Period</t>
        </is>
      </c>
      <c r="C135" s="14" t="inlineStr">
        <is>
          <t>Previous Period</t>
        </is>
      </c>
      <c r="D135" s="14" t="inlineStr">
        <is>
          <t>Result</t>
        </is>
      </c>
      <c r="E135" s="17" t="n"/>
      <c r="F135" s="17" t="n"/>
      <c r="G135" s="17" t="n"/>
    </row>
    <row r="136">
      <c r="A136" s="17" t="inlineStr">
        <is>
          <t>Balance Sheet difference</t>
        </is>
      </c>
      <c r="B136" s="17">
        <f>C22-C14</f>
        <v/>
      </c>
      <c r="C136" s="17">
        <f>D22-D14</f>
        <v/>
      </c>
      <c r="D136" s="17">
        <f>IF(AND(ABS(B136)&lt;1,ABS(C136)&lt;1),"PASS","CHECK")</f>
        <v/>
      </c>
      <c r="E136" s="17" t="n"/>
      <c r="F136" s="17" t="n"/>
      <c r="G136" s="17" t="n"/>
    </row>
    <row r="137">
      <c r="A137" s="17" t="inlineStr">
        <is>
          <t>Notes / disclosures</t>
        </is>
      </c>
      <c r="B137" s="17" t="inlineStr">
        <is>
          <t>Review</t>
        </is>
      </c>
      <c r="C137" s="17" t="inlineStr">
        <is>
          <t>Review</t>
        </is>
      </c>
      <c r="D137" s="17" t="inlineStr">
        <is>
          <t>Review</t>
        </is>
      </c>
      <c r="E137" s="17" t="n"/>
      <c r="F137" s="17" t="n"/>
      <c r="G137" s="17" t="n"/>
    </row>
    <row r="138">
      <c r="A138" s="17" t="inlineStr">
        <is>
          <t>Profile readiness</t>
        </is>
      </c>
      <c r="B138" s="17" t="str"/>
      <c r="C138" s="17" t="str"/>
      <c r="D138" s="17">
        <f>IF(D136="PASS","READY FOR REVIEW","NOT READY")</f>
        <v/>
      </c>
      <c r="E138" s="17" t="n"/>
      <c r="F138" s="17" t="n"/>
      <c r="G138" s="17" t="n"/>
    </row>
    <row r="139"/>
    <row r="140"/>
    <row r="141"/>
    <row r="142">
      <c r="A142" s="101" t="inlineStr">
        <is>
          <t>Signatures / Certification</t>
        </is>
      </c>
      <c r="B142" s="101" t="str"/>
      <c r="C142" s="101" t="str"/>
      <c r="D142" s="101" t="str"/>
      <c r="E142" s="101" t="str"/>
      <c r="F142" s="101" t="str"/>
    </row>
    <row r="143">
      <c r="A143" s="112" t="inlineStr">
        <is>
          <t>Entity Signatory</t>
        </is>
      </c>
      <c r="B143" s="104">
        <f>'AAH Basic Info'!B13</f>
        <v/>
      </c>
      <c r="C143" s="115" t="inlineStr">
        <is>
          <t>Designation</t>
        </is>
      </c>
      <c r="D143" s="104">
        <f>'AAH Basic Info'!B14</f>
        <v/>
      </c>
      <c r="E143" s="115" t="inlineStr">
        <is>
          <t>DIN</t>
        </is>
      </c>
      <c r="F143" s="105">
        <f>'AAH Basic Info'!B15</f>
        <v/>
      </c>
    </row>
    <row r="144">
      <c r="A144" s="113" t="inlineStr">
        <is>
          <t>Signing Date</t>
        </is>
      </c>
      <c r="B144" s="107">
        <f>'AAH Basic Info'!B16</f>
        <v/>
      </c>
      <c r="C144" s="116" t="inlineStr">
        <is>
          <t>Place</t>
        </is>
      </c>
      <c r="D144" s="107">
        <f>'AAH Basic Info'!B17</f>
        <v/>
      </c>
      <c r="E144" s="116" t="str"/>
      <c r="F144" s="108" t="str"/>
    </row>
    <row r="145">
      <c r="A145" s="113" t="inlineStr">
        <is>
          <t>Audit Firm</t>
        </is>
      </c>
      <c r="B145" s="107">
        <f>'AAH Basic Info'!B18</f>
        <v/>
      </c>
      <c r="C145" s="116" t="inlineStr">
        <is>
          <t>FRN</t>
        </is>
      </c>
      <c r="D145" s="107">
        <f>'AAH Basic Info'!B19</f>
        <v/>
      </c>
      <c r="E145" s="116" t="str"/>
      <c r="F145" s="108" t="str"/>
    </row>
    <row r="146">
      <c r="A146" s="113" t="inlineStr">
        <is>
          <t>Signing CA</t>
        </is>
      </c>
      <c r="B146" s="107">
        <f>'AAH Basic Info'!B20</f>
        <v/>
      </c>
      <c r="C146" s="116" t="inlineStr">
        <is>
          <t>Designation</t>
        </is>
      </c>
      <c r="D146" s="107">
        <f>'AAH Basic Info'!B21</f>
        <v/>
      </c>
      <c r="E146" s="116" t="inlineStr">
        <is>
          <t>Membership No.</t>
        </is>
      </c>
      <c r="F146" s="108">
        <f>'AAH Basic Info'!B22</f>
        <v/>
      </c>
    </row>
    <row r="147">
      <c r="A147" s="114" t="inlineStr">
        <is>
          <t>Audit Place</t>
        </is>
      </c>
      <c r="B147" s="110">
        <f>'AAH Basic Info'!B23</f>
        <v/>
      </c>
      <c r="C147" s="117" t="inlineStr">
        <is>
          <t>Signing Date</t>
        </is>
      </c>
      <c r="D147" s="110">
        <f>'AAH Basic Info'!B30</f>
        <v/>
      </c>
      <c r="E147" s="117" t="str"/>
      <c r="F147" s="111" t="str"/>
    </row>
  </sheetData>
  <mergeCells count="6">
    <mergeCell ref="A27:D27"/>
    <mergeCell ref="A1:G1"/>
    <mergeCell ref="A6:D6"/>
    <mergeCell ref="A134:D134"/>
    <mergeCell ref="A2:G2"/>
    <mergeCell ref="A43:G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Life Insurance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IRDAI | Official source: https://irdai.gov.in/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Form A-BS — Life Insurance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Schedule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SOURCES OF FUNDS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Share Capital</t>
        </is>
      </c>
      <c r="B9" s="17" t="inlineStr">
        <is>
          <t>1</t>
        </is>
      </c>
      <c r="C9" s="120">
        <f>E51</f>
        <v/>
      </c>
      <c r="D9" s="120">
        <f>F51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E56</f>
        <v/>
      </c>
      <c r="D10" s="120">
        <f>F56</f>
        <v/>
      </c>
      <c r="E10" s="17" t="n"/>
      <c r="F10" s="17" t="n"/>
      <c r="G10" s="17" t="n"/>
    </row>
    <row r="11">
      <c r="A11" s="17" t="inlineStr">
        <is>
          <t>Borrowings</t>
        </is>
      </c>
      <c r="B11" s="17" t="inlineStr">
        <is>
          <t>3</t>
        </is>
      </c>
      <c r="C11" s="120">
        <f>E58</f>
        <v/>
      </c>
      <c r="D11" s="120">
        <f>F58</f>
        <v/>
      </c>
      <c r="E11" s="17" t="n"/>
      <c r="F11" s="17" t="n"/>
      <c r="G11" s="17" t="n"/>
    </row>
    <row r="12">
      <c r="A12" s="17" t="inlineStr">
        <is>
          <t>Policy Liabilities / Mathematical Reserves</t>
        </is>
      </c>
      <c r="B12" s="17" t="inlineStr">
        <is>
          <t>12</t>
        </is>
      </c>
      <c r="C12" s="120">
        <f>E77</f>
        <v/>
      </c>
      <c r="D12" s="120">
        <f>F77</f>
        <v/>
      </c>
      <c r="E12" s="17" t="n"/>
      <c r="F12" s="17" t="n"/>
      <c r="G12" s="17" t="n"/>
    </row>
    <row r="13">
      <c r="A13" s="65" t="inlineStr">
        <is>
          <t>TOTAL SOURCES OF FUNDS</t>
        </is>
      </c>
      <c r="B13" s="65" t="str"/>
      <c r="C13" s="122">
        <f>SUM(C9,C10,C11,C12)</f>
        <v/>
      </c>
      <c r="D13" s="122">
        <f>SUM(D9,D10,D11,D12)</f>
        <v/>
      </c>
      <c r="E13" s="17" t="n"/>
      <c r="F13" s="17" t="n"/>
      <c r="G13" s="17" t="n"/>
    </row>
    <row r="14">
      <c r="A14" s="42" t="inlineStr">
        <is>
          <t>APPLICATION OF FUNDS</t>
        </is>
      </c>
      <c r="B14" s="42" t="str"/>
      <c r="C14" s="118" t="n"/>
      <c r="D14" s="118" t="n"/>
      <c r="E14" s="17" t="n"/>
      <c r="F14" s="17" t="n"/>
      <c r="G14" s="17" t="n"/>
    </row>
    <row r="15">
      <c r="A15" s="17" t="inlineStr">
        <is>
          <t>Investments - Shareholders</t>
        </is>
      </c>
      <c r="B15" s="17" t="inlineStr">
        <is>
          <t>4</t>
        </is>
      </c>
      <c r="C15" s="120">
        <f>E60</f>
        <v/>
      </c>
      <c r="D15" s="120">
        <f>F60</f>
        <v/>
      </c>
      <c r="E15" s="17" t="n"/>
      <c r="F15" s="17" t="n"/>
      <c r="G15" s="17" t="n"/>
    </row>
    <row r="16">
      <c r="A16" s="17" t="inlineStr">
        <is>
          <t>Investments - Policyholders</t>
        </is>
      </c>
      <c r="B16" s="17" t="inlineStr">
        <is>
          <t>5</t>
        </is>
      </c>
      <c r="C16" s="120">
        <f>E62</f>
        <v/>
      </c>
      <c r="D16" s="120">
        <f>F62</f>
        <v/>
      </c>
      <c r="E16" s="17" t="n"/>
      <c r="F16" s="17" t="n"/>
      <c r="G16" s="17" t="n"/>
    </row>
    <row r="17">
      <c r="A17" s="17" t="inlineStr">
        <is>
          <t>Loans</t>
        </is>
      </c>
      <c r="B17" s="17" t="inlineStr">
        <is>
          <t>6</t>
        </is>
      </c>
      <c r="C17" s="120">
        <f>E64</f>
        <v/>
      </c>
      <c r="D17" s="120">
        <f>F64</f>
        <v/>
      </c>
      <c r="E17" s="17" t="n"/>
      <c r="F17" s="17" t="n"/>
      <c r="G17" s="17" t="n"/>
    </row>
    <row r="18">
      <c r="A18" s="17" t="inlineStr">
        <is>
          <t>Fixed Assets</t>
        </is>
      </c>
      <c r="B18" s="17" t="inlineStr">
        <is>
          <t>7</t>
        </is>
      </c>
      <c r="C18" s="120">
        <f>E66</f>
        <v/>
      </c>
      <c r="D18" s="120">
        <f>F66</f>
        <v/>
      </c>
      <c r="E18" s="17" t="n"/>
      <c r="F18" s="17" t="n"/>
      <c r="G18" s="17" t="n"/>
    </row>
    <row r="19">
      <c r="A19" s="17" t="inlineStr">
        <is>
          <t>Cash and Bank Balances</t>
        </is>
      </c>
      <c r="B19" s="17" t="inlineStr">
        <is>
          <t>8</t>
        </is>
      </c>
      <c r="C19" s="120">
        <f>E68</f>
        <v/>
      </c>
      <c r="D19" s="120">
        <f>F68</f>
        <v/>
      </c>
      <c r="E19" s="17" t="n"/>
      <c r="F19" s="17" t="n"/>
      <c r="G19" s="17" t="n"/>
    </row>
    <row r="20">
      <c r="A20" s="17" t="inlineStr">
        <is>
          <t>Advances and Other Assets</t>
        </is>
      </c>
      <c r="B20" s="17" t="inlineStr">
        <is>
          <t>9</t>
        </is>
      </c>
      <c r="C20" s="120">
        <f>E71</f>
        <v/>
      </c>
      <c r="D20" s="120">
        <f>F71</f>
        <v/>
      </c>
      <c r="E20" s="17" t="n"/>
      <c r="F20" s="17" t="n"/>
      <c r="G20" s="17" t="n"/>
    </row>
    <row r="21">
      <c r="A21" s="17" t="inlineStr">
        <is>
          <t>Current Liabilities</t>
        </is>
      </c>
      <c r="B21" s="17" t="inlineStr">
        <is>
          <t>10</t>
        </is>
      </c>
      <c r="C21" s="120">
        <f>E73</f>
        <v/>
      </c>
      <c r="D21" s="120">
        <f>F73</f>
        <v/>
      </c>
      <c r="E21" s="17" t="n"/>
      <c r="F21" s="17" t="n"/>
      <c r="G21" s="17" t="n"/>
    </row>
    <row r="22">
      <c r="A22" s="17" t="inlineStr">
        <is>
          <t>Provisions</t>
        </is>
      </c>
      <c r="B22" s="17" t="inlineStr">
        <is>
          <t>11</t>
        </is>
      </c>
      <c r="C22" s="120">
        <f>E75</f>
        <v/>
      </c>
      <c r="D22" s="120">
        <f>F75</f>
        <v/>
      </c>
      <c r="E22" s="17" t="n"/>
      <c r="F22" s="17" t="n"/>
      <c r="G22" s="17" t="n"/>
    </row>
    <row r="23">
      <c r="A23" s="17" t="inlineStr">
        <is>
          <t>Fair Value Change Account</t>
        </is>
      </c>
      <c r="B23" s="17" t="inlineStr">
        <is>
          <t>13</t>
        </is>
      </c>
      <c r="C23" s="120">
        <f>E79</f>
        <v/>
      </c>
      <c r="D23" s="120">
        <f>F79</f>
        <v/>
      </c>
      <c r="E23" s="17" t="n"/>
      <c r="F23" s="17" t="n"/>
      <c r="G23" s="17" t="n"/>
    </row>
    <row r="24">
      <c r="A24" s="17" t="inlineStr">
        <is>
          <t>Other / Miscellaneous Assets</t>
        </is>
      </c>
      <c r="B24" s="17" t="inlineStr">
        <is>
          <t>14</t>
        </is>
      </c>
      <c r="C24" s="120">
        <f>E81</f>
        <v/>
      </c>
      <c r="D24" s="120">
        <f>F81</f>
        <v/>
      </c>
      <c r="E24" s="17" t="n"/>
      <c r="F24" s="17" t="n"/>
      <c r="G24" s="17" t="n"/>
    </row>
    <row r="25">
      <c r="A25" s="65" t="inlineStr">
        <is>
          <t>TOTAL APPLICATION OF FUNDS</t>
        </is>
      </c>
      <c r="B25" s="65" t="str"/>
      <c r="C25" s="122">
        <f>SUM(C15,C16,C17,C18,C19,C20,C21,C22,C23,C24)</f>
        <v/>
      </c>
      <c r="D25" s="122">
        <f>SUM(D15,D16,D17,D18,D19,D20,D21,D22,D23,D24)</f>
        <v/>
      </c>
      <c r="E25" s="17" t="n"/>
      <c r="F25" s="17" t="n"/>
      <c r="G25" s="17" t="n"/>
    </row>
    <row r="26">
      <c r="A26" s="17" t="n"/>
      <c r="B26" s="17" t="n"/>
      <c r="C26" s="120" t="n"/>
      <c r="D26" s="120" t="n"/>
      <c r="E26" s="17" t="n"/>
      <c r="F26" s="17" t="n"/>
      <c r="G26" s="17" t="n"/>
    </row>
    <row r="27">
      <c r="A27" s="17" t="n"/>
      <c r="B27" s="17" t="n"/>
      <c r="C27" s="120" t="n"/>
      <c r="D27" s="120" t="n"/>
      <c r="E27" s="17" t="n"/>
      <c r="F27" s="17" t="n"/>
      <c r="G27" s="17" t="n"/>
    </row>
    <row r="28">
      <c r="A28" s="71" t="inlineStr">
        <is>
          <t>Policyholders' Revenue Account / Shareholders' Profit and Loss Account</t>
        </is>
      </c>
      <c r="B28" s="1" t="n"/>
      <c r="C28" s="1" t="n"/>
      <c r="D28" s="1" t="n"/>
      <c r="E28" s="17" t="n"/>
      <c r="F28" s="17" t="n"/>
      <c r="G28" s="17" t="n"/>
    </row>
    <row r="29">
      <c r="A29" s="14" t="inlineStr">
        <is>
          <t>Particulars</t>
        </is>
      </c>
      <c r="B29" s="14" t="inlineStr">
        <is>
          <t>Schedule</t>
        </is>
      </c>
      <c r="C29" s="123" t="inlineStr">
        <is>
          <t>Current Reporting Period</t>
        </is>
      </c>
      <c r="D29" s="123" t="inlineStr">
        <is>
          <t>Previous Reporting Period</t>
        </is>
      </c>
      <c r="E29" s="17" t="n"/>
      <c r="F29" s="17" t="n"/>
      <c r="G29" s="17" t="n"/>
    </row>
    <row r="30">
      <c r="A30" s="42" t="inlineStr">
        <is>
          <t>POLICYHOLDERS' REVENUE ACCOUNT</t>
        </is>
      </c>
      <c r="B30" s="42" t="str"/>
      <c r="C30" s="118" t="n"/>
      <c r="D30" s="118" t="n"/>
      <c r="E30" s="17" t="n"/>
      <c r="F30" s="17" t="n"/>
      <c r="G30" s="17" t="n"/>
    </row>
    <row r="31">
      <c r="A31" s="17" t="inlineStr">
        <is>
          <t>Premium Earned / Net</t>
        </is>
      </c>
      <c r="B31" s="17" t="inlineStr">
        <is>
          <t>15</t>
        </is>
      </c>
      <c r="C31" s="120">
        <f>E83</f>
        <v/>
      </c>
      <c r="D31" s="120">
        <f>F83</f>
        <v/>
      </c>
      <c r="E31" s="17" t="n"/>
      <c r="F31" s="17" t="n"/>
      <c r="G31" s="17" t="n"/>
    </row>
    <row r="32">
      <c r="A32" s="17" t="inlineStr">
        <is>
          <t>Income from Investments</t>
        </is>
      </c>
      <c r="B32" s="17" t="inlineStr">
        <is>
          <t>16</t>
        </is>
      </c>
      <c r="C32" s="120">
        <f>E85</f>
        <v/>
      </c>
      <c r="D32" s="120">
        <f>F85</f>
        <v/>
      </c>
      <c r="E32" s="17" t="n"/>
      <c r="F32" s="17" t="n"/>
      <c r="G32" s="17" t="n"/>
    </row>
    <row r="33">
      <c r="A33" s="17" t="inlineStr">
        <is>
          <t>Other Income</t>
        </is>
      </c>
      <c r="B33" s="17" t="inlineStr">
        <is>
          <t>—</t>
        </is>
      </c>
      <c r="C33" s="121" t="n"/>
      <c r="D33" s="121" t="n"/>
      <c r="E33" s="17" t="n"/>
      <c r="F33" s="17" t="n"/>
      <c r="G33" s="17" t="n"/>
    </row>
    <row r="34">
      <c r="A34" s="17" t="inlineStr">
        <is>
          <t>Commission</t>
        </is>
      </c>
      <c r="B34" s="17" t="inlineStr">
        <is>
          <t>17</t>
        </is>
      </c>
      <c r="C34" s="120">
        <f>E87</f>
        <v/>
      </c>
      <c r="D34" s="120">
        <f>F87</f>
        <v/>
      </c>
      <c r="E34" s="17" t="n"/>
      <c r="F34" s="17" t="n"/>
      <c r="G34" s="17" t="n"/>
    </row>
    <row r="35">
      <c r="A35" s="17" t="inlineStr">
        <is>
          <t>Operating Expenses</t>
        </is>
      </c>
      <c r="B35" s="17" t="inlineStr">
        <is>
          <t>18</t>
        </is>
      </c>
      <c r="C35" s="120">
        <f>E89</f>
        <v/>
      </c>
      <c r="D35" s="120">
        <f>F89</f>
        <v/>
      </c>
      <c r="E35" s="17" t="n"/>
      <c r="F35" s="17" t="n"/>
      <c r="G35" s="17" t="n"/>
    </row>
    <row r="36">
      <c r="A36" s="17" t="inlineStr">
        <is>
          <t>Benefits Paid</t>
        </is>
      </c>
      <c r="B36" s="17" t="inlineStr">
        <is>
          <t>19</t>
        </is>
      </c>
      <c r="C36" s="120">
        <f>E91</f>
        <v/>
      </c>
      <c r="D36" s="120">
        <f>F91</f>
        <v/>
      </c>
      <c r="E36" s="17" t="n"/>
      <c r="F36" s="17" t="n"/>
      <c r="G36" s="17" t="n"/>
    </row>
    <row r="37">
      <c r="A37" s="17" t="inlineStr">
        <is>
          <t>Change in Valuation of Liability</t>
        </is>
      </c>
      <c r="B37" s="17" t="inlineStr">
        <is>
          <t>20</t>
        </is>
      </c>
      <c r="C37" s="120">
        <f>E93</f>
        <v/>
      </c>
      <c r="D37" s="120">
        <f>F93</f>
        <v/>
      </c>
      <c r="E37" s="17" t="n"/>
      <c r="F37" s="17" t="n"/>
      <c r="G37" s="17" t="n"/>
    </row>
    <row r="38">
      <c r="A38" s="65" t="inlineStr">
        <is>
          <t>Surplus / (Deficit)</t>
        </is>
      </c>
      <c r="B38" s="65" t="str"/>
      <c r="C38" s="122">
        <f>0</f>
        <v/>
      </c>
      <c r="D38" s="122">
        <f>0</f>
        <v/>
      </c>
      <c r="E38" s="17" t="n"/>
      <c r="F38" s="17" t="n"/>
      <c r="G38" s="17" t="n"/>
    </row>
    <row r="39">
      <c r="A39" s="42" t="inlineStr">
        <is>
          <t>SHAREHOLDERS' PROFIT AND LOSS ACCOUNT</t>
        </is>
      </c>
      <c r="B39" s="42" t="str"/>
      <c r="C39" s="118" t="n"/>
      <c r="D39" s="118" t="n"/>
      <c r="E39" s="17" t="n"/>
      <c r="F39" s="17" t="n"/>
      <c r="G39" s="17" t="n"/>
    </row>
    <row r="40">
      <c r="A40" s="17" t="inlineStr">
        <is>
          <t>Transfer from Policyholders' Account</t>
        </is>
      </c>
      <c r="B40" s="17" t="inlineStr">
        <is>
          <t>—</t>
        </is>
      </c>
      <c r="C40" s="121" t="n"/>
      <c r="D40" s="121" t="n"/>
      <c r="E40" s="17" t="n"/>
      <c r="F40" s="17" t="n"/>
      <c r="G40" s="17" t="n"/>
    </row>
    <row r="41">
      <c r="A41" s="17" t="inlineStr">
        <is>
          <t>Investment Income - Shareholders</t>
        </is>
      </c>
      <c r="B41" s="17" t="inlineStr">
        <is>
          <t>16</t>
        </is>
      </c>
      <c r="C41" s="120">
        <f>E85</f>
        <v/>
      </c>
      <c r="D41" s="120">
        <f>F85</f>
        <v/>
      </c>
      <c r="E41" s="17" t="n"/>
      <c r="F41" s="17" t="n"/>
      <c r="G41" s="17" t="n"/>
    </row>
    <row r="42">
      <c r="A42" s="17" t="inlineStr">
        <is>
          <t>Other Income</t>
        </is>
      </c>
      <c r="B42" s="17" t="inlineStr">
        <is>
          <t>—</t>
        </is>
      </c>
      <c r="C42" s="121" t="n"/>
      <c r="D42" s="121" t="n"/>
      <c r="E42" s="17" t="n"/>
      <c r="F42" s="17" t="n"/>
      <c r="G42" s="17" t="n"/>
    </row>
    <row r="43">
      <c r="A43" s="17" t="inlineStr">
        <is>
          <t>Expenses / Provisions</t>
        </is>
      </c>
      <c r="B43" s="17" t="inlineStr">
        <is>
          <t>—</t>
        </is>
      </c>
      <c r="C43" s="121" t="n"/>
      <c r="D43" s="121" t="n"/>
      <c r="E43" s="17" t="n"/>
      <c r="F43" s="17" t="n"/>
      <c r="G43" s="17" t="n"/>
    </row>
    <row r="44">
      <c r="A44" s="17" t="inlineStr">
        <is>
          <t>Tax</t>
        </is>
      </c>
      <c r="B44" s="17" t="inlineStr">
        <is>
          <t>—</t>
        </is>
      </c>
      <c r="C44" s="121" t="n"/>
      <c r="D44" s="121" t="n"/>
      <c r="E44" s="17" t="n"/>
      <c r="F44" s="17" t="n"/>
      <c r="G44" s="17" t="n"/>
    </row>
    <row r="45">
      <c r="A45" s="65" t="inlineStr">
        <is>
          <t>Profit / (Loss)</t>
        </is>
      </c>
      <c r="B45" s="65" t="str"/>
      <c r="C45" s="122">
        <f>C38-SUM(C40,C41,C42,C43,C44)</f>
        <v/>
      </c>
      <c r="D45" s="122">
        <f>D38-SUM(D40,D41,D42,D43,D44)</f>
        <v/>
      </c>
      <c r="E45" s="17" t="n"/>
      <c r="F45" s="17" t="n"/>
      <c r="G45" s="17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7" t="n"/>
      <c r="B47" s="17" t="n"/>
      <c r="C47" s="17" t="n"/>
      <c r="D47" s="17" t="n"/>
      <c r="E47" s="17" t="n"/>
      <c r="F47" s="17" t="n"/>
      <c r="G47" s="17" t="n"/>
    </row>
    <row r="48" ht="26" customHeight="1" s="82">
      <c r="A48" s="79" t="inlineStr">
        <is>
          <t>Notes / Schedules — linked source for face statements</t>
        </is>
      </c>
      <c r="B48" s="1" t="n"/>
      <c r="C48" s="1" t="n"/>
      <c r="D48" s="1" t="n"/>
      <c r="E48" s="1" t="n"/>
      <c r="F48" s="1" t="n"/>
      <c r="G48" s="1" t="n"/>
    </row>
    <row r="49">
      <c r="A49" s="14" t="inlineStr">
        <is>
          <t>Note</t>
        </is>
      </c>
      <c r="B49" s="14" t="inlineStr">
        <is>
          <t>Note Title</t>
        </is>
      </c>
      <c r="C49" s="14" t="inlineStr">
        <is>
          <t>Statutory Line Item</t>
        </is>
      </c>
      <c r="D49" s="14" t="inlineStr">
        <is>
          <t>AAH Mapping Key</t>
        </is>
      </c>
      <c r="E49" s="14" t="inlineStr">
        <is>
          <t>Current Period</t>
        </is>
      </c>
      <c r="F49" s="14" t="inlineStr">
        <is>
          <t>Previous Period</t>
        </is>
      </c>
      <c r="G49" s="14" t="inlineStr">
        <is>
          <t>Disclosure / Remarks</t>
        </is>
      </c>
    </row>
    <row r="50">
      <c r="A50" s="17" t="inlineStr">
        <is>
          <t>1</t>
        </is>
      </c>
      <c r="B50" s="17" t="inlineStr">
        <is>
          <t>Share Capital</t>
        </is>
      </c>
      <c r="C50" s="17" t="inlineStr">
        <is>
          <t>Share capital</t>
        </is>
      </c>
      <c r="D50" s="17" t="inlineStr">
        <is>
          <t>INS_CAP</t>
        </is>
      </c>
      <c r="E50" s="121" t="n">
        <v>0</v>
      </c>
      <c r="F50" s="121" t="n">
        <v>0</v>
      </c>
      <c r="G50" s="59" t="str"/>
    </row>
    <row r="51">
      <c r="A51" s="65" t="inlineStr">
        <is>
          <t>1</t>
        </is>
      </c>
      <c r="B51" s="65" t="inlineStr">
        <is>
          <t>Share Capital</t>
        </is>
      </c>
      <c r="C51" s="65" t="inlineStr">
        <is>
          <t>Total — Share Capital</t>
        </is>
      </c>
      <c r="D51" s="65" t="inlineStr">
        <is>
          <t>__TOTAL__</t>
        </is>
      </c>
      <c r="E51" s="122">
        <f>SUM(E50:E50)</f>
        <v/>
      </c>
      <c r="F51" s="122">
        <f>SUM(F50:F50)</f>
        <v/>
      </c>
      <c r="G51" s="65" t="str"/>
    </row>
    <row r="52">
      <c r="A52" s="17" t="inlineStr">
        <is>
          <t>2</t>
        </is>
      </c>
      <c r="B52" s="17" t="inlineStr">
        <is>
          <t>Reserves and Surplus</t>
        </is>
      </c>
      <c r="C52" s="17" t="inlineStr">
        <is>
          <t>Capital reserve</t>
        </is>
      </c>
      <c r="D52" s="17" t="inlineStr">
        <is>
          <t>INS_RES_CAP</t>
        </is>
      </c>
      <c r="E52" s="121" t="n">
        <v>0</v>
      </c>
      <c r="F52" s="121" t="n">
        <v>0</v>
      </c>
      <c r="G52" s="59" t="str"/>
    </row>
    <row r="53">
      <c r="A53" s="17" t="inlineStr">
        <is>
          <t>2</t>
        </is>
      </c>
      <c r="B53" s="17" t="inlineStr">
        <is>
          <t>Reserves and Surplus</t>
        </is>
      </c>
      <c r="C53" s="17" t="inlineStr">
        <is>
          <t>Share premium</t>
        </is>
      </c>
      <c r="D53" s="17" t="inlineStr">
        <is>
          <t>INS_RES_SP</t>
        </is>
      </c>
      <c r="E53" s="121" t="n">
        <v>0</v>
      </c>
      <c r="F53" s="121" t="n">
        <v>0</v>
      </c>
      <c r="G53" s="59" t="str"/>
    </row>
    <row r="54">
      <c r="A54" s="17" t="inlineStr">
        <is>
          <t>2</t>
        </is>
      </c>
      <c r="B54" s="17" t="inlineStr">
        <is>
          <t>Reserves and Surplus</t>
        </is>
      </c>
      <c r="C54" s="17" t="inlineStr">
        <is>
          <t>Other reserves</t>
        </is>
      </c>
      <c r="D54" s="17" t="inlineStr">
        <is>
          <t>INS_RES_OTHER</t>
        </is>
      </c>
      <c r="E54" s="121" t="n">
        <v>0</v>
      </c>
      <c r="F54" s="121" t="n">
        <v>0</v>
      </c>
      <c r="G54" s="59" t="str"/>
    </row>
    <row r="55">
      <c r="A55" s="17" t="inlineStr">
        <is>
          <t>2</t>
        </is>
      </c>
      <c r="B55" s="17" t="inlineStr">
        <is>
          <t>Reserves and Surplus</t>
        </is>
      </c>
      <c r="C55" s="17" t="inlineStr">
        <is>
          <t>P&amp;L balance</t>
        </is>
      </c>
      <c r="D55" s="17" t="inlineStr">
        <is>
          <t>INS_RES_PL</t>
        </is>
      </c>
      <c r="E55" s="121" t="n">
        <v>0</v>
      </c>
      <c r="F55" s="121" t="n">
        <v>0</v>
      </c>
      <c r="G55" s="59" t="str"/>
    </row>
    <row r="56">
      <c r="A56" s="65" t="inlineStr">
        <is>
          <t>2</t>
        </is>
      </c>
      <c r="B56" s="65" t="inlineStr">
        <is>
          <t>Reserves and Surplus</t>
        </is>
      </c>
      <c r="C56" s="65" t="inlineStr">
        <is>
          <t>Total — Reserves and Surplus</t>
        </is>
      </c>
      <c r="D56" s="65" t="inlineStr">
        <is>
          <t>__TOTAL__</t>
        </is>
      </c>
      <c r="E56" s="122">
        <f>SUM(E52:E55)</f>
        <v/>
      </c>
      <c r="F56" s="122">
        <f>SUM(F52:F55)</f>
        <v/>
      </c>
      <c r="G56" s="65" t="str"/>
    </row>
    <row r="57">
      <c r="A57" s="17" t="inlineStr">
        <is>
          <t>3</t>
        </is>
      </c>
      <c r="B57" s="17" t="inlineStr">
        <is>
          <t>Borrowings</t>
        </is>
      </c>
      <c r="C57" s="17" t="inlineStr">
        <is>
          <t>Borrowings</t>
        </is>
      </c>
      <c r="D57" s="17" t="inlineStr">
        <is>
          <t>INS_BORR</t>
        </is>
      </c>
      <c r="E57" s="121" t="n">
        <v>0</v>
      </c>
      <c r="F57" s="121" t="n">
        <v>0</v>
      </c>
      <c r="G57" s="59" t="str"/>
    </row>
    <row r="58">
      <c r="A58" s="65" t="inlineStr">
        <is>
          <t>3</t>
        </is>
      </c>
      <c r="B58" s="65" t="inlineStr">
        <is>
          <t>Borrowings</t>
        </is>
      </c>
      <c r="C58" s="65" t="inlineStr">
        <is>
          <t>Total — Borrowings</t>
        </is>
      </c>
      <c r="D58" s="65" t="inlineStr">
        <is>
          <t>__TOTAL__</t>
        </is>
      </c>
      <c r="E58" s="122">
        <f>SUM(E57:E57)</f>
        <v/>
      </c>
      <c r="F58" s="122">
        <f>SUM(F57:F57)</f>
        <v/>
      </c>
      <c r="G58" s="65" t="str"/>
    </row>
    <row r="59">
      <c r="A59" s="17" t="inlineStr">
        <is>
          <t>4</t>
        </is>
      </c>
      <c r="B59" s="17" t="inlineStr">
        <is>
          <t>Investments - Shareholders</t>
        </is>
      </c>
      <c r="C59" s="17" t="inlineStr">
        <is>
          <t>Shareholders' investments</t>
        </is>
      </c>
      <c r="D59" s="17" t="inlineStr">
        <is>
          <t>INS_INV_SH</t>
        </is>
      </c>
      <c r="E59" s="121" t="n">
        <v>0</v>
      </c>
      <c r="F59" s="121" t="n">
        <v>0</v>
      </c>
      <c r="G59" s="59" t="str"/>
    </row>
    <row r="60">
      <c r="A60" s="65" t="inlineStr">
        <is>
          <t>4</t>
        </is>
      </c>
      <c r="B60" s="65" t="inlineStr">
        <is>
          <t>Investments - Shareholders</t>
        </is>
      </c>
      <c r="C60" s="65" t="inlineStr">
        <is>
          <t>Total — Investments - Shareholders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5</t>
        </is>
      </c>
      <c r="B61" s="17" t="inlineStr">
        <is>
          <t>Investments - Policyholders</t>
        </is>
      </c>
      <c r="C61" s="17" t="inlineStr">
        <is>
          <t>Policyholders' investments</t>
        </is>
      </c>
      <c r="D61" s="17" t="inlineStr">
        <is>
          <t>INS_INV_PH</t>
        </is>
      </c>
      <c r="E61" s="121" t="n">
        <v>0</v>
      </c>
      <c r="F61" s="121" t="n">
        <v>0</v>
      </c>
      <c r="G61" s="59" t="str"/>
    </row>
    <row r="62">
      <c r="A62" s="65" t="inlineStr">
        <is>
          <t>5</t>
        </is>
      </c>
      <c r="B62" s="65" t="inlineStr">
        <is>
          <t>Investments - Policyholders</t>
        </is>
      </c>
      <c r="C62" s="65" t="inlineStr">
        <is>
          <t>Total — Investments - Policyholders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6</t>
        </is>
      </c>
      <c r="B63" s="17" t="inlineStr">
        <is>
          <t>Loans</t>
        </is>
      </c>
      <c r="C63" s="17" t="inlineStr">
        <is>
          <t>Loans</t>
        </is>
      </c>
      <c r="D63" s="17" t="inlineStr">
        <is>
          <t>INS_LOANS</t>
        </is>
      </c>
      <c r="E63" s="121" t="n">
        <v>0</v>
      </c>
      <c r="F63" s="121" t="n">
        <v>0</v>
      </c>
      <c r="G63" s="59" t="str"/>
    </row>
    <row r="64">
      <c r="A64" s="65" t="inlineStr">
        <is>
          <t>6</t>
        </is>
      </c>
      <c r="B64" s="65" t="inlineStr">
        <is>
          <t>Loans</t>
        </is>
      </c>
      <c r="C64" s="65" t="inlineStr">
        <is>
          <t>Total — Loans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7</t>
        </is>
      </c>
      <c r="B65" s="17" t="inlineStr">
        <is>
          <t>Fixed Assets</t>
        </is>
      </c>
      <c r="C65" s="17" t="inlineStr">
        <is>
          <t>Fixed assets</t>
        </is>
      </c>
      <c r="D65" s="17" t="inlineStr">
        <is>
          <t>INS_FA</t>
        </is>
      </c>
      <c r="E65" s="121" t="n">
        <v>0</v>
      </c>
      <c r="F65" s="121" t="n">
        <v>0</v>
      </c>
      <c r="G65" s="59" t="str"/>
    </row>
    <row r="66">
      <c r="A66" s="65" t="inlineStr">
        <is>
          <t>7</t>
        </is>
      </c>
      <c r="B66" s="65" t="inlineStr">
        <is>
          <t>Fixed Assets</t>
        </is>
      </c>
      <c r="C66" s="65" t="inlineStr">
        <is>
          <t>Total — Fixed Assets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8</t>
        </is>
      </c>
      <c r="B67" s="17" t="inlineStr">
        <is>
          <t>Cash and Bank Balances</t>
        </is>
      </c>
      <c r="C67" s="17" t="inlineStr">
        <is>
          <t>Cash and bank balances</t>
        </is>
      </c>
      <c r="D67" s="17" t="inlineStr">
        <is>
          <t>INS_CASH</t>
        </is>
      </c>
      <c r="E67" s="121" t="n">
        <v>0</v>
      </c>
      <c r="F67" s="121" t="n">
        <v>0</v>
      </c>
      <c r="G67" s="59" t="str"/>
    </row>
    <row r="68">
      <c r="A68" s="65" t="inlineStr">
        <is>
          <t>8</t>
        </is>
      </c>
      <c r="B68" s="65" t="inlineStr">
        <is>
          <t>Cash and Bank Balances</t>
        </is>
      </c>
      <c r="C68" s="65" t="inlineStr">
        <is>
          <t>Total — Cash and Bank Balances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9</t>
        </is>
      </c>
      <c r="B69" s="17" t="inlineStr">
        <is>
          <t>Advances and Other Assets</t>
        </is>
      </c>
      <c r="C69" s="17" t="inlineStr">
        <is>
          <t>Advances</t>
        </is>
      </c>
      <c r="D69" s="17" t="inlineStr">
        <is>
          <t>INS_ADV</t>
        </is>
      </c>
      <c r="E69" s="121" t="n">
        <v>0</v>
      </c>
      <c r="F69" s="121" t="n">
        <v>0</v>
      </c>
      <c r="G69" s="59" t="str"/>
    </row>
    <row r="70">
      <c r="A70" s="17" t="inlineStr">
        <is>
          <t>9</t>
        </is>
      </c>
      <c r="B70" s="17" t="inlineStr">
        <is>
          <t>Advances and Other Assets</t>
        </is>
      </c>
      <c r="C70" s="17" t="inlineStr">
        <is>
          <t>Other assets</t>
        </is>
      </c>
      <c r="D70" s="17" t="inlineStr">
        <is>
          <t>INS_OA</t>
        </is>
      </c>
      <c r="E70" s="121" t="n">
        <v>0</v>
      </c>
      <c r="F70" s="121" t="n">
        <v>0</v>
      </c>
      <c r="G70" s="59" t="str"/>
    </row>
    <row r="71">
      <c r="A71" s="65" t="inlineStr">
        <is>
          <t>9</t>
        </is>
      </c>
      <c r="B71" s="65" t="inlineStr">
        <is>
          <t>Advances and Other Assets</t>
        </is>
      </c>
      <c r="C71" s="65" t="inlineStr">
        <is>
          <t>Total — Advances and Other Assets</t>
        </is>
      </c>
      <c r="D71" s="65" t="inlineStr">
        <is>
          <t>__TOTAL__</t>
        </is>
      </c>
      <c r="E71" s="122">
        <f>SUM(E69:E70)</f>
        <v/>
      </c>
      <c r="F71" s="122">
        <f>SUM(F69:F70)</f>
        <v/>
      </c>
      <c r="G71" s="65" t="str"/>
    </row>
    <row r="72">
      <c r="A72" s="17" t="inlineStr">
        <is>
          <t>10</t>
        </is>
      </c>
      <c r="B72" s="17" t="inlineStr">
        <is>
          <t>Current Liabilities</t>
        </is>
      </c>
      <c r="C72" s="17" t="inlineStr">
        <is>
          <t>Current liabilities</t>
        </is>
      </c>
      <c r="D72" s="17" t="inlineStr">
        <is>
          <t>INS_CL</t>
        </is>
      </c>
      <c r="E72" s="121" t="n">
        <v>0</v>
      </c>
      <c r="F72" s="121" t="n">
        <v>0</v>
      </c>
      <c r="G72" s="59" t="str"/>
    </row>
    <row r="73">
      <c r="A73" s="65" t="inlineStr">
        <is>
          <t>10</t>
        </is>
      </c>
      <c r="B73" s="65" t="inlineStr">
        <is>
          <t>Current Liabilities</t>
        </is>
      </c>
      <c r="C73" s="65" t="inlineStr">
        <is>
          <t>Total — Current Liabilities</t>
        </is>
      </c>
      <c r="D73" s="65" t="inlineStr">
        <is>
          <t>__TOTAL__</t>
        </is>
      </c>
      <c r="E73" s="122">
        <f>SUM(E72:E72)</f>
        <v/>
      </c>
      <c r="F73" s="122">
        <f>SUM(F72:F72)</f>
        <v/>
      </c>
      <c r="G73" s="65" t="str"/>
    </row>
    <row r="74">
      <c r="A74" s="17" t="inlineStr">
        <is>
          <t>11</t>
        </is>
      </c>
      <c r="B74" s="17" t="inlineStr">
        <is>
          <t>Provisions</t>
        </is>
      </c>
      <c r="C74" s="17" t="inlineStr">
        <is>
          <t>Provisions</t>
        </is>
      </c>
      <c r="D74" s="17" t="inlineStr">
        <is>
          <t>INS_PROV</t>
        </is>
      </c>
      <c r="E74" s="121" t="n">
        <v>0</v>
      </c>
      <c r="F74" s="121" t="n">
        <v>0</v>
      </c>
      <c r="G74" s="59" t="str"/>
    </row>
    <row r="75">
      <c r="A75" s="65" t="inlineStr">
        <is>
          <t>11</t>
        </is>
      </c>
      <c r="B75" s="65" t="inlineStr">
        <is>
          <t>Provisions</t>
        </is>
      </c>
      <c r="C75" s="65" t="inlineStr">
        <is>
          <t>Total — Provisions</t>
        </is>
      </c>
      <c r="D75" s="65" t="inlineStr">
        <is>
          <t>__TOTAL__</t>
        </is>
      </c>
      <c r="E75" s="122">
        <f>SUM(E74:E74)</f>
        <v/>
      </c>
      <c r="F75" s="122">
        <f>SUM(F74:F74)</f>
        <v/>
      </c>
      <c r="G75" s="65" t="str"/>
    </row>
    <row r="76">
      <c r="A76" s="17" t="inlineStr">
        <is>
          <t>12</t>
        </is>
      </c>
      <c r="B76" s="17" t="inlineStr">
        <is>
          <t>Policy Liabilities / Mathematical Reserves</t>
        </is>
      </c>
      <c r="C76" s="17" t="inlineStr">
        <is>
          <t>Policy liabilities / mathematical reserves</t>
        </is>
      </c>
      <c r="D76" s="17" t="inlineStr">
        <is>
          <t>INS_POLLIAB</t>
        </is>
      </c>
      <c r="E76" s="121" t="n">
        <v>0</v>
      </c>
      <c r="F76" s="121" t="n">
        <v>0</v>
      </c>
      <c r="G76" s="59" t="str"/>
    </row>
    <row r="77">
      <c r="A77" s="65" t="inlineStr">
        <is>
          <t>12</t>
        </is>
      </c>
      <c r="B77" s="65" t="inlineStr">
        <is>
          <t>Policy Liabilities / Mathematical Reserves</t>
        </is>
      </c>
      <c r="C77" s="65" t="inlineStr">
        <is>
          <t>Total — Policy Liabilities / Mathematical Reserves</t>
        </is>
      </c>
      <c r="D77" s="65" t="inlineStr">
        <is>
          <t>__TOTAL__</t>
        </is>
      </c>
      <c r="E77" s="122">
        <f>SUM(E76:E76)</f>
        <v/>
      </c>
      <c r="F77" s="122">
        <f>SUM(F76:F76)</f>
        <v/>
      </c>
      <c r="G77" s="65" t="str"/>
    </row>
    <row r="78">
      <c r="A78" s="17" t="inlineStr">
        <is>
          <t>13</t>
        </is>
      </c>
      <c r="B78" s="17" t="inlineStr">
        <is>
          <t>Fair Value Change Account</t>
        </is>
      </c>
      <c r="C78" s="17" t="inlineStr">
        <is>
          <t>Fair value change account</t>
        </is>
      </c>
      <c r="D78" s="17" t="inlineStr">
        <is>
          <t>INS_FVCA</t>
        </is>
      </c>
      <c r="E78" s="121" t="n">
        <v>0</v>
      </c>
      <c r="F78" s="121" t="n">
        <v>0</v>
      </c>
      <c r="G78" s="59" t="str"/>
    </row>
    <row r="79">
      <c r="A79" s="65" t="inlineStr">
        <is>
          <t>13</t>
        </is>
      </c>
      <c r="B79" s="65" t="inlineStr">
        <is>
          <t>Fair Value Change Account</t>
        </is>
      </c>
      <c r="C79" s="65" t="inlineStr">
        <is>
          <t>Total — Fair Value Change Account</t>
        </is>
      </c>
      <c r="D79" s="65" t="inlineStr">
        <is>
          <t>__TOTAL__</t>
        </is>
      </c>
      <c r="E79" s="122">
        <f>SUM(E78:E78)</f>
        <v/>
      </c>
      <c r="F79" s="122">
        <f>SUM(F78:F78)</f>
        <v/>
      </c>
      <c r="G79" s="65" t="str"/>
    </row>
    <row r="80">
      <c r="A80" s="17" t="inlineStr">
        <is>
          <t>14</t>
        </is>
      </c>
      <c r="B80" s="17" t="inlineStr">
        <is>
          <t>Other / Miscellaneous Assets</t>
        </is>
      </c>
      <c r="C80" s="17" t="inlineStr">
        <is>
          <t>Other / miscellaneous assets</t>
        </is>
      </c>
      <c r="D80" s="17" t="inlineStr">
        <is>
          <t>INS_MISC</t>
        </is>
      </c>
      <c r="E80" s="121" t="n">
        <v>0</v>
      </c>
      <c r="F80" s="121" t="n">
        <v>0</v>
      </c>
      <c r="G80" s="59" t="str"/>
    </row>
    <row r="81">
      <c r="A81" s="65" t="inlineStr">
        <is>
          <t>14</t>
        </is>
      </c>
      <c r="B81" s="65" t="inlineStr">
        <is>
          <t>Other / Miscellaneous Assets</t>
        </is>
      </c>
      <c r="C81" s="65" t="inlineStr">
        <is>
          <t>Total — Other / Miscellaneous Assets</t>
        </is>
      </c>
      <c r="D81" s="65" t="inlineStr">
        <is>
          <t>__TOTAL__</t>
        </is>
      </c>
      <c r="E81" s="122">
        <f>SUM(E80:E80)</f>
        <v/>
      </c>
      <c r="F81" s="122">
        <f>SUM(F80:F80)</f>
        <v/>
      </c>
      <c r="G81" s="65" t="str"/>
    </row>
    <row r="82">
      <c r="A82" s="17" t="inlineStr">
        <is>
          <t>15</t>
        </is>
      </c>
      <c r="B82" s="17" t="inlineStr">
        <is>
          <t>Premium Earned / Net</t>
        </is>
      </c>
      <c r="C82" s="17" t="inlineStr">
        <is>
          <t>Premium</t>
        </is>
      </c>
      <c r="D82" s="17" t="inlineStr">
        <is>
          <t>INS_PREM</t>
        </is>
      </c>
      <c r="E82" s="121" t="n">
        <v>0</v>
      </c>
      <c r="F82" s="121" t="n">
        <v>0</v>
      </c>
      <c r="G82" s="59" t="str"/>
    </row>
    <row r="83">
      <c r="A83" s="65" t="inlineStr">
        <is>
          <t>15</t>
        </is>
      </c>
      <c r="B83" s="65" t="inlineStr">
        <is>
          <t>Premium Earned / Net</t>
        </is>
      </c>
      <c r="C83" s="65" t="inlineStr">
        <is>
          <t>Total — Premium Earned / Net</t>
        </is>
      </c>
      <c r="D83" s="65" t="inlineStr">
        <is>
          <t>__TOTAL__</t>
        </is>
      </c>
      <c r="E83" s="122">
        <f>SUM(E82:E82)</f>
        <v/>
      </c>
      <c r="F83" s="122">
        <f>SUM(F82:F82)</f>
        <v/>
      </c>
      <c r="G83" s="65" t="str"/>
    </row>
    <row r="84">
      <c r="A84" s="17" t="inlineStr">
        <is>
          <t>16</t>
        </is>
      </c>
      <c r="B84" s="17" t="inlineStr">
        <is>
          <t>Income from Investments</t>
        </is>
      </c>
      <c r="C84" s="17" t="inlineStr">
        <is>
          <t>Investment income</t>
        </is>
      </c>
      <c r="D84" s="17" t="inlineStr">
        <is>
          <t>INS_INVINC</t>
        </is>
      </c>
      <c r="E84" s="121" t="n">
        <v>0</v>
      </c>
      <c r="F84" s="121" t="n">
        <v>0</v>
      </c>
      <c r="G84" s="59" t="str"/>
    </row>
    <row r="85">
      <c r="A85" s="65" t="inlineStr">
        <is>
          <t>16</t>
        </is>
      </c>
      <c r="B85" s="65" t="inlineStr">
        <is>
          <t>Income from Investments</t>
        </is>
      </c>
      <c r="C85" s="65" t="inlineStr">
        <is>
          <t>Total — Income from Investments</t>
        </is>
      </c>
      <c r="D85" s="65" t="inlineStr">
        <is>
          <t>__TOTAL__</t>
        </is>
      </c>
      <c r="E85" s="122">
        <f>SUM(E84:E84)</f>
        <v/>
      </c>
      <c r="F85" s="122">
        <f>SUM(F84:F84)</f>
        <v/>
      </c>
      <c r="G85" s="65" t="str"/>
    </row>
    <row r="86">
      <c r="A86" s="17" t="inlineStr">
        <is>
          <t>17</t>
        </is>
      </c>
      <c r="B86" s="17" t="inlineStr">
        <is>
          <t>Commission</t>
        </is>
      </c>
      <c r="C86" s="17" t="inlineStr">
        <is>
          <t>Commission</t>
        </is>
      </c>
      <c r="D86" s="17" t="inlineStr">
        <is>
          <t>INS_COMM</t>
        </is>
      </c>
      <c r="E86" s="121" t="n">
        <v>0</v>
      </c>
      <c r="F86" s="121" t="n">
        <v>0</v>
      </c>
      <c r="G86" s="59" t="str"/>
    </row>
    <row r="87">
      <c r="A87" s="65" t="inlineStr">
        <is>
          <t>17</t>
        </is>
      </c>
      <c r="B87" s="65" t="inlineStr">
        <is>
          <t>Commission</t>
        </is>
      </c>
      <c r="C87" s="65" t="inlineStr">
        <is>
          <t>Total — Commission</t>
        </is>
      </c>
      <c r="D87" s="65" t="inlineStr">
        <is>
          <t>__TOTAL__</t>
        </is>
      </c>
      <c r="E87" s="122">
        <f>SUM(E86:E86)</f>
        <v/>
      </c>
      <c r="F87" s="122">
        <f>SUM(F86:F86)</f>
        <v/>
      </c>
      <c r="G87" s="65" t="str"/>
    </row>
    <row r="88">
      <c r="A88" s="17" t="inlineStr">
        <is>
          <t>18</t>
        </is>
      </c>
      <c r="B88" s="17" t="inlineStr">
        <is>
          <t>Operating Expenses</t>
        </is>
      </c>
      <c r="C88" s="17" t="inlineStr">
        <is>
          <t>Operating expenses</t>
        </is>
      </c>
      <c r="D88" s="17" t="inlineStr">
        <is>
          <t>INS_OPEX</t>
        </is>
      </c>
      <c r="E88" s="121" t="n">
        <v>0</v>
      </c>
      <c r="F88" s="121" t="n">
        <v>0</v>
      </c>
      <c r="G88" s="59" t="str"/>
    </row>
    <row r="89">
      <c r="A89" s="65" t="inlineStr">
        <is>
          <t>18</t>
        </is>
      </c>
      <c r="B89" s="65" t="inlineStr">
        <is>
          <t>Operating Expenses</t>
        </is>
      </c>
      <c r="C89" s="65" t="inlineStr">
        <is>
          <t>Total — Operating Expenses</t>
        </is>
      </c>
      <c r="D89" s="65" t="inlineStr">
        <is>
          <t>__TOTAL__</t>
        </is>
      </c>
      <c r="E89" s="122">
        <f>SUM(E88:E88)</f>
        <v/>
      </c>
      <c r="F89" s="122">
        <f>SUM(F88:F88)</f>
        <v/>
      </c>
      <c r="G89" s="65" t="str"/>
    </row>
    <row r="90">
      <c r="A90" s="17" t="inlineStr">
        <is>
          <t>19</t>
        </is>
      </c>
      <c r="B90" s="17" t="inlineStr">
        <is>
          <t>Benefits Paid</t>
        </is>
      </c>
      <c r="C90" s="17" t="inlineStr">
        <is>
          <t>Benefits paid</t>
        </is>
      </c>
      <c r="D90" s="17" t="inlineStr">
        <is>
          <t>INS_BEN</t>
        </is>
      </c>
      <c r="E90" s="121" t="n">
        <v>0</v>
      </c>
      <c r="F90" s="121" t="n">
        <v>0</v>
      </c>
      <c r="G90" s="59" t="str"/>
    </row>
    <row r="91">
      <c r="A91" s="65" t="inlineStr">
        <is>
          <t>19</t>
        </is>
      </c>
      <c r="B91" s="65" t="inlineStr">
        <is>
          <t>Benefits Paid</t>
        </is>
      </c>
      <c r="C91" s="65" t="inlineStr">
        <is>
          <t>Total — Benefits Paid</t>
        </is>
      </c>
      <c r="D91" s="65" t="inlineStr">
        <is>
          <t>__TOTAL__</t>
        </is>
      </c>
      <c r="E91" s="122">
        <f>SUM(E90:E90)</f>
        <v/>
      </c>
      <c r="F91" s="122">
        <f>SUM(F90:F90)</f>
        <v/>
      </c>
      <c r="G91" s="65" t="str"/>
    </row>
    <row r="92">
      <c r="A92" s="17" t="inlineStr">
        <is>
          <t>20</t>
        </is>
      </c>
      <c r="B92" s="17" t="inlineStr">
        <is>
          <t>Change in Valuation of Liability</t>
        </is>
      </c>
      <c r="C92" s="17" t="inlineStr">
        <is>
          <t>Change in valuation of liability</t>
        </is>
      </c>
      <c r="D92" s="17" t="inlineStr">
        <is>
          <t>INS_CHGVAL</t>
        </is>
      </c>
      <c r="E92" s="121" t="n">
        <v>0</v>
      </c>
      <c r="F92" s="121" t="n">
        <v>0</v>
      </c>
      <c r="G92" s="59" t="str"/>
    </row>
    <row r="93">
      <c r="A93" s="65" t="inlineStr">
        <is>
          <t>20</t>
        </is>
      </c>
      <c r="B93" s="65" t="inlineStr">
        <is>
          <t>Change in Valuation of Liability</t>
        </is>
      </c>
      <c r="C93" s="65" t="inlineStr">
        <is>
          <t>Total — Change in Valuation of Liability</t>
        </is>
      </c>
      <c r="D93" s="65" t="inlineStr">
        <is>
          <t>__TOTAL__</t>
        </is>
      </c>
      <c r="E93" s="122">
        <f>SUM(E92:E92)</f>
        <v/>
      </c>
      <c r="F93" s="122">
        <f>SUM(F92:F92)</f>
        <v/>
      </c>
      <c r="G93" s="65" t="str"/>
    </row>
    <row r="94">
      <c r="A94" s="17" t="n"/>
      <c r="B94" s="17" t="n"/>
      <c r="C94" s="17" t="n"/>
      <c r="D94" s="17" t="n"/>
      <c r="E94" s="17" t="n"/>
      <c r="F94" s="17" t="n"/>
      <c r="G94" s="17" t="n"/>
    </row>
    <row r="95">
      <c r="A95" s="17" t="n"/>
      <c r="B95" s="17" t="n"/>
      <c r="C95" s="17" t="n"/>
      <c r="D95" s="17" t="n"/>
      <c r="E95" s="17" t="n"/>
      <c r="F95" s="17" t="n"/>
      <c r="G95" s="17" t="n"/>
    </row>
    <row r="96" ht="26" customHeight="1" s="82">
      <c r="A96" s="79" t="inlineStr">
        <is>
          <t>Validation</t>
        </is>
      </c>
      <c r="B96" s="1" t="n"/>
      <c r="C96" s="1" t="n"/>
      <c r="D96" s="1" t="n"/>
      <c r="E96" s="17" t="n"/>
      <c r="F96" s="17" t="n"/>
      <c r="G96" s="17" t="n"/>
    </row>
    <row r="97">
      <c r="A97" s="14" t="inlineStr">
        <is>
          <t>Check</t>
        </is>
      </c>
      <c r="B97" s="14" t="inlineStr">
        <is>
          <t>Current Period</t>
        </is>
      </c>
      <c r="C97" s="14" t="inlineStr">
        <is>
          <t>Previous Period</t>
        </is>
      </c>
      <c r="D97" s="14" t="inlineStr">
        <is>
          <t>Result</t>
        </is>
      </c>
      <c r="E97" s="17" t="n"/>
      <c r="F97" s="17" t="n"/>
      <c r="G97" s="17" t="n"/>
    </row>
    <row r="98">
      <c r="A98" s="17" t="inlineStr">
        <is>
          <t>Balance Sheet difference</t>
        </is>
      </c>
      <c r="B98" s="17" t="n"/>
      <c r="C98" s="17" t="n"/>
      <c r="D98" s="17" t="n"/>
      <c r="E98" s="17" t="n"/>
      <c r="F98" s="17" t="n"/>
      <c r="G98" s="17" t="n"/>
    </row>
    <row r="99">
      <c r="A99" s="17" t="inlineStr">
        <is>
          <t>Notes / disclosures</t>
        </is>
      </c>
      <c r="B99" s="17" t="inlineStr">
        <is>
          <t>Review</t>
        </is>
      </c>
      <c r="C99" s="17" t="inlineStr">
        <is>
          <t>Review</t>
        </is>
      </c>
      <c r="D99" s="17" t="inlineStr">
        <is>
          <t>Review</t>
        </is>
      </c>
      <c r="E99" s="17" t="n"/>
      <c r="F99" s="17" t="n"/>
      <c r="G99" s="17" t="n"/>
    </row>
    <row r="100">
      <c r="A100" s="17" t="inlineStr">
        <is>
          <t>Profile readiness</t>
        </is>
      </c>
      <c r="B100" s="17" t="str"/>
      <c r="C100" s="17" t="str"/>
      <c r="D100" s="17" t="inlineStr">
        <is>
          <t>READY FOR REVIEW</t>
        </is>
      </c>
      <c r="E100" s="17" t="n"/>
      <c r="F100" s="17" t="n"/>
      <c r="G100" s="17" t="n"/>
    </row>
    <row r="101"/>
    <row r="102"/>
    <row r="103"/>
    <row r="104">
      <c r="A104" s="101" t="inlineStr">
        <is>
          <t>Signatures / Certification</t>
        </is>
      </c>
      <c r="B104" s="101" t="str"/>
      <c r="C104" s="101" t="str"/>
      <c r="D104" s="101" t="str"/>
      <c r="E104" s="101" t="str"/>
      <c r="F104" s="101" t="str"/>
    </row>
    <row r="105">
      <c r="A105" s="112" t="inlineStr">
        <is>
          <t>Entity Signatory</t>
        </is>
      </c>
      <c r="B105" s="104">
        <f>'AAH Basic Info'!B13</f>
        <v/>
      </c>
      <c r="C105" s="115" t="inlineStr">
        <is>
          <t>Designation</t>
        </is>
      </c>
      <c r="D105" s="104">
        <f>'AAH Basic Info'!B14</f>
        <v/>
      </c>
      <c r="E105" s="115" t="inlineStr">
        <is>
          <t>DIN</t>
        </is>
      </c>
      <c r="F105" s="105">
        <f>'AAH Basic Info'!B15</f>
        <v/>
      </c>
    </row>
    <row r="106">
      <c r="A106" s="113" t="inlineStr">
        <is>
          <t>Signing Date</t>
        </is>
      </c>
      <c r="B106" s="107">
        <f>'AAH Basic Info'!B16</f>
        <v/>
      </c>
      <c r="C106" s="116" t="inlineStr">
        <is>
          <t>Place</t>
        </is>
      </c>
      <c r="D106" s="107">
        <f>'AAH Basic Info'!B17</f>
        <v/>
      </c>
      <c r="E106" s="116" t="str"/>
      <c r="F106" s="108" t="str"/>
    </row>
    <row r="107">
      <c r="A107" s="113" t="inlineStr">
        <is>
          <t>Audit Firm</t>
        </is>
      </c>
      <c r="B107" s="107">
        <f>'AAH Basic Info'!B18</f>
        <v/>
      </c>
      <c r="C107" s="116" t="inlineStr">
        <is>
          <t>FRN</t>
        </is>
      </c>
      <c r="D107" s="107">
        <f>'AAH Basic Info'!B19</f>
        <v/>
      </c>
      <c r="E107" s="116" t="str"/>
      <c r="F107" s="108" t="str"/>
    </row>
    <row r="108">
      <c r="A108" s="113" t="inlineStr">
        <is>
          <t>Signing CA</t>
        </is>
      </c>
      <c r="B108" s="107">
        <f>'AAH Basic Info'!B20</f>
        <v/>
      </c>
      <c r="C108" s="116" t="inlineStr">
        <is>
          <t>Designation</t>
        </is>
      </c>
      <c r="D108" s="107">
        <f>'AAH Basic Info'!B21</f>
        <v/>
      </c>
      <c r="E108" s="116" t="inlineStr">
        <is>
          <t>Membership No.</t>
        </is>
      </c>
      <c r="F108" s="108">
        <f>'AAH Basic Info'!B22</f>
        <v/>
      </c>
    </row>
    <row r="109">
      <c r="A109" s="114" t="inlineStr">
        <is>
          <t>Audit Place</t>
        </is>
      </c>
      <c r="B109" s="110">
        <f>'AAH Basic Info'!B23</f>
        <v/>
      </c>
      <c r="C109" s="117" t="inlineStr">
        <is>
          <t>Signing Date</t>
        </is>
      </c>
      <c r="D109" s="110">
        <f>'AAH Basic Info'!B30</f>
        <v/>
      </c>
      <c r="E109" s="117" t="str"/>
      <c r="F109" s="111" t="str"/>
    </row>
  </sheetData>
  <mergeCells count="6">
    <mergeCell ref="A1:G1"/>
    <mergeCell ref="A6:D6"/>
    <mergeCell ref="A96:D96"/>
    <mergeCell ref="A48:G48"/>
    <mergeCell ref="A2:G2"/>
    <mergeCell ref="A28:D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General Insurance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IRDAI | Official source: https://irdai.gov.in/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Form B-BS —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Schedule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SOURCES OF FUNDS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Share Capital</t>
        </is>
      </c>
      <c r="B9" s="17" t="inlineStr">
        <is>
          <t>1</t>
        </is>
      </c>
      <c r="C9" s="120">
        <f>E48</f>
        <v/>
      </c>
      <c r="D9" s="120">
        <f>F48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E50</f>
        <v/>
      </c>
      <c r="D10" s="120">
        <f>F50</f>
        <v/>
      </c>
      <c r="E10" s="17" t="n"/>
      <c r="F10" s="17" t="n"/>
      <c r="G10" s="17" t="n"/>
    </row>
    <row r="11">
      <c r="A11" s="17" t="inlineStr">
        <is>
          <t>Borrowings</t>
        </is>
      </c>
      <c r="B11" s="17" t="inlineStr">
        <is>
          <t>3</t>
        </is>
      </c>
      <c r="C11" s="120">
        <f>E52</f>
        <v/>
      </c>
      <c r="D11" s="120">
        <f>F52</f>
        <v/>
      </c>
      <c r="E11" s="17" t="n"/>
      <c r="F11" s="17" t="n"/>
      <c r="G11" s="17" t="n"/>
    </row>
    <row r="12">
      <c r="A12" s="65" t="inlineStr">
        <is>
          <t>TOTAL SOURCES OF FUNDS</t>
        </is>
      </c>
      <c r="B12" s="65" t="str"/>
      <c r="C12" s="122">
        <f>SUM(C9,C10,C11)</f>
        <v/>
      </c>
      <c r="D12" s="122">
        <f>SUM(D9,D10,D11)</f>
        <v/>
      </c>
      <c r="E12" s="17" t="n"/>
      <c r="F12" s="17" t="n"/>
      <c r="G12" s="17" t="n"/>
    </row>
    <row r="13">
      <c r="A13" s="42" t="inlineStr">
        <is>
          <t>APPLICATION OF FUNDS</t>
        </is>
      </c>
      <c r="B13" s="42" t="str"/>
      <c r="C13" s="118" t="n"/>
      <c r="D13" s="118" t="n"/>
      <c r="E13" s="17" t="n"/>
      <c r="F13" s="17" t="n"/>
      <c r="G13" s="17" t="n"/>
    </row>
    <row r="14">
      <c r="A14" s="17" t="inlineStr">
        <is>
          <t>Investments</t>
        </is>
      </c>
      <c r="B14" s="17" t="inlineStr">
        <is>
          <t>4</t>
        </is>
      </c>
      <c r="C14" s="120">
        <f>E54</f>
        <v/>
      </c>
      <c r="D14" s="120">
        <f>F54</f>
        <v/>
      </c>
      <c r="E14" s="17" t="n"/>
      <c r="F14" s="17" t="n"/>
      <c r="G14" s="17" t="n"/>
    </row>
    <row r="15">
      <c r="A15" s="17" t="inlineStr">
        <is>
          <t>Loans</t>
        </is>
      </c>
      <c r="B15" s="17" t="inlineStr">
        <is>
          <t>5</t>
        </is>
      </c>
      <c r="C15" s="120">
        <f>E56</f>
        <v/>
      </c>
      <c r="D15" s="120">
        <f>F56</f>
        <v/>
      </c>
      <c r="E15" s="17" t="n"/>
      <c r="F15" s="17" t="n"/>
      <c r="G15" s="17" t="n"/>
    </row>
    <row r="16">
      <c r="A16" s="17" t="inlineStr">
        <is>
          <t>Fixed Assets</t>
        </is>
      </c>
      <c r="B16" s="17" t="inlineStr">
        <is>
          <t>6</t>
        </is>
      </c>
      <c r="C16" s="120">
        <f>E58</f>
        <v/>
      </c>
      <c r="D16" s="120">
        <f>F58</f>
        <v/>
      </c>
      <c r="E16" s="17" t="n"/>
      <c r="F16" s="17" t="n"/>
      <c r="G16" s="17" t="n"/>
    </row>
    <row r="17">
      <c r="A17" s="17" t="inlineStr">
        <is>
          <t>Cash and Bank Balances</t>
        </is>
      </c>
      <c r="B17" s="17" t="inlineStr">
        <is>
          <t>7</t>
        </is>
      </c>
      <c r="C17" s="120">
        <f>E60</f>
        <v/>
      </c>
      <c r="D17" s="120">
        <f>F60</f>
        <v/>
      </c>
      <c r="E17" s="17" t="n"/>
      <c r="F17" s="17" t="n"/>
      <c r="G17" s="17" t="n"/>
    </row>
    <row r="18">
      <c r="A18" s="17" t="inlineStr">
        <is>
          <t>Advances and Other Assets</t>
        </is>
      </c>
      <c r="B18" s="17" t="inlineStr">
        <is>
          <t>8</t>
        </is>
      </c>
      <c r="C18" s="120">
        <f>E62</f>
        <v/>
      </c>
      <c r="D18" s="120">
        <f>F62</f>
        <v/>
      </c>
      <c r="E18" s="17" t="n"/>
      <c r="F18" s="17" t="n"/>
      <c r="G18" s="17" t="n"/>
    </row>
    <row r="19">
      <c r="A19" s="17" t="inlineStr">
        <is>
          <t>Current Liabilities</t>
        </is>
      </c>
      <c r="B19" s="17" t="inlineStr">
        <is>
          <t>9</t>
        </is>
      </c>
      <c r="C19" s="120">
        <f>E64</f>
        <v/>
      </c>
      <c r="D19" s="120">
        <f>F64</f>
        <v/>
      </c>
      <c r="E19" s="17" t="n"/>
      <c r="F19" s="17" t="n"/>
      <c r="G19" s="17" t="n"/>
    </row>
    <row r="20">
      <c r="A20" s="17" t="inlineStr">
        <is>
          <t>Provisions</t>
        </is>
      </c>
      <c r="B20" s="17" t="inlineStr">
        <is>
          <t>10</t>
        </is>
      </c>
      <c r="C20" s="120">
        <f>E66</f>
        <v/>
      </c>
      <c r="D20" s="120">
        <f>F66</f>
        <v/>
      </c>
      <c r="E20" s="17" t="n"/>
      <c r="F20" s="17" t="n"/>
      <c r="G20" s="17" t="n"/>
    </row>
    <row r="21">
      <c r="A21" s="17" t="inlineStr">
        <is>
          <t>Fair Value Change Account</t>
        </is>
      </c>
      <c r="B21" s="17" t="inlineStr">
        <is>
          <t>11</t>
        </is>
      </c>
      <c r="C21" s="120">
        <f>E68</f>
        <v/>
      </c>
      <c r="D21" s="120">
        <f>F68</f>
        <v/>
      </c>
      <c r="E21" s="17" t="n"/>
      <c r="F21" s="17" t="n"/>
      <c r="G21" s="17" t="n"/>
    </row>
    <row r="22">
      <c r="A22" s="17" t="inlineStr">
        <is>
          <t>Insurance / Regulatory Reserves</t>
        </is>
      </c>
      <c r="B22" s="17" t="inlineStr">
        <is>
          <t>18</t>
        </is>
      </c>
      <c r="C22" s="120">
        <f>E82</f>
        <v/>
      </c>
      <c r="D22" s="120">
        <f>F82</f>
        <v/>
      </c>
      <c r="E22" s="17" t="n"/>
      <c r="F22" s="17" t="n"/>
      <c r="G22" s="17" t="n"/>
    </row>
    <row r="23">
      <c r="A23" s="65" t="inlineStr">
        <is>
          <t>TOTAL APPLICATION OF FUNDS</t>
        </is>
      </c>
      <c r="B23" s="65" t="str"/>
      <c r="C23" s="122">
        <f>SUM(C14,C15,C16,C17,C18,C19,C20,C21,C22)</f>
        <v/>
      </c>
      <c r="D23" s="122">
        <f>SUM(D14,D15,D16,D17,D18,D19,D20,D21,D22)</f>
        <v/>
      </c>
      <c r="E23" s="17" t="n"/>
      <c r="F23" s="17" t="n"/>
      <c r="G23" s="17" t="n"/>
    </row>
    <row r="24">
      <c r="A24" s="17" t="n"/>
      <c r="B24" s="17" t="n"/>
      <c r="C24" s="120" t="n"/>
      <c r="D24" s="120" t="n"/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71" t="inlineStr">
        <is>
          <t>Revenue Account / Profit and Loss Account</t>
        </is>
      </c>
      <c r="B26" s="1" t="n"/>
      <c r="C26" s="1" t="n"/>
      <c r="D26" s="1" t="n"/>
      <c r="E26" s="17" t="n"/>
      <c r="F26" s="17" t="n"/>
      <c r="G26" s="17" t="n"/>
    </row>
    <row r="27">
      <c r="A27" s="14" t="inlineStr">
        <is>
          <t>Particulars</t>
        </is>
      </c>
      <c r="B27" s="14" t="inlineStr">
        <is>
          <t>Schedule</t>
        </is>
      </c>
      <c r="C27" s="123" t="inlineStr">
        <is>
          <t>Current Reporting Period</t>
        </is>
      </c>
      <c r="D27" s="123" t="inlineStr">
        <is>
          <t>Previous Reporting Period</t>
        </is>
      </c>
      <c r="E27" s="17" t="n"/>
      <c r="F27" s="17" t="n"/>
      <c r="G27" s="17" t="n"/>
    </row>
    <row r="28">
      <c r="A28" s="42" t="inlineStr">
        <is>
          <t>REVENUE ACCOUNT</t>
        </is>
      </c>
      <c r="B28" s="42" t="str"/>
      <c r="C28" s="118" t="n"/>
      <c r="D28" s="118" t="n"/>
      <c r="E28" s="17" t="n"/>
      <c r="F28" s="17" t="n"/>
      <c r="G28" s="17" t="n"/>
    </row>
    <row r="29">
      <c r="A29" s="17" t="inlineStr">
        <is>
          <t>Premium Earned (Net)</t>
        </is>
      </c>
      <c r="B29" s="17" t="inlineStr">
        <is>
          <t>12</t>
        </is>
      </c>
      <c r="C29" s="120">
        <f>E70</f>
        <v/>
      </c>
      <c r="D29" s="120">
        <f>F70</f>
        <v/>
      </c>
      <c r="E29" s="17" t="n"/>
      <c r="F29" s="17" t="n"/>
      <c r="G29" s="17" t="n"/>
    </row>
    <row r="30">
      <c r="A30" s="17" t="inlineStr">
        <is>
          <t>Claims Incurred (Net)</t>
        </is>
      </c>
      <c r="B30" s="17" t="inlineStr">
        <is>
          <t>13</t>
        </is>
      </c>
      <c r="C30" s="120">
        <f>E72</f>
        <v/>
      </c>
      <c r="D30" s="120">
        <f>F72</f>
        <v/>
      </c>
      <c r="E30" s="17" t="n"/>
      <c r="F30" s="17" t="n"/>
      <c r="G30" s="17" t="n"/>
    </row>
    <row r="31">
      <c r="A31" s="17" t="inlineStr">
        <is>
          <t>Commission</t>
        </is>
      </c>
      <c r="B31" s="17" t="inlineStr">
        <is>
          <t>14</t>
        </is>
      </c>
      <c r="C31" s="120">
        <f>E74</f>
        <v/>
      </c>
      <c r="D31" s="120">
        <f>F74</f>
        <v/>
      </c>
      <c r="E31" s="17" t="n"/>
      <c r="F31" s="17" t="n"/>
      <c r="G31" s="17" t="n"/>
    </row>
    <row r="32">
      <c r="A32" s="17" t="inlineStr">
        <is>
          <t>Operating Expenses</t>
        </is>
      </c>
      <c r="B32" s="17" t="inlineStr">
        <is>
          <t>15</t>
        </is>
      </c>
      <c r="C32" s="120">
        <f>E76</f>
        <v/>
      </c>
      <c r="D32" s="120">
        <f>F76</f>
        <v/>
      </c>
      <c r="E32" s="17" t="n"/>
      <c r="F32" s="17" t="n"/>
      <c r="G32" s="17" t="n"/>
    </row>
    <row r="33">
      <c r="A33" s="17" t="inlineStr">
        <is>
          <t>Investment Income</t>
        </is>
      </c>
      <c r="B33" s="17" t="inlineStr">
        <is>
          <t>16</t>
        </is>
      </c>
      <c r="C33" s="120">
        <f>E78</f>
        <v/>
      </c>
      <c r="D33" s="120">
        <f>F78</f>
        <v/>
      </c>
      <c r="E33" s="17" t="n"/>
      <c r="F33" s="17" t="n"/>
      <c r="G33" s="17" t="n"/>
    </row>
    <row r="34">
      <c r="A34" s="17" t="inlineStr">
        <is>
          <t>Other Income</t>
        </is>
      </c>
      <c r="B34" s="17" t="inlineStr">
        <is>
          <t>17</t>
        </is>
      </c>
      <c r="C34" s="120">
        <f>E80</f>
        <v/>
      </c>
      <c r="D34" s="120">
        <f>F80</f>
        <v/>
      </c>
      <c r="E34" s="17" t="n"/>
      <c r="F34" s="17" t="n"/>
      <c r="G34" s="17" t="n"/>
    </row>
    <row r="35">
      <c r="A35" s="65" t="inlineStr">
        <is>
          <t>Operating Profit / (Loss)</t>
        </is>
      </c>
      <c r="B35" s="65" t="str"/>
      <c r="C35" s="122">
        <f>0</f>
        <v/>
      </c>
      <c r="D35" s="122">
        <f>0</f>
        <v/>
      </c>
      <c r="E35" s="17" t="n"/>
      <c r="F35" s="17" t="n"/>
      <c r="G35" s="17" t="n"/>
    </row>
    <row r="36">
      <c r="A36" s="42" t="inlineStr">
        <is>
          <t>PROFIT AND LOSS ACCOUNT</t>
        </is>
      </c>
      <c r="B36" s="42" t="str"/>
      <c r="C36" s="118" t="n"/>
      <c r="D36" s="118" t="n"/>
      <c r="E36" s="17" t="n"/>
      <c r="F36" s="17" t="n"/>
      <c r="G36" s="17" t="n"/>
    </row>
    <row r="37">
      <c r="A37" s="17" t="inlineStr">
        <is>
          <t>Transfer from Revenue Accounts</t>
        </is>
      </c>
      <c r="B37" s="17" t="inlineStr">
        <is>
          <t>—</t>
        </is>
      </c>
      <c r="C37" s="121" t="n"/>
      <c r="D37" s="121" t="n"/>
      <c r="E37" s="17" t="n"/>
      <c r="F37" s="17" t="n"/>
      <c r="G37" s="17" t="n"/>
    </row>
    <row r="38">
      <c r="A38" s="17" t="inlineStr">
        <is>
          <t>Investment Income</t>
        </is>
      </c>
      <c r="B38" s="17" t="inlineStr">
        <is>
          <t>16</t>
        </is>
      </c>
      <c r="C38" s="120">
        <f>E78</f>
        <v/>
      </c>
      <c r="D38" s="120">
        <f>F78</f>
        <v/>
      </c>
      <c r="E38" s="17" t="n"/>
      <c r="F38" s="17" t="n"/>
      <c r="G38" s="17" t="n"/>
    </row>
    <row r="39">
      <c r="A39" s="17" t="inlineStr">
        <is>
          <t>Other Income</t>
        </is>
      </c>
      <c r="B39" s="17" t="inlineStr">
        <is>
          <t>17</t>
        </is>
      </c>
      <c r="C39" s="120">
        <f>E80</f>
        <v/>
      </c>
      <c r="D39" s="120">
        <f>F80</f>
        <v/>
      </c>
      <c r="E39" s="17" t="n"/>
      <c r="F39" s="17" t="n"/>
      <c r="G39" s="17" t="n"/>
    </row>
    <row r="40">
      <c r="A40" s="17" t="inlineStr">
        <is>
          <t>Other Expenses / Provisions</t>
        </is>
      </c>
      <c r="B40" s="17" t="inlineStr">
        <is>
          <t>—</t>
        </is>
      </c>
      <c r="C40" s="121" t="n"/>
      <c r="D40" s="121" t="n"/>
      <c r="E40" s="17" t="n"/>
      <c r="F40" s="17" t="n"/>
      <c r="G40" s="17" t="n"/>
    </row>
    <row r="41">
      <c r="A41" s="17" t="inlineStr">
        <is>
          <t>Tax</t>
        </is>
      </c>
      <c r="B41" s="17" t="inlineStr">
        <is>
          <t>—</t>
        </is>
      </c>
      <c r="C41" s="121" t="n"/>
      <c r="D41" s="121" t="n"/>
      <c r="E41" s="17" t="n"/>
      <c r="F41" s="17" t="n"/>
      <c r="G41" s="17" t="n"/>
    </row>
    <row r="42">
      <c r="A42" s="65" t="inlineStr">
        <is>
          <t>Profit / (Loss)</t>
        </is>
      </c>
      <c r="B42" s="65" t="str"/>
      <c r="C42" s="122">
        <f>C35-SUM(C37,C38,C39,C40,C41)</f>
        <v/>
      </c>
      <c r="D42" s="122">
        <f>D35-SUM(D37,D38,D39,D40,D41)</f>
        <v/>
      </c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 ht="26" customHeight="1" s="82">
      <c r="A45" s="79" t="inlineStr">
        <is>
          <t>Notes / Schedules — linked source for face statements</t>
        </is>
      </c>
      <c r="B45" s="1" t="n"/>
      <c r="C45" s="1" t="n"/>
      <c r="D45" s="1" t="n"/>
      <c r="E45" s="1" t="n"/>
      <c r="F45" s="1" t="n"/>
      <c r="G45" s="1" t="n"/>
    </row>
    <row r="46">
      <c r="A46" s="14" t="inlineStr">
        <is>
          <t>Note</t>
        </is>
      </c>
      <c r="B46" s="14" t="inlineStr">
        <is>
          <t>Note Title</t>
        </is>
      </c>
      <c r="C46" s="14" t="inlineStr">
        <is>
          <t>Statutory Line Item</t>
        </is>
      </c>
      <c r="D46" s="14" t="inlineStr">
        <is>
          <t>AAH Mapping Key</t>
        </is>
      </c>
      <c r="E46" s="14" t="inlineStr">
        <is>
          <t>Current Period</t>
        </is>
      </c>
      <c r="F46" s="14" t="inlineStr">
        <is>
          <t>Previous Period</t>
        </is>
      </c>
      <c r="G46" s="14" t="inlineStr">
        <is>
          <t>Disclosure / Remarks</t>
        </is>
      </c>
    </row>
    <row r="47">
      <c r="A47" s="17" t="inlineStr">
        <is>
          <t>1</t>
        </is>
      </c>
      <c r="B47" s="17" t="inlineStr">
        <is>
          <t>Share Capital</t>
        </is>
      </c>
      <c r="C47" s="17" t="inlineStr">
        <is>
          <t>Share capital</t>
        </is>
      </c>
      <c r="D47" s="17" t="inlineStr">
        <is>
          <t>GEN_CAP</t>
        </is>
      </c>
      <c r="E47" s="121" t="n">
        <v>0</v>
      </c>
      <c r="F47" s="121" t="n">
        <v>0</v>
      </c>
      <c r="G47" s="59" t="str"/>
    </row>
    <row r="48">
      <c r="A48" s="65" t="inlineStr">
        <is>
          <t>1</t>
        </is>
      </c>
      <c r="B48" s="65" t="inlineStr">
        <is>
          <t>Share Capital</t>
        </is>
      </c>
      <c r="C48" s="65" t="inlineStr">
        <is>
          <t>Total — Share Capital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2</t>
        </is>
      </c>
      <c r="B49" s="17" t="inlineStr">
        <is>
          <t>Reserves and Surplus</t>
        </is>
      </c>
      <c r="C49" s="17" t="inlineStr">
        <is>
          <t>Reserves and surplus</t>
        </is>
      </c>
      <c r="D49" s="17" t="inlineStr">
        <is>
          <t>GEN_RES</t>
        </is>
      </c>
      <c r="E49" s="121" t="n">
        <v>0</v>
      </c>
      <c r="F49" s="121" t="n">
        <v>0</v>
      </c>
      <c r="G49" s="59" t="str"/>
    </row>
    <row r="50">
      <c r="A50" s="65" t="inlineStr">
        <is>
          <t>2</t>
        </is>
      </c>
      <c r="B50" s="65" t="inlineStr">
        <is>
          <t>Reserves and Surplus</t>
        </is>
      </c>
      <c r="C50" s="65" t="inlineStr">
        <is>
          <t>Total — Reserves and Surplus</t>
        </is>
      </c>
      <c r="D50" s="65" t="inlineStr">
        <is>
          <t>__TOTAL__</t>
        </is>
      </c>
      <c r="E50" s="122">
        <f>SUM(E49:E49)</f>
        <v/>
      </c>
      <c r="F50" s="122">
        <f>SUM(F49:F49)</f>
        <v/>
      </c>
      <c r="G50" s="65" t="str"/>
    </row>
    <row r="51">
      <c r="A51" s="17" t="inlineStr">
        <is>
          <t>3</t>
        </is>
      </c>
      <c r="B51" s="17" t="inlineStr">
        <is>
          <t>Borrowings</t>
        </is>
      </c>
      <c r="C51" s="17" t="inlineStr">
        <is>
          <t>Borrowings</t>
        </is>
      </c>
      <c r="D51" s="17" t="inlineStr">
        <is>
          <t>GEN_BORR</t>
        </is>
      </c>
      <c r="E51" s="121" t="n">
        <v>0</v>
      </c>
      <c r="F51" s="121" t="n">
        <v>0</v>
      </c>
      <c r="G51" s="59" t="str"/>
    </row>
    <row r="52">
      <c r="A52" s="65" t="inlineStr">
        <is>
          <t>3</t>
        </is>
      </c>
      <c r="B52" s="65" t="inlineStr">
        <is>
          <t>Borrowings</t>
        </is>
      </c>
      <c r="C52" s="65" t="inlineStr">
        <is>
          <t>Total — Borrowings</t>
        </is>
      </c>
      <c r="D52" s="65" t="inlineStr">
        <is>
          <t>__TOTAL__</t>
        </is>
      </c>
      <c r="E52" s="122">
        <f>SUM(E51:E51)</f>
        <v/>
      </c>
      <c r="F52" s="122">
        <f>SUM(F51:F51)</f>
        <v/>
      </c>
      <c r="G52" s="65" t="str"/>
    </row>
    <row r="53">
      <c r="A53" s="17" t="inlineStr">
        <is>
          <t>4</t>
        </is>
      </c>
      <c r="B53" s="17" t="inlineStr">
        <is>
          <t>Investments</t>
        </is>
      </c>
      <c r="C53" s="17" t="inlineStr">
        <is>
          <t>Investments</t>
        </is>
      </c>
      <c r="D53" s="17" t="inlineStr">
        <is>
          <t>GEN_INV</t>
        </is>
      </c>
      <c r="E53" s="121" t="n">
        <v>0</v>
      </c>
      <c r="F53" s="121" t="n">
        <v>0</v>
      </c>
      <c r="G53" s="59" t="str"/>
    </row>
    <row r="54">
      <c r="A54" s="65" t="inlineStr">
        <is>
          <t>4</t>
        </is>
      </c>
      <c r="B54" s="65" t="inlineStr">
        <is>
          <t>Investments</t>
        </is>
      </c>
      <c r="C54" s="65" t="inlineStr">
        <is>
          <t>Total — Investments</t>
        </is>
      </c>
      <c r="D54" s="65" t="inlineStr">
        <is>
          <t>__TOTAL__</t>
        </is>
      </c>
      <c r="E54" s="122">
        <f>SUM(E53:E53)</f>
        <v/>
      </c>
      <c r="F54" s="122">
        <f>SUM(F53:F53)</f>
        <v/>
      </c>
      <c r="G54" s="65" t="str"/>
    </row>
    <row r="55">
      <c r="A55" s="17" t="inlineStr">
        <is>
          <t>5</t>
        </is>
      </c>
      <c r="B55" s="17" t="inlineStr">
        <is>
          <t>Loans</t>
        </is>
      </c>
      <c r="C55" s="17" t="inlineStr">
        <is>
          <t>Loans</t>
        </is>
      </c>
      <c r="D55" s="17" t="inlineStr">
        <is>
          <t>GEN_LOANS</t>
        </is>
      </c>
      <c r="E55" s="121" t="n">
        <v>0</v>
      </c>
      <c r="F55" s="121" t="n">
        <v>0</v>
      </c>
      <c r="G55" s="59" t="str"/>
    </row>
    <row r="56">
      <c r="A56" s="65" t="inlineStr">
        <is>
          <t>5</t>
        </is>
      </c>
      <c r="B56" s="65" t="inlineStr">
        <is>
          <t>Loans</t>
        </is>
      </c>
      <c r="C56" s="65" t="inlineStr">
        <is>
          <t>Total — Loans</t>
        </is>
      </c>
      <c r="D56" s="65" t="inlineStr">
        <is>
          <t>__TOTAL__</t>
        </is>
      </c>
      <c r="E56" s="122">
        <f>SUM(E55:E55)</f>
        <v/>
      </c>
      <c r="F56" s="122">
        <f>SUM(F55:F55)</f>
        <v/>
      </c>
      <c r="G56" s="65" t="str"/>
    </row>
    <row r="57">
      <c r="A57" s="17" t="inlineStr">
        <is>
          <t>6</t>
        </is>
      </c>
      <c r="B57" s="17" t="inlineStr">
        <is>
          <t>Fixed Assets</t>
        </is>
      </c>
      <c r="C57" s="17" t="inlineStr">
        <is>
          <t>Fixed assets</t>
        </is>
      </c>
      <c r="D57" s="17" t="inlineStr">
        <is>
          <t>GEN_FA</t>
        </is>
      </c>
      <c r="E57" s="121" t="n">
        <v>0</v>
      </c>
      <c r="F57" s="121" t="n">
        <v>0</v>
      </c>
      <c r="G57" s="59" t="str"/>
    </row>
    <row r="58">
      <c r="A58" s="65" t="inlineStr">
        <is>
          <t>6</t>
        </is>
      </c>
      <c r="B58" s="65" t="inlineStr">
        <is>
          <t>Fixed Assets</t>
        </is>
      </c>
      <c r="C58" s="65" t="inlineStr">
        <is>
          <t>Total — Fixed Assets</t>
        </is>
      </c>
      <c r="D58" s="65" t="inlineStr">
        <is>
          <t>__TOTAL__</t>
        </is>
      </c>
      <c r="E58" s="122">
        <f>SUM(E57:E57)</f>
        <v/>
      </c>
      <c r="F58" s="122">
        <f>SUM(F57:F57)</f>
        <v/>
      </c>
      <c r="G58" s="65" t="str"/>
    </row>
    <row r="59">
      <c r="A59" s="17" t="inlineStr">
        <is>
          <t>7</t>
        </is>
      </c>
      <c r="B59" s="17" t="inlineStr">
        <is>
          <t>Cash and Bank Balances</t>
        </is>
      </c>
      <c r="C59" s="17" t="inlineStr">
        <is>
          <t>Cash and bank balances</t>
        </is>
      </c>
      <c r="D59" s="17" t="inlineStr">
        <is>
          <t>GEN_CASH</t>
        </is>
      </c>
      <c r="E59" s="121" t="n">
        <v>0</v>
      </c>
      <c r="F59" s="121" t="n">
        <v>0</v>
      </c>
      <c r="G59" s="59" t="str"/>
    </row>
    <row r="60">
      <c r="A60" s="65" t="inlineStr">
        <is>
          <t>7</t>
        </is>
      </c>
      <c r="B60" s="65" t="inlineStr">
        <is>
          <t>Cash and Bank Balances</t>
        </is>
      </c>
      <c r="C60" s="65" t="inlineStr">
        <is>
          <t>Total — Cash and Bank Balances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8</t>
        </is>
      </c>
      <c r="B61" s="17" t="inlineStr">
        <is>
          <t>Advances and Other Assets</t>
        </is>
      </c>
      <c r="C61" s="17" t="inlineStr">
        <is>
          <t>Advances and other assets</t>
        </is>
      </c>
      <c r="D61" s="17" t="inlineStr">
        <is>
          <t>GEN_ADV</t>
        </is>
      </c>
      <c r="E61" s="121" t="n">
        <v>0</v>
      </c>
      <c r="F61" s="121" t="n">
        <v>0</v>
      </c>
      <c r="G61" s="59" t="str"/>
    </row>
    <row r="62">
      <c r="A62" s="65" t="inlineStr">
        <is>
          <t>8</t>
        </is>
      </c>
      <c r="B62" s="65" t="inlineStr">
        <is>
          <t>Advances and Other Assets</t>
        </is>
      </c>
      <c r="C62" s="65" t="inlineStr">
        <is>
          <t>Total — Advances and Other Assets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9</t>
        </is>
      </c>
      <c r="B63" s="17" t="inlineStr">
        <is>
          <t>Current Liabilities</t>
        </is>
      </c>
      <c r="C63" s="17" t="inlineStr">
        <is>
          <t>Current liabilities</t>
        </is>
      </c>
      <c r="D63" s="17" t="inlineStr">
        <is>
          <t>GEN_CL</t>
        </is>
      </c>
      <c r="E63" s="121" t="n">
        <v>0</v>
      </c>
      <c r="F63" s="121" t="n">
        <v>0</v>
      </c>
      <c r="G63" s="59" t="str"/>
    </row>
    <row r="64">
      <c r="A64" s="65" t="inlineStr">
        <is>
          <t>9</t>
        </is>
      </c>
      <c r="B64" s="65" t="inlineStr">
        <is>
          <t>Current Liabilities</t>
        </is>
      </c>
      <c r="C64" s="65" t="inlineStr">
        <is>
          <t>Total — Current Liabilities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10</t>
        </is>
      </c>
      <c r="B65" s="17" t="inlineStr">
        <is>
          <t>Provisions</t>
        </is>
      </c>
      <c r="C65" s="17" t="inlineStr">
        <is>
          <t>Provisions</t>
        </is>
      </c>
      <c r="D65" s="17" t="inlineStr">
        <is>
          <t>GEN_PROV</t>
        </is>
      </c>
      <c r="E65" s="121" t="n">
        <v>0</v>
      </c>
      <c r="F65" s="121" t="n">
        <v>0</v>
      </c>
      <c r="G65" s="59" t="str"/>
    </row>
    <row r="66">
      <c r="A66" s="65" t="inlineStr">
        <is>
          <t>10</t>
        </is>
      </c>
      <c r="B66" s="65" t="inlineStr">
        <is>
          <t>Provisions</t>
        </is>
      </c>
      <c r="C66" s="65" t="inlineStr">
        <is>
          <t>Total — Provisions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11</t>
        </is>
      </c>
      <c r="B67" s="17" t="inlineStr">
        <is>
          <t>Fair Value Change Account</t>
        </is>
      </c>
      <c r="C67" s="17" t="inlineStr">
        <is>
          <t>Fair value change account</t>
        </is>
      </c>
      <c r="D67" s="17" t="inlineStr">
        <is>
          <t>GEN_FV</t>
        </is>
      </c>
      <c r="E67" s="121" t="n">
        <v>0</v>
      </c>
      <c r="F67" s="121" t="n">
        <v>0</v>
      </c>
      <c r="G67" s="59" t="str"/>
    </row>
    <row r="68">
      <c r="A68" s="65" t="inlineStr">
        <is>
          <t>11</t>
        </is>
      </c>
      <c r="B68" s="65" t="inlineStr">
        <is>
          <t>Fair Value Change Account</t>
        </is>
      </c>
      <c r="C68" s="65" t="inlineStr">
        <is>
          <t>Total — Fair Value Change Account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12</t>
        </is>
      </c>
      <c r="B69" s="17" t="inlineStr">
        <is>
          <t>Premium Earned (Net)</t>
        </is>
      </c>
      <c r="C69" s="17" t="inlineStr">
        <is>
          <t>Premium earned</t>
        </is>
      </c>
      <c r="D69" s="17" t="inlineStr">
        <is>
          <t>GEN_PREM</t>
        </is>
      </c>
      <c r="E69" s="121" t="n">
        <v>0</v>
      </c>
      <c r="F69" s="121" t="n">
        <v>0</v>
      </c>
      <c r="G69" s="59" t="str"/>
    </row>
    <row r="70">
      <c r="A70" s="65" t="inlineStr">
        <is>
          <t>12</t>
        </is>
      </c>
      <c r="B70" s="65" t="inlineStr">
        <is>
          <t>Premium Earned (Net)</t>
        </is>
      </c>
      <c r="C70" s="65" t="inlineStr">
        <is>
          <t>Total — Premium Earned (Net)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13</t>
        </is>
      </c>
      <c r="B71" s="17" t="inlineStr">
        <is>
          <t>Claims Incurred (Net)</t>
        </is>
      </c>
      <c r="C71" s="17" t="inlineStr">
        <is>
          <t>Claims incurred</t>
        </is>
      </c>
      <c r="D71" s="17" t="inlineStr">
        <is>
          <t>GEN_CLAIMS</t>
        </is>
      </c>
      <c r="E71" s="121" t="n">
        <v>0</v>
      </c>
      <c r="F71" s="121" t="n">
        <v>0</v>
      </c>
      <c r="G71" s="59" t="str"/>
    </row>
    <row r="72">
      <c r="A72" s="65" t="inlineStr">
        <is>
          <t>13</t>
        </is>
      </c>
      <c r="B72" s="65" t="inlineStr">
        <is>
          <t>Claims Incurred (Net)</t>
        </is>
      </c>
      <c r="C72" s="65" t="inlineStr">
        <is>
          <t>Total — Claims Incurred (Net)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14</t>
        </is>
      </c>
      <c r="B73" s="17" t="inlineStr">
        <is>
          <t>Commission</t>
        </is>
      </c>
      <c r="C73" s="17" t="inlineStr">
        <is>
          <t>Commission</t>
        </is>
      </c>
      <c r="D73" s="17" t="inlineStr">
        <is>
          <t>GEN_COMM</t>
        </is>
      </c>
      <c r="E73" s="121" t="n">
        <v>0</v>
      </c>
      <c r="F73" s="121" t="n">
        <v>0</v>
      </c>
      <c r="G73" s="59" t="str"/>
    </row>
    <row r="74">
      <c r="A74" s="65" t="inlineStr">
        <is>
          <t>14</t>
        </is>
      </c>
      <c r="B74" s="65" t="inlineStr">
        <is>
          <t>Commission</t>
        </is>
      </c>
      <c r="C74" s="65" t="inlineStr">
        <is>
          <t>Total — Commission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inlineStr">
        <is>
          <t>15</t>
        </is>
      </c>
      <c r="B75" s="17" t="inlineStr">
        <is>
          <t>Operating Expenses</t>
        </is>
      </c>
      <c r="C75" s="17" t="inlineStr">
        <is>
          <t>Operating expenses</t>
        </is>
      </c>
      <c r="D75" s="17" t="inlineStr">
        <is>
          <t>GEN_OPEX</t>
        </is>
      </c>
      <c r="E75" s="121" t="n">
        <v>0</v>
      </c>
      <c r="F75" s="121" t="n">
        <v>0</v>
      </c>
      <c r="G75" s="59" t="str"/>
    </row>
    <row r="76">
      <c r="A76" s="65" t="inlineStr">
        <is>
          <t>15</t>
        </is>
      </c>
      <c r="B76" s="65" t="inlineStr">
        <is>
          <t>Operating Expenses</t>
        </is>
      </c>
      <c r="C76" s="65" t="inlineStr">
        <is>
          <t>Total — Operating Expenses</t>
        </is>
      </c>
      <c r="D76" s="65" t="inlineStr">
        <is>
          <t>__TOTAL__</t>
        </is>
      </c>
      <c r="E76" s="122">
        <f>SUM(E75:E75)</f>
        <v/>
      </c>
      <c r="F76" s="122">
        <f>SUM(F75:F75)</f>
        <v/>
      </c>
      <c r="G76" s="65" t="str"/>
    </row>
    <row r="77">
      <c r="A77" s="17" t="inlineStr">
        <is>
          <t>16</t>
        </is>
      </c>
      <c r="B77" s="17" t="inlineStr">
        <is>
          <t>Investment Income</t>
        </is>
      </c>
      <c r="C77" s="17" t="inlineStr">
        <is>
          <t>Investment income</t>
        </is>
      </c>
      <c r="D77" s="17" t="inlineStr">
        <is>
          <t>GEN_INVINC</t>
        </is>
      </c>
      <c r="E77" s="121" t="n">
        <v>0</v>
      </c>
      <c r="F77" s="121" t="n">
        <v>0</v>
      </c>
      <c r="G77" s="59" t="str"/>
    </row>
    <row r="78">
      <c r="A78" s="65" t="inlineStr">
        <is>
          <t>16</t>
        </is>
      </c>
      <c r="B78" s="65" t="inlineStr">
        <is>
          <t>Investment Income</t>
        </is>
      </c>
      <c r="C78" s="65" t="inlineStr">
        <is>
          <t>Total — Investment Income</t>
        </is>
      </c>
      <c r="D78" s="65" t="inlineStr">
        <is>
          <t>__TOTAL__</t>
        </is>
      </c>
      <c r="E78" s="122">
        <f>SUM(E77:E77)</f>
        <v/>
      </c>
      <c r="F78" s="122">
        <f>SUM(F77:F77)</f>
        <v/>
      </c>
      <c r="G78" s="65" t="str"/>
    </row>
    <row r="79">
      <c r="A79" s="17" t="inlineStr">
        <is>
          <t>17</t>
        </is>
      </c>
      <c r="B79" s="17" t="inlineStr">
        <is>
          <t>Other Income</t>
        </is>
      </c>
      <c r="C79" s="17" t="inlineStr">
        <is>
          <t>Other income</t>
        </is>
      </c>
      <c r="D79" s="17" t="inlineStr">
        <is>
          <t>GEN_OI</t>
        </is>
      </c>
      <c r="E79" s="121" t="n">
        <v>0</v>
      </c>
      <c r="F79" s="121" t="n">
        <v>0</v>
      </c>
      <c r="G79" s="59" t="str"/>
    </row>
    <row r="80">
      <c r="A80" s="65" t="inlineStr">
        <is>
          <t>17</t>
        </is>
      </c>
      <c r="B80" s="65" t="inlineStr">
        <is>
          <t>Other Income</t>
        </is>
      </c>
      <c r="C80" s="65" t="inlineStr">
        <is>
          <t>Total — Other Income</t>
        </is>
      </c>
      <c r="D80" s="65" t="inlineStr">
        <is>
          <t>__TOTAL__</t>
        </is>
      </c>
      <c r="E80" s="122">
        <f>SUM(E79:E79)</f>
        <v/>
      </c>
      <c r="F80" s="122">
        <f>SUM(F79:F79)</f>
        <v/>
      </c>
      <c r="G80" s="65" t="str"/>
    </row>
    <row r="81">
      <c r="A81" s="17" t="inlineStr">
        <is>
          <t>18</t>
        </is>
      </c>
      <c r="B81" s="17" t="inlineStr">
        <is>
          <t>Insurance / Regulatory Reserves</t>
        </is>
      </c>
      <c r="C81" s="17" t="inlineStr">
        <is>
          <t>Insurance / regulatory reserves</t>
        </is>
      </c>
      <c r="D81" s="17" t="inlineStr">
        <is>
          <t>GEN_REGRES</t>
        </is>
      </c>
      <c r="E81" s="121" t="n">
        <v>0</v>
      </c>
      <c r="F81" s="121" t="n">
        <v>0</v>
      </c>
      <c r="G81" s="59" t="str"/>
    </row>
    <row r="82">
      <c r="A82" s="65" t="inlineStr">
        <is>
          <t>18</t>
        </is>
      </c>
      <c r="B82" s="65" t="inlineStr">
        <is>
          <t>Insurance / Regulatory Reserves</t>
        </is>
      </c>
      <c r="C82" s="65" t="inlineStr">
        <is>
          <t>Total — Insurance / Regulatory Reserves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n"/>
      <c r="B83" s="17" t="n"/>
      <c r="C83" s="17" t="n"/>
      <c r="D83" s="17" t="n"/>
      <c r="E83" s="17" t="n"/>
      <c r="F83" s="17" t="n"/>
      <c r="G83" s="17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 ht="26" customHeight="1" s="82">
      <c r="A85" s="79" t="inlineStr">
        <is>
          <t>Validation</t>
        </is>
      </c>
      <c r="B85" s="1" t="n"/>
      <c r="C85" s="1" t="n"/>
      <c r="D85" s="1" t="n"/>
      <c r="E85" s="17" t="n"/>
      <c r="F85" s="17" t="n"/>
      <c r="G85" s="17" t="n"/>
    </row>
    <row r="86">
      <c r="A86" s="14" t="inlineStr">
        <is>
          <t>Check</t>
        </is>
      </c>
      <c r="B86" s="14" t="inlineStr">
        <is>
          <t>Current Period</t>
        </is>
      </c>
      <c r="C86" s="14" t="inlineStr">
        <is>
          <t>Previous Period</t>
        </is>
      </c>
      <c r="D86" s="14" t="inlineStr">
        <is>
          <t>Result</t>
        </is>
      </c>
      <c r="E86" s="17" t="n"/>
      <c r="F86" s="17" t="n"/>
      <c r="G86" s="17" t="n"/>
    </row>
    <row r="87">
      <c r="A87" s="17" t="inlineStr">
        <is>
          <t>Balance Sheet difference</t>
        </is>
      </c>
      <c r="B87" s="17" t="n"/>
      <c r="C87" s="17" t="n"/>
      <c r="D87" s="17" t="n"/>
      <c r="E87" s="17" t="n"/>
      <c r="F87" s="17" t="n"/>
      <c r="G87" s="17" t="n"/>
    </row>
    <row r="88">
      <c r="A88" s="17" t="inlineStr">
        <is>
          <t>Notes / disclosures</t>
        </is>
      </c>
      <c r="B88" s="17" t="inlineStr">
        <is>
          <t>Review</t>
        </is>
      </c>
      <c r="C88" s="17" t="inlineStr">
        <is>
          <t>Review</t>
        </is>
      </c>
      <c r="D88" s="17" t="inlineStr">
        <is>
          <t>Review</t>
        </is>
      </c>
      <c r="E88" s="17" t="n"/>
      <c r="F88" s="17" t="n"/>
      <c r="G88" s="17" t="n"/>
    </row>
    <row r="89">
      <c r="A89" s="17" t="inlineStr">
        <is>
          <t>Profile readiness</t>
        </is>
      </c>
      <c r="B89" s="17" t="str"/>
      <c r="C89" s="17" t="str"/>
      <c r="D89" s="17" t="inlineStr">
        <is>
          <t>READY FOR REVIEW</t>
        </is>
      </c>
      <c r="E89" s="17" t="n"/>
      <c r="F89" s="17" t="n"/>
      <c r="G89" s="17" t="n"/>
    </row>
    <row r="90"/>
    <row r="91"/>
    <row r="92"/>
    <row r="93">
      <c r="A93" s="101" t="inlineStr">
        <is>
          <t>Signatures / Certification</t>
        </is>
      </c>
      <c r="B93" s="101" t="str"/>
      <c r="C93" s="101" t="str"/>
      <c r="D93" s="101" t="str"/>
      <c r="E93" s="101" t="str"/>
      <c r="F93" s="101" t="str"/>
    </row>
    <row r="94">
      <c r="A94" s="112" t="inlineStr">
        <is>
          <t>Entity Signatory</t>
        </is>
      </c>
      <c r="B94" s="104">
        <f>'AAH Basic Info'!B13</f>
        <v/>
      </c>
      <c r="C94" s="115" t="inlineStr">
        <is>
          <t>Designation</t>
        </is>
      </c>
      <c r="D94" s="104">
        <f>'AAH Basic Info'!B14</f>
        <v/>
      </c>
      <c r="E94" s="115" t="inlineStr">
        <is>
          <t>DIN</t>
        </is>
      </c>
      <c r="F94" s="105">
        <f>'AAH Basic Info'!B15</f>
        <v/>
      </c>
    </row>
    <row r="95">
      <c r="A95" s="113" t="inlineStr">
        <is>
          <t>Signing Date</t>
        </is>
      </c>
      <c r="B95" s="107">
        <f>'AAH Basic Info'!B16</f>
        <v/>
      </c>
      <c r="C95" s="116" t="inlineStr">
        <is>
          <t>Place</t>
        </is>
      </c>
      <c r="D95" s="107">
        <f>'AAH Basic Info'!B17</f>
        <v/>
      </c>
      <c r="E95" s="116" t="str"/>
      <c r="F95" s="108" t="str"/>
    </row>
    <row r="96">
      <c r="A96" s="113" t="inlineStr">
        <is>
          <t>Audit Firm</t>
        </is>
      </c>
      <c r="B96" s="107">
        <f>'AAH Basic Info'!B18</f>
        <v/>
      </c>
      <c r="C96" s="116" t="inlineStr">
        <is>
          <t>FRN</t>
        </is>
      </c>
      <c r="D96" s="107">
        <f>'AAH Basic Info'!B19</f>
        <v/>
      </c>
      <c r="E96" s="116" t="str"/>
      <c r="F96" s="108" t="str"/>
    </row>
    <row r="97">
      <c r="A97" s="113" t="inlineStr">
        <is>
          <t>Signing CA</t>
        </is>
      </c>
      <c r="B97" s="107">
        <f>'AAH Basic Info'!B20</f>
        <v/>
      </c>
      <c r="C97" s="116" t="inlineStr">
        <is>
          <t>Designation</t>
        </is>
      </c>
      <c r="D97" s="107">
        <f>'AAH Basic Info'!B21</f>
        <v/>
      </c>
      <c r="E97" s="116" t="inlineStr">
        <is>
          <t>Membership No.</t>
        </is>
      </c>
      <c r="F97" s="108">
        <f>'AAH Basic Info'!B22</f>
        <v/>
      </c>
    </row>
    <row r="98">
      <c r="A98" s="114" t="inlineStr">
        <is>
          <t>Audit Place</t>
        </is>
      </c>
      <c r="B98" s="110">
        <f>'AAH Basic Info'!B23</f>
        <v/>
      </c>
      <c r="C98" s="117" t="inlineStr">
        <is>
          <t>Signing Date</t>
        </is>
      </c>
      <c r="D98" s="110">
        <f>'AAH Basic Info'!B30</f>
        <v/>
      </c>
      <c r="E98" s="117" t="str"/>
      <c r="F98" s="111" t="str"/>
    </row>
  </sheetData>
  <mergeCells count="6">
    <mergeCell ref="A1:G1"/>
    <mergeCell ref="A6:D6"/>
    <mergeCell ref="A26:D26"/>
    <mergeCell ref="A2:G2"/>
    <mergeCell ref="A85:D85"/>
    <mergeCell ref="A45:G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Reinsurance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IRDAI | Official source: https://irdai.gov.in/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Form B-BS —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Schedule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SOURCES OF FUNDS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Share Capital</t>
        </is>
      </c>
      <c r="B9" s="17" t="inlineStr">
        <is>
          <t>1</t>
        </is>
      </c>
      <c r="C9" s="120">
        <f>E48</f>
        <v/>
      </c>
      <c r="D9" s="120">
        <f>F48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E50</f>
        <v/>
      </c>
      <c r="D10" s="120">
        <f>F50</f>
        <v/>
      </c>
      <c r="E10" s="17" t="n"/>
      <c r="F10" s="17" t="n"/>
      <c r="G10" s="17" t="n"/>
    </row>
    <row r="11">
      <c r="A11" s="17" t="inlineStr">
        <is>
          <t>Borrowings</t>
        </is>
      </c>
      <c r="B11" s="17" t="inlineStr">
        <is>
          <t>3</t>
        </is>
      </c>
      <c r="C11" s="120">
        <f>E52</f>
        <v/>
      </c>
      <c r="D11" s="120">
        <f>F52</f>
        <v/>
      </c>
      <c r="E11" s="17" t="n"/>
      <c r="F11" s="17" t="n"/>
      <c r="G11" s="17" t="n"/>
    </row>
    <row r="12">
      <c r="A12" s="65" t="inlineStr">
        <is>
          <t>TOTAL SOURCES OF FUNDS</t>
        </is>
      </c>
      <c r="B12" s="65" t="str"/>
      <c r="C12" s="122">
        <f>SUM(C9,C10,C11)</f>
        <v/>
      </c>
      <c r="D12" s="122">
        <f>SUM(D9,D10,D11)</f>
        <v/>
      </c>
      <c r="E12" s="17" t="n"/>
      <c r="F12" s="17" t="n"/>
      <c r="G12" s="17" t="n"/>
    </row>
    <row r="13">
      <c r="A13" s="42" t="inlineStr">
        <is>
          <t>APPLICATION OF FUNDS</t>
        </is>
      </c>
      <c r="B13" s="42" t="str"/>
      <c r="C13" s="118" t="n"/>
      <c r="D13" s="118" t="n"/>
      <c r="E13" s="17" t="n"/>
      <c r="F13" s="17" t="n"/>
      <c r="G13" s="17" t="n"/>
    </row>
    <row r="14">
      <c r="A14" s="17" t="inlineStr">
        <is>
          <t>Investments</t>
        </is>
      </c>
      <c r="B14" s="17" t="inlineStr">
        <is>
          <t>4</t>
        </is>
      </c>
      <c r="C14" s="120">
        <f>E54</f>
        <v/>
      </c>
      <c r="D14" s="120">
        <f>F54</f>
        <v/>
      </c>
      <c r="E14" s="17" t="n"/>
      <c r="F14" s="17" t="n"/>
      <c r="G14" s="17" t="n"/>
    </row>
    <row r="15">
      <c r="A15" s="17" t="inlineStr">
        <is>
          <t>Loans</t>
        </is>
      </c>
      <c r="B15" s="17" t="inlineStr">
        <is>
          <t>5</t>
        </is>
      </c>
      <c r="C15" s="120">
        <f>E56</f>
        <v/>
      </c>
      <c r="D15" s="120">
        <f>F56</f>
        <v/>
      </c>
      <c r="E15" s="17" t="n"/>
      <c r="F15" s="17" t="n"/>
      <c r="G15" s="17" t="n"/>
    </row>
    <row r="16">
      <c r="A16" s="17" t="inlineStr">
        <is>
          <t>Fixed Assets</t>
        </is>
      </c>
      <c r="B16" s="17" t="inlineStr">
        <is>
          <t>6</t>
        </is>
      </c>
      <c r="C16" s="120">
        <f>E58</f>
        <v/>
      </c>
      <c r="D16" s="120">
        <f>F58</f>
        <v/>
      </c>
      <c r="E16" s="17" t="n"/>
      <c r="F16" s="17" t="n"/>
      <c r="G16" s="17" t="n"/>
    </row>
    <row r="17">
      <c r="A17" s="17" t="inlineStr">
        <is>
          <t>Cash and Bank Balances</t>
        </is>
      </c>
      <c r="B17" s="17" t="inlineStr">
        <is>
          <t>7</t>
        </is>
      </c>
      <c r="C17" s="120">
        <f>E60</f>
        <v/>
      </c>
      <c r="D17" s="120">
        <f>F60</f>
        <v/>
      </c>
      <c r="E17" s="17" t="n"/>
      <c r="F17" s="17" t="n"/>
      <c r="G17" s="17" t="n"/>
    </row>
    <row r="18">
      <c r="A18" s="17" t="inlineStr">
        <is>
          <t>Advances and Other Assets</t>
        </is>
      </c>
      <c r="B18" s="17" t="inlineStr">
        <is>
          <t>8</t>
        </is>
      </c>
      <c r="C18" s="120">
        <f>E62</f>
        <v/>
      </c>
      <c r="D18" s="120">
        <f>F62</f>
        <v/>
      </c>
      <c r="E18" s="17" t="n"/>
      <c r="F18" s="17" t="n"/>
      <c r="G18" s="17" t="n"/>
    </row>
    <row r="19">
      <c r="A19" s="17" t="inlineStr">
        <is>
          <t>Current Liabilities</t>
        </is>
      </c>
      <c r="B19" s="17" t="inlineStr">
        <is>
          <t>9</t>
        </is>
      </c>
      <c r="C19" s="120">
        <f>E64</f>
        <v/>
      </c>
      <c r="D19" s="120">
        <f>F64</f>
        <v/>
      </c>
      <c r="E19" s="17" t="n"/>
      <c r="F19" s="17" t="n"/>
      <c r="G19" s="17" t="n"/>
    </row>
    <row r="20">
      <c r="A20" s="17" t="inlineStr">
        <is>
          <t>Provisions</t>
        </is>
      </c>
      <c r="B20" s="17" t="inlineStr">
        <is>
          <t>10</t>
        </is>
      </c>
      <c r="C20" s="120">
        <f>E66</f>
        <v/>
      </c>
      <c r="D20" s="120">
        <f>F66</f>
        <v/>
      </c>
      <c r="E20" s="17" t="n"/>
      <c r="F20" s="17" t="n"/>
      <c r="G20" s="17" t="n"/>
    </row>
    <row r="21">
      <c r="A21" s="17" t="inlineStr">
        <is>
          <t>Fair Value Change Account</t>
        </is>
      </c>
      <c r="B21" s="17" t="inlineStr">
        <is>
          <t>11</t>
        </is>
      </c>
      <c r="C21" s="120">
        <f>E68</f>
        <v/>
      </c>
      <c r="D21" s="120">
        <f>F68</f>
        <v/>
      </c>
      <c r="E21" s="17" t="n"/>
      <c r="F21" s="17" t="n"/>
      <c r="G21" s="17" t="n"/>
    </row>
    <row r="22">
      <c r="A22" s="17" t="inlineStr">
        <is>
          <t>Insurance / Regulatory Reserves</t>
        </is>
      </c>
      <c r="B22" s="17" t="inlineStr">
        <is>
          <t>18</t>
        </is>
      </c>
      <c r="C22" s="120">
        <f>E82</f>
        <v/>
      </c>
      <c r="D22" s="120">
        <f>F82</f>
        <v/>
      </c>
      <c r="E22" s="17" t="n"/>
      <c r="F22" s="17" t="n"/>
      <c r="G22" s="17" t="n"/>
    </row>
    <row r="23">
      <c r="A23" s="65" t="inlineStr">
        <is>
          <t>TOTAL APPLICATION OF FUNDS</t>
        </is>
      </c>
      <c r="B23" s="65" t="str"/>
      <c r="C23" s="122">
        <f>SUM(C14,C15,C16,C17,C18,C19,C20,C21,C22)</f>
        <v/>
      </c>
      <c r="D23" s="122">
        <f>SUM(D14,D15,D16,D17,D18,D19,D20,D21,D22)</f>
        <v/>
      </c>
      <c r="E23" s="17" t="n"/>
      <c r="F23" s="17" t="n"/>
      <c r="G23" s="17" t="n"/>
    </row>
    <row r="24">
      <c r="A24" s="17" t="n"/>
      <c r="B24" s="17" t="n"/>
      <c r="C24" s="120" t="n"/>
      <c r="D24" s="120" t="n"/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71" t="inlineStr">
        <is>
          <t>Revenue Account / Profit and Loss Account</t>
        </is>
      </c>
      <c r="B26" s="1" t="n"/>
      <c r="C26" s="1" t="n"/>
      <c r="D26" s="1" t="n"/>
      <c r="E26" s="17" t="n"/>
      <c r="F26" s="17" t="n"/>
      <c r="G26" s="17" t="n"/>
    </row>
    <row r="27">
      <c r="A27" s="14" t="inlineStr">
        <is>
          <t>Particulars</t>
        </is>
      </c>
      <c r="B27" s="14" t="inlineStr">
        <is>
          <t>Schedule</t>
        </is>
      </c>
      <c r="C27" s="123" t="inlineStr">
        <is>
          <t>Current Reporting Period</t>
        </is>
      </c>
      <c r="D27" s="123" t="inlineStr">
        <is>
          <t>Previous Reporting Period</t>
        </is>
      </c>
      <c r="E27" s="17" t="n"/>
      <c r="F27" s="17" t="n"/>
      <c r="G27" s="17" t="n"/>
    </row>
    <row r="28">
      <c r="A28" s="42" t="inlineStr">
        <is>
          <t>REVENUE ACCOUNT</t>
        </is>
      </c>
      <c r="B28" s="42" t="str"/>
      <c r="C28" s="118" t="n"/>
      <c r="D28" s="118" t="n"/>
      <c r="E28" s="17" t="n"/>
      <c r="F28" s="17" t="n"/>
      <c r="G28" s="17" t="n"/>
    </row>
    <row r="29">
      <c r="A29" s="17" t="inlineStr">
        <is>
          <t>Premium Earned (Net)</t>
        </is>
      </c>
      <c r="B29" s="17" t="inlineStr">
        <is>
          <t>12</t>
        </is>
      </c>
      <c r="C29" s="120">
        <f>E70</f>
        <v/>
      </c>
      <c r="D29" s="120">
        <f>F70</f>
        <v/>
      </c>
      <c r="E29" s="17" t="n"/>
      <c r="F29" s="17" t="n"/>
      <c r="G29" s="17" t="n"/>
    </row>
    <row r="30">
      <c r="A30" s="17" t="inlineStr">
        <is>
          <t>Claims Incurred (Net)</t>
        </is>
      </c>
      <c r="B30" s="17" t="inlineStr">
        <is>
          <t>13</t>
        </is>
      </c>
      <c r="C30" s="120">
        <f>E72</f>
        <v/>
      </c>
      <c r="D30" s="120">
        <f>F72</f>
        <v/>
      </c>
      <c r="E30" s="17" t="n"/>
      <c r="F30" s="17" t="n"/>
      <c r="G30" s="17" t="n"/>
    </row>
    <row r="31">
      <c r="A31" s="17" t="inlineStr">
        <is>
          <t>Commission</t>
        </is>
      </c>
      <c r="B31" s="17" t="inlineStr">
        <is>
          <t>14</t>
        </is>
      </c>
      <c r="C31" s="120">
        <f>E74</f>
        <v/>
      </c>
      <c r="D31" s="120">
        <f>F74</f>
        <v/>
      </c>
      <c r="E31" s="17" t="n"/>
      <c r="F31" s="17" t="n"/>
      <c r="G31" s="17" t="n"/>
    </row>
    <row r="32">
      <c r="A32" s="17" t="inlineStr">
        <is>
          <t>Operating Expenses</t>
        </is>
      </c>
      <c r="B32" s="17" t="inlineStr">
        <is>
          <t>15</t>
        </is>
      </c>
      <c r="C32" s="120">
        <f>E76</f>
        <v/>
      </c>
      <c r="D32" s="120">
        <f>F76</f>
        <v/>
      </c>
      <c r="E32" s="17" t="n"/>
      <c r="F32" s="17" t="n"/>
      <c r="G32" s="17" t="n"/>
    </row>
    <row r="33">
      <c r="A33" s="17" t="inlineStr">
        <is>
          <t>Investment Income</t>
        </is>
      </c>
      <c r="B33" s="17" t="inlineStr">
        <is>
          <t>16</t>
        </is>
      </c>
      <c r="C33" s="120">
        <f>E78</f>
        <v/>
      </c>
      <c r="D33" s="120">
        <f>F78</f>
        <v/>
      </c>
      <c r="E33" s="17" t="n"/>
      <c r="F33" s="17" t="n"/>
      <c r="G33" s="17" t="n"/>
    </row>
    <row r="34">
      <c r="A34" s="17" t="inlineStr">
        <is>
          <t>Other Income</t>
        </is>
      </c>
      <c r="B34" s="17" t="inlineStr">
        <is>
          <t>17</t>
        </is>
      </c>
      <c r="C34" s="120">
        <f>E80</f>
        <v/>
      </c>
      <c r="D34" s="120">
        <f>F80</f>
        <v/>
      </c>
      <c r="E34" s="17" t="n"/>
      <c r="F34" s="17" t="n"/>
      <c r="G34" s="17" t="n"/>
    </row>
    <row r="35">
      <c r="A35" s="65" t="inlineStr">
        <is>
          <t>Operating Profit / (Loss)</t>
        </is>
      </c>
      <c r="B35" s="65" t="str"/>
      <c r="C35" s="122">
        <f>0</f>
        <v/>
      </c>
      <c r="D35" s="122">
        <f>0</f>
        <v/>
      </c>
      <c r="E35" s="17" t="n"/>
      <c r="F35" s="17" t="n"/>
      <c r="G35" s="17" t="n"/>
    </row>
    <row r="36">
      <c r="A36" s="42" t="inlineStr">
        <is>
          <t>PROFIT AND LOSS ACCOUNT</t>
        </is>
      </c>
      <c r="B36" s="42" t="str"/>
      <c r="C36" s="118" t="n"/>
      <c r="D36" s="118" t="n"/>
      <c r="E36" s="17" t="n"/>
      <c r="F36" s="17" t="n"/>
      <c r="G36" s="17" t="n"/>
    </row>
    <row r="37">
      <c r="A37" s="17" t="inlineStr">
        <is>
          <t>Transfer from Revenue Accounts</t>
        </is>
      </c>
      <c r="B37" s="17" t="inlineStr">
        <is>
          <t>—</t>
        </is>
      </c>
      <c r="C37" s="121" t="n"/>
      <c r="D37" s="121" t="n"/>
      <c r="E37" s="17" t="n"/>
      <c r="F37" s="17" t="n"/>
      <c r="G37" s="17" t="n"/>
    </row>
    <row r="38">
      <c r="A38" s="17" t="inlineStr">
        <is>
          <t>Investment Income</t>
        </is>
      </c>
      <c r="B38" s="17" t="inlineStr">
        <is>
          <t>16</t>
        </is>
      </c>
      <c r="C38" s="120">
        <f>E78</f>
        <v/>
      </c>
      <c r="D38" s="120">
        <f>F78</f>
        <v/>
      </c>
      <c r="E38" s="17" t="n"/>
      <c r="F38" s="17" t="n"/>
      <c r="G38" s="17" t="n"/>
    </row>
    <row r="39">
      <c r="A39" s="17" t="inlineStr">
        <is>
          <t>Other Income</t>
        </is>
      </c>
      <c r="B39" s="17" t="inlineStr">
        <is>
          <t>17</t>
        </is>
      </c>
      <c r="C39" s="120">
        <f>E80</f>
        <v/>
      </c>
      <c r="D39" s="120">
        <f>F80</f>
        <v/>
      </c>
      <c r="E39" s="17" t="n"/>
      <c r="F39" s="17" t="n"/>
      <c r="G39" s="17" t="n"/>
    </row>
    <row r="40">
      <c r="A40" s="17" t="inlineStr">
        <is>
          <t>Other Expenses / Provisions</t>
        </is>
      </c>
      <c r="B40" s="17" t="inlineStr">
        <is>
          <t>—</t>
        </is>
      </c>
      <c r="C40" s="121" t="n"/>
      <c r="D40" s="121" t="n"/>
      <c r="E40" s="17" t="n"/>
      <c r="F40" s="17" t="n"/>
      <c r="G40" s="17" t="n"/>
    </row>
    <row r="41">
      <c r="A41" s="17" t="inlineStr">
        <is>
          <t>Tax</t>
        </is>
      </c>
      <c r="B41" s="17" t="inlineStr">
        <is>
          <t>—</t>
        </is>
      </c>
      <c r="C41" s="121" t="n"/>
      <c r="D41" s="121" t="n"/>
      <c r="E41" s="17" t="n"/>
      <c r="F41" s="17" t="n"/>
      <c r="G41" s="17" t="n"/>
    </row>
    <row r="42">
      <c r="A42" s="65" t="inlineStr">
        <is>
          <t>Profit / (Loss)</t>
        </is>
      </c>
      <c r="B42" s="65" t="str"/>
      <c r="C42" s="122">
        <f>C35-SUM(C37,C38,C39,C40,C41)</f>
        <v/>
      </c>
      <c r="D42" s="122">
        <f>D35-SUM(D37,D38,D39,D40,D41)</f>
        <v/>
      </c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 ht="26" customHeight="1" s="82">
      <c r="A45" s="79" t="inlineStr">
        <is>
          <t>Notes / Schedules — linked source for face statements</t>
        </is>
      </c>
      <c r="B45" s="1" t="n"/>
      <c r="C45" s="1" t="n"/>
      <c r="D45" s="1" t="n"/>
      <c r="E45" s="1" t="n"/>
      <c r="F45" s="1" t="n"/>
      <c r="G45" s="1" t="n"/>
    </row>
    <row r="46">
      <c r="A46" s="14" t="inlineStr">
        <is>
          <t>Note</t>
        </is>
      </c>
      <c r="B46" s="14" t="inlineStr">
        <is>
          <t>Note Title</t>
        </is>
      </c>
      <c r="C46" s="14" t="inlineStr">
        <is>
          <t>Statutory Line Item</t>
        </is>
      </c>
      <c r="D46" s="14" t="inlineStr">
        <is>
          <t>AAH Mapping Key</t>
        </is>
      </c>
      <c r="E46" s="14" t="inlineStr">
        <is>
          <t>Current Period</t>
        </is>
      </c>
      <c r="F46" s="14" t="inlineStr">
        <is>
          <t>Previous Period</t>
        </is>
      </c>
      <c r="G46" s="14" t="inlineStr">
        <is>
          <t>Disclosure / Remarks</t>
        </is>
      </c>
    </row>
    <row r="47">
      <c r="A47" s="17" t="inlineStr">
        <is>
          <t>1</t>
        </is>
      </c>
      <c r="B47" s="17" t="inlineStr">
        <is>
          <t>Share Capital</t>
        </is>
      </c>
      <c r="C47" s="17" t="inlineStr">
        <is>
          <t>Share capital</t>
        </is>
      </c>
      <c r="D47" s="17" t="inlineStr">
        <is>
          <t>GEN_CAP</t>
        </is>
      </c>
      <c r="E47" s="121" t="n">
        <v>0</v>
      </c>
      <c r="F47" s="121" t="n">
        <v>0</v>
      </c>
      <c r="G47" s="59" t="str"/>
    </row>
    <row r="48">
      <c r="A48" s="65" t="inlineStr">
        <is>
          <t>1</t>
        </is>
      </c>
      <c r="B48" s="65" t="inlineStr">
        <is>
          <t>Share Capital</t>
        </is>
      </c>
      <c r="C48" s="65" t="inlineStr">
        <is>
          <t>Total — Share Capital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2</t>
        </is>
      </c>
      <c r="B49" s="17" t="inlineStr">
        <is>
          <t>Reserves and Surplus</t>
        </is>
      </c>
      <c r="C49" s="17" t="inlineStr">
        <is>
          <t>Reserves and surplus</t>
        </is>
      </c>
      <c r="D49" s="17" t="inlineStr">
        <is>
          <t>GEN_RES</t>
        </is>
      </c>
      <c r="E49" s="121" t="n">
        <v>0</v>
      </c>
      <c r="F49" s="121" t="n">
        <v>0</v>
      </c>
      <c r="G49" s="59" t="str"/>
    </row>
    <row r="50">
      <c r="A50" s="65" t="inlineStr">
        <is>
          <t>2</t>
        </is>
      </c>
      <c r="B50" s="65" t="inlineStr">
        <is>
          <t>Reserves and Surplus</t>
        </is>
      </c>
      <c r="C50" s="65" t="inlineStr">
        <is>
          <t>Total — Reserves and Surplus</t>
        </is>
      </c>
      <c r="D50" s="65" t="inlineStr">
        <is>
          <t>__TOTAL__</t>
        </is>
      </c>
      <c r="E50" s="122">
        <f>SUM(E49:E49)</f>
        <v/>
      </c>
      <c r="F50" s="122">
        <f>SUM(F49:F49)</f>
        <v/>
      </c>
      <c r="G50" s="65" t="str"/>
    </row>
    <row r="51">
      <c r="A51" s="17" t="inlineStr">
        <is>
          <t>3</t>
        </is>
      </c>
      <c r="B51" s="17" t="inlineStr">
        <is>
          <t>Borrowings</t>
        </is>
      </c>
      <c r="C51" s="17" t="inlineStr">
        <is>
          <t>Borrowings</t>
        </is>
      </c>
      <c r="D51" s="17" t="inlineStr">
        <is>
          <t>GEN_BORR</t>
        </is>
      </c>
      <c r="E51" s="121" t="n">
        <v>0</v>
      </c>
      <c r="F51" s="121" t="n">
        <v>0</v>
      </c>
      <c r="G51" s="59" t="str"/>
    </row>
    <row r="52">
      <c r="A52" s="65" t="inlineStr">
        <is>
          <t>3</t>
        </is>
      </c>
      <c r="B52" s="65" t="inlineStr">
        <is>
          <t>Borrowings</t>
        </is>
      </c>
      <c r="C52" s="65" t="inlineStr">
        <is>
          <t>Total — Borrowings</t>
        </is>
      </c>
      <c r="D52" s="65" t="inlineStr">
        <is>
          <t>__TOTAL__</t>
        </is>
      </c>
      <c r="E52" s="122">
        <f>SUM(E51:E51)</f>
        <v/>
      </c>
      <c r="F52" s="122">
        <f>SUM(F51:F51)</f>
        <v/>
      </c>
      <c r="G52" s="65" t="str"/>
    </row>
    <row r="53">
      <c r="A53" s="17" t="inlineStr">
        <is>
          <t>4</t>
        </is>
      </c>
      <c r="B53" s="17" t="inlineStr">
        <is>
          <t>Investments</t>
        </is>
      </c>
      <c r="C53" s="17" t="inlineStr">
        <is>
          <t>Investments</t>
        </is>
      </c>
      <c r="D53" s="17" t="inlineStr">
        <is>
          <t>GEN_INV</t>
        </is>
      </c>
      <c r="E53" s="121" t="n">
        <v>0</v>
      </c>
      <c r="F53" s="121" t="n">
        <v>0</v>
      </c>
      <c r="G53" s="59" t="str"/>
    </row>
    <row r="54">
      <c r="A54" s="65" t="inlineStr">
        <is>
          <t>4</t>
        </is>
      </c>
      <c r="B54" s="65" t="inlineStr">
        <is>
          <t>Investments</t>
        </is>
      </c>
      <c r="C54" s="65" t="inlineStr">
        <is>
          <t>Total — Investments</t>
        </is>
      </c>
      <c r="D54" s="65" t="inlineStr">
        <is>
          <t>__TOTAL__</t>
        </is>
      </c>
      <c r="E54" s="122">
        <f>SUM(E53:E53)</f>
        <v/>
      </c>
      <c r="F54" s="122">
        <f>SUM(F53:F53)</f>
        <v/>
      </c>
      <c r="G54" s="65" t="str"/>
    </row>
    <row r="55">
      <c r="A55" s="17" t="inlineStr">
        <is>
          <t>5</t>
        </is>
      </c>
      <c r="B55" s="17" t="inlineStr">
        <is>
          <t>Loans</t>
        </is>
      </c>
      <c r="C55" s="17" t="inlineStr">
        <is>
          <t>Loans</t>
        </is>
      </c>
      <c r="D55" s="17" t="inlineStr">
        <is>
          <t>GEN_LOANS</t>
        </is>
      </c>
      <c r="E55" s="121" t="n">
        <v>0</v>
      </c>
      <c r="F55" s="121" t="n">
        <v>0</v>
      </c>
      <c r="G55" s="59" t="str"/>
    </row>
    <row r="56">
      <c r="A56" s="65" t="inlineStr">
        <is>
          <t>5</t>
        </is>
      </c>
      <c r="B56" s="65" t="inlineStr">
        <is>
          <t>Loans</t>
        </is>
      </c>
      <c r="C56" s="65" t="inlineStr">
        <is>
          <t>Total — Loans</t>
        </is>
      </c>
      <c r="D56" s="65" t="inlineStr">
        <is>
          <t>__TOTAL__</t>
        </is>
      </c>
      <c r="E56" s="122">
        <f>SUM(E55:E55)</f>
        <v/>
      </c>
      <c r="F56" s="122">
        <f>SUM(F55:F55)</f>
        <v/>
      </c>
      <c r="G56" s="65" t="str"/>
    </row>
    <row r="57">
      <c r="A57" s="17" t="inlineStr">
        <is>
          <t>6</t>
        </is>
      </c>
      <c r="B57" s="17" t="inlineStr">
        <is>
          <t>Fixed Assets</t>
        </is>
      </c>
      <c r="C57" s="17" t="inlineStr">
        <is>
          <t>Fixed assets</t>
        </is>
      </c>
      <c r="D57" s="17" t="inlineStr">
        <is>
          <t>GEN_FA</t>
        </is>
      </c>
      <c r="E57" s="121" t="n">
        <v>0</v>
      </c>
      <c r="F57" s="121" t="n">
        <v>0</v>
      </c>
      <c r="G57" s="59" t="str"/>
    </row>
    <row r="58">
      <c r="A58" s="65" t="inlineStr">
        <is>
          <t>6</t>
        </is>
      </c>
      <c r="B58" s="65" t="inlineStr">
        <is>
          <t>Fixed Assets</t>
        </is>
      </c>
      <c r="C58" s="65" t="inlineStr">
        <is>
          <t>Total — Fixed Assets</t>
        </is>
      </c>
      <c r="D58" s="65" t="inlineStr">
        <is>
          <t>__TOTAL__</t>
        </is>
      </c>
      <c r="E58" s="122">
        <f>SUM(E57:E57)</f>
        <v/>
      </c>
      <c r="F58" s="122">
        <f>SUM(F57:F57)</f>
        <v/>
      </c>
      <c r="G58" s="65" t="str"/>
    </row>
    <row r="59">
      <c r="A59" s="17" t="inlineStr">
        <is>
          <t>7</t>
        </is>
      </c>
      <c r="B59" s="17" t="inlineStr">
        <is>
          <t>Cash and Bank Balances</t>
        </is>
      </c>
      <c r="C59" s="17" t="inlineStr">
        <is>
          <t>Cash and bank balances</t>
        </is>
      </c>
      <c r="D59" s="17" t="inlineStr">
        <is>
          <t>GEN_CASH</t>
        </is>
      </c>
      <c r="E59" s="121" t="n">
        <v>0</v>
      </c>
      <c r="F59" s="121" t="n">
        <v>0</v>
      </c>
      <c r="G59" s="59" t="str"/>
    </row>
    <row r="60">
      <c r="A60" s="65" t="inlineStr">
        <is>
          <t>7</t>
        </is>
      </c>
      <c r="B60" s="65" t="inlineStr">
        <is>
          <t>Cash and Bank Balances</t>
        </is>
      </c>
      <c r="C60" s="65" t="inlineStr">
        <is>
          <t>Total — Cash and Bank Balances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8</t>
        </is>
      </c>
      <c r="B61" s="17" t="inlineStr">
        <is>
          <t>Advances and Other Assets</t>
        </is>
      </c>
      <c r="C61" s="17" t="inlineStr">
        <is>
          <t>Advances and other assets</t>
        </is>
      </c>
      <c r="D61" s="17" t="inlineStr">
        <is>
          <t>GEN_ADV</t>
        </is>
      </c>
      <c r="E61" s="121" t="n">
        <v>0</v>
      </c>
      <c r="F61" s="121" t="n">
        <v>0</v>
      </c>
      <c r="G61" s="59" t="str"/>
    </row>
    <row r="62">
      <c r="A62" s="65" t="inlineStr">
        <is>
          <t>8</t>
        </is>
      </c>
      <c r="B62" s="65" t="inlineStr">
        <is>
          <t>Advances and Other Assets</t>
        </is>
      </c>
      <c r="C62" s="65" t="inlineStr">
        <is>
          <t>Total — Advances and Other Assets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9</t>
        </is>
      </c>
      <c r="B63" s="17" t="inlineStr">
        <is>
          <t>Current Liabilities</t>
        </is>
      </c>
      <c r="C63" s="17" t="inlineStr">
        <is>
          <t>Current liabilities</t>
        </is>
      </c>
      <c r="D63" s="17" t="inlineStr">
        <is>
          <t>GEN_CL</t>
        </is>
      </c>
      <c r="E63" s="121" t="n">
        <v>0</v>
      </c>
      <c r="F63" s="121" t="n">
        <v>0</v>
      </c>
      <c r="G63" s="59" t="str"/>
    </row>
    <row r="64">
      <c r="A64" s="65" t="inlineStr">
        <is>
          <t>9</t>
        </is>
      </c>
      <c r="B64" s="65" t="inlineStr">
        <is>
          <t>Current Liabilities</t>
        </is>
      </c>
      <c r="C64" s="65" t="inlineStr">
        <is>
          <t>Total — Current Liabilities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10</t>
        </is>
      </c>
      <c r="B65" s="17" t="inlineStr">
        <is>
          <t>Provisions</t>
        </is>
      </c>
      <c r="C65" s="17" t="inlineStr">
        <is>
          <t>Provisions</t>
        </is>
      </c>
      <c r="D65" s="17" t="inlineStr">
        <is>
          <t>GEN_PROV</t>
        </is>
      </c>
      <c r="E65" s="121" t="n">
        <v>0</v>
      </c>
      <c r="F65" s="121" t="n">
        <v>0</v>
      </c>
      <c r="G65" s="59" t="str"/>
    </row>
    <row r="66">
      <c r="A66" s="65" t="inlineStr">
        <is>
          <t>10</t>
        </is>
      </c>
      <c r="B66" s="65" t="inlineStr">
        <is>
          <t>Provisions</t>
        </is>
      </c>
      <c r="C66" s="65" t="inlineStr">
        <is>
          <t>Total — Provisions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11</t>
        </is>
      </c>
      <c r="B67" s="17" t="inlineStr">
        <is>
          <t>Fair Value Change Account</t>
        </is>
      </c>
      <c r="C67" s="17" t="inlineStr">
        <is>
          <t>Fair value change account</t>
        </is>
      </c>
      <c r="D67" s="17" t="inlineStr">
        <is>
          <t>GEN_FV</t>
        </is>
      </c>
      <c r="E67" s="121" t="n">
        <v>0</v>
      </c>
      <c r="F67" s="121" t="n">
        <v>0</v>
      </c>
      <c r="G67" s="59" t="str"/>
    </row>
    <row r="68">
      <c r="A68" s="65" t="inlineStr">
        <is>
          <t>11</t>
        </is>
      </c>
      <c r="B68" s="65" t="inlineStr">
        <is>
          <t>Fair Value Change Account</t>
        </is>
      </c>
      <c r="C68" s="65" t="inlineStr">
        <is>
          <t>Total — Fair Value Change Account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12</t>
        </is>
      </c>
      <c r="B69" s="17" t="inlineStr">
        <is>
          <t>Premium Earned (Net)</t>
        </is>
      </c>
      <c r="C69" s="17" t="inlineStr">
        <is>
          <t>Premium earned</t>
        </is>
      </c>
      <c r="D69" s="17" t="inlineStr">
        <is>
          <t>GEN_PREM</t>
        </is>
      </c>
      <c r="E69" s="121" t="n">
        <v>0</v>
      </c>
      <c r="F69" s="121" t="n">
        <v>0</v>
      </c>
      <c r="G69" s="59" t="str"/>
    </row>
    <row r="70">
      <c r="A70" s="65" t="inlineStr">
        <is>
          <t>12</t>
        </is>
      </c>
      <c r="B70" s="65" t="inlineStr">
        <is>
          <t>Premium Earned (Net)</t>
        </is>
      </c>
      <c r="C70" s="65" t="inlineStr">
        <is>
          <t>Total — Premium Earned (Net)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13</t>
        </is>
      </c>
      <c r="B71" s="17" t="inlineStr">
        <is>
          <t>Claims Incurred (Net)</t>
        </is>
      </c>
      <c r="C71" s="17" t="inlineStr">
        <is>
          <t>Claims incurred</t>
        </is>
      </c>
      <c r="D71" s="17" t="inlineStr">
        <is>
          <t>GEN_CLAIMS</t>
        </is>
      </c>
      <c r="E71" s="121" t="n">
        <v>0</v>
      </c>
      <c r="F71" s="121" t="n">
        <v>0</v>
      </c>
      <c r="G71" s="59" t="str"/>
    </row>
    <row r="72">
      <c r="A72" s="65" t="inlineStr">
        <is>
          <t>13</t>
        </is>
      </c>
      <c r="B72" s="65" t="inlineStr">
        <is>
          <t>Claims Incurred (Net)</t>
        </is>
      </c>
      <c r="C72" s="65" t="inlineStr">
        <is>
          <t>Total — Claims Incurred (Net)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14</t>
        </is>
      </c>
      <c r="B73" s="17" t="inlineStr">
        <is>
          <t>Commission</t>
        </is>
      </c>
      <c r="C73" s="17" t="inlineStr">
        <is>
          <t>Commission</t>
        </is>
      </c>
      <c r="D73" s="17" t="inlineStr">
        <is>
          <t>GEN_COMM</t>
        </is>
      </c>
      <c r="E73" s="121" t="n">
        <v>0</v>
      </c>
      <c r="F73" s="121" t="n">
        <v>0</v>
      </c>
      <c r="G73" s="59" t="str"/>
    </row>
    <row r="74">
      <c r="A74" s="65" t="inlineStr">
        <is>
          <t>14</t>
        </is>
      </c>
      <c r="B74" s="65" t="inlineStr">
        <is>
          <t>Commission</t>
        </is>
      </c>
      <c r="C74" s="65" t="inlineStr">
        <is>
          <t>Total — Commission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inlineStr">
        <is>
          <t>15</t>
        </is>
      </c>
      <c r="B75" s="17" t="inlineStr">
        <is>
          <t>Operating Expenses</t>
        </is>
      </c>
      <c r="C75" s="17" t="inlineStr">
        <is>
          <t>Operating expenses</t>
        </is>
      </c>
      <c r="D75" s="17" t="inlineStr">
        <is>
          <t>GEN_OPEX</t>
        </is>
      </c>
      <c r="E75" s="121" t="n">
        <v>0</v>
      </c>
      <c r="F75" s="121" t="n">
        <v>0</v>
      </c>
      <c r="G75" s="59" t="str"/>
    </row>
    <row r="76">
      <c r="A76" s="65" t="inlineStr">
        <is>
          <t>15</t>
        </is>
      </c>
      <c r="B76" s="65" t="inlineStr">
        <is>
          <t>Operating Expenses</t>
        </is>
      </c>
      <c r="C76" s="65" t="inlineStr">
        <is>
          <t>Total — Operating Expenses</t>
        </is>
      </c>
      <c r="D76" s="65" t="inlineStr">
        <is>
          <t>__TOTAL__</t>
        </is>
      </c>
      <c r="E76" s="122">
        <f>SUM(E75:E75)</f>
        <v/>
      </c>
      <c r="F76" s="122">
        <f>SUM(F75:F75)</f>
        <v/>
      </c>
      <c r="G76" s="65" t="str"/>
    </row>
    <row r="77">
      <c r="A77" s="17" t="inlineStr">
        <is>
          <t>16</t>
        </is>
      </c>
      <c r="B77" s="17" t="inlineStr">
        <is>
          <t>Investment Income</t>
        </is>
      </c>
      <c r="C77" s="17" t="inlineStr">
        <is>
          <t>Investment income</t>
        </is>
      </c>
      <c r="D77" s="17" t="inlineStr">
        <is>
          <t>GEN_INVINC</t>
        </is>
      </c>
      <c r="E77" s="121" t="n">
        <v>0</v>
      </c>
      <c r="F77" s="121" t="n">
        <v>0</v>
      </c>
      <c r="G77" s="59" t="str"/>
    </row>
    <row r="78">
      <c r="A78" s="65" t="inlineStr">
        <is>
          <t>16</t>
        </is>
      </c>
      <c r="B78" s="65" t="inlineStr">
        <is>
          <t>Investment Income</t>
        </is>
      </c>
      <c r="C78" s="65" t="inlineStr">
        <is>
          <t>Total — Investment Income</t>
        </is>
      </c>
      <c r="D78" s="65" t="inlineStr">
        <is>
          <t>__TOTAL__</t>
        </is>
      </c>
      <c r="E78" s="122">
        <f>SUM(E77:E77)</f>
        <v/>
      </c>
      <c r="F78" s="122">
        <f>SUM(F77:F77)</f>
        <v/>
      </c>
      <c r="G78" s="65" t="str"/>
    </row>
    <row r="79">
      <c r="A79" s="17" t="inlineStr">
        <is>
          <t>17</t>
        </is>
      </c>
      <c r="B79" s="17" t="inlineStr">
        <is>
          <t>Other Income</t>
        </is>
      </c>
      <c r="C79" s="17" t="inlineStr">
        <is>
          <t>Other income</t>
        </is>
      </c>
      <c r="D79" s="17" t="inlineStr">
        <is>
          <t>GEN_OI</t>
        </is>
      </c>
      <c r="E79" s="121" t="n">
        <v>0</v>
      </c>
      <c r="F79" s="121" t="n">
        <v>0</v>
      </c>
      <c r="G79" s="59" t="str"/>
    </row>
    <row r="80">
      <c r="A80" s="65" t="inlineStr">
        <is>
          <t>17</t>
        </is>
      </c>
      <c r="B80" s="65" t="inlineStr">
        <is>
          <t>Other Income</t>
        </is>
      </c>
      <c r="C80" s="65" t="inlineStr">
        <is>
          <t>Total — Other Income</t>
        </is>
      </c>
      <c r="D80" s="65" t="inlineStr">
        <is>
          <t>__TOTAL__</t>
        </is>
      </c>
      <c r="E80" s="122">
        <f>SUM(E79:E79)</f>
        <v/>
      </c>
      <c r="F80" s="122">
        <f>SUM(F79:F79)</f>
        <v/>
      </c>
      <c r="G80" s="65" t="str"/>
    </row>
    <row r="81">
      <c r="A81" s="17" t="inlineStr">
        <is>
          <t>18</t>
        </is>
      </c>
      <c r="B81" s="17" t="inlineStr">
        <is>
          <t>Insurance / Regulatory Reserves</t>
        </is>
      </c>
      <c r="C81" s="17" t="inlineStr">
        <is>
          <t>Insurance / regulatory reserves</t>
        </is>
      </c>
      <c r="D81" s="17" t="inlineStr">
        <is>
          <t>GEN_REGRES</t>
        </is>
      </c>
      <c r="E81" s="121" t="n">
        <v>0</v>
      </c>
      <c r="F81" s="121" t="n">
        <v>0</v>
      </c>
      <c r="G81" s="59" t="str"/>
    </row>
    <row r="82">
      <c r="A82" s="65" t="inlineStr">
        <is>
          <t>18</t>
        </is>
      </c>
      <c r="B82" s="65" t="inlineStr">
        <is>
          <t>Insurance / Regulatory Reserves</t>
        </is>
      </c>
      <c r="C82" s="65" t="inlineStr">
        <is>
          <t>Total — Insurance / Regulatory Reserves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n"/>
      <c r="B83" s="17" t="n"/>
      <c r="C83" s="17" t="n"/>
      <c r="D83" s="17" t="n"/>
      <c r="E83" s="17" t="n"/>
      <c r="F83" s="17" t="n"/>
      <c r="G83" s="17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 ht="26" customHeight="1" s="82">
      <c r="A85" s="79" t="inlineStr">
        <is>
          <t>Validation</t>
        </is>
      </c>
      <c r="B85" s="1" t="n"/>
      <c r="C85" s="1" t="n"/>
      <c r="D85" s="1" t="n"/>
      <c r="E85" s="17" t="n"/>
      <c r="F85" s="17" t="n"/>
      <c r="G85" s="17" t="n"/>
    </row>
    <row r="86">
      <c r="A86" s="14" t="inlineStr">
        <is>
          <t>Check</t>
        </is>
      </c>
      <c r="B86" s="14" t="inlineStr">
        <is>
          <t>Current Period</t>
        </is>
      </c>
      <c r="C86" s="14" t="inlineStr">
        <is>
          <t>Previous Period</t>
        </is>
      </c>
      <c r="D86" s="14" t="inlineStr">
        <is>
          <t>Result</t>
        </is>
      </c>
      <c r="E86" s="17" t="n"/>
      <c r="F86" s="17" t="n"/>
      <c r="G86" s="17" t="n"/>
    </row>
    <row r="87">
      <c r="A87" s="17" t="inlineStr">
        <is>
          <t>Balance Sheet difference</t>
        </is>
      </c>
      <c r="B87" s="17" t="n"/>
      <c r="C87" s="17" t="n"/>
      <c r="D87" s="17" t="n"/>
      <c r="E87" s="17" t="n"/>
      <c r="F87" s="17" t="n"/>
      <c r="G87" s="17" t="n"/>
    </row>
    <row r="88">
      <c r="A88" s="17" t="inlineStr">
        <is>
          <t>Notes / disclosures</t>
        </is>
      </c>
      <c r="B88" s="17" t="inlineStr">
        <is>
          <t>Review</t>
        </is>
      </c>
      <c r="C88" s="17" t="inlineStr">
        <is>
          <t>Review</t>
        </is>
      </c>
      <c r="D88" s="17" t="inlineStr">
        <is>
          <t>Review</t>
        </is>
      </c>
      <c r="E88" s="17" t="n"/>
      <c r="F88" s="17" t="n"/>
      <c r="G88" s="17" t="n"/>
    </row>
    <row r="89">
      <c r="A89" s="17" t="inlineStr">
        <is>
          <t>Profile readiness</t>
        </is>
      </c>
      <c r="B89" s="17" t="str"/>
      <c r="C89" s="17" t="str"/>
      <c r="D89" s="17" t="inlineStr">
        <is>
          <t>READY FOR REVIEW</t>
        </is>
      </c>
      <c r="E89" s="17" t="n"/>
      <c r="F89" s="17" t="n"/>
      <c r="G89" s="17" t="n"/>
    </row>
    <row r="90"/>
    <row r="91"/>
    <row r="92"/>
    <row r="93">
      <c r="A93" s="101" t="inlineStr">
        <is>
          <t>Signatures / Certification</t>
        </is>
      </c>
      <c r="B93" s="101" t="str"/>
      <c r="C93" s="101" t="str"/>
      <c r="D93" s="101" t="str"/>
      <c r="E93" s="101" t="str"/>
      <c r="F93" s="101" t="str"/>
    </row>
    <row r="94">
      <c r="A94" s="112" t="inlineStr">
        <is>
          <t>Entity Signatory</t>
        </is>
      </c>
      <c r="B94" s="104">
        <f>'AAH Basic Info'!B13</f>
        <v/>
      </c>
      <c r="C94" s="115" t="inlineStr">
        <is>
          <t>Designation</t>
        </is>
      </c>
      <c r="D94" s="104">
        <f>'AAH Basic Info'!B14</f>
        <v/>
      </c>
      <c r="E94" s="115" t="inlineStr">
        <is>
          <t>DIN</t>
        </is>
      </c>
      <c r="F94" s="105">
        <f>'AAH Basic Info'!B15</f>
        <v/>
      </c>
    </row>
    <row r="95">
      <c r="A95" s="113" t="inlineStr">
        <is>
          <t>Signing Date</t>
        </is>
      </c>
      <c r="B95" s="107">
        <f>'AAH Basic Info'!B16</f>
        <v/>
      </c>
      <c r="C95" s="116" t="inlineStr">
        <is>
          <t>Place</t>
        </is>
      </c>
      <c r="D95" s="107">
        <f>'AAH Basic Info'!B17</f>
        <v/>
      </c>
      <c r="E95" s="116" t="str"/>
      <c r="F95" s="108" t="str"/>
    </row>
    <row r="96">
      <c r="A96" s="113" t="inlineStr">
        <is>
          <t>Audit Firm</t>
        </is>
      </c>
      <c r="B96" s="107">
        <f>'AAH Basic Info'!B18</f>
        <v/>
      </c>
      <c r="C96" s="116" t="inlineStr">
        <is>
          <t>FRN</t>
        </is>
      </c>
      <c r="D96" s="107">
        <f>'AAH Basic Info'!B19</f>
        <v/>
      </c>
      <c r="E96" s="116" t="str"/>
      <c r="F96" s="108" t="str"/>
    </row>
    <row r="97">
      <c r="A97" s="113" t="inlineStr">
        <is>
          <t>Signing CA</t>
        </is>
      </c>
      <c r="B97" s="107">
        <f>'AAH Basic Info'!B20</f>
        <v/>
      </c>
      <c r="C97" s="116" t="inlineStr">
        <is>
          <t>Designation</t>
        </is>
      </c>
      <c r="D97" s="107">
        <f>'AAH Basic Info'!B21</f>
        <v/>
      </c>
      <c r="E97" s="116" t="inlineStr">
        <is>
          <t>Membership No.</t>
        </is>
      </c>
      <c r="F97" s="108">
        <f>'AAH Basic Info'!B22</f>
        <v/>
      </c>
    </row>
    <row r="98">
      <c r="A98" s="114" t="inlineStr">
        <is>
          <t>Audit Place</t>
        </is>
      </c>
      <c r="B98" s="110">
        <f>'AAH Basic Info'!B23</f>
        <v/>
      </c>
      <c r="C98" s="117" t="inlineStr">
        <is>
          <t>Signing Date</t>
        </is>
      </c>
      <c r="D98" s="110">
        <f>'AAH Basic Info'!B30</f>
        <v/>
      </c>
      <c r="E98" s="117" t="str"/>
      <c r="F98" s="111" t="str"/>
    </row>
  </sheetData>
  <mergeCells count="6">
    <mergeCell ref="A1:G1"/>
    <mergeCell ref="A6:D6"/>
    <mergeCell ref="A26:D26"/>
    <mergeCell ref="A2:G2"/>
    <mergeCell ref="A85:D85"/>
    <mergeCell ref="A45:G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Mutual Fund Scheme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SEBI | Official source: https://www.sebi.gov.in/legal/regulations/jul-2026/securities-and-exchange-board-of-india-mutual-funds-regulations-2026-last-amended-on-july-7-2026-_102780.html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Scheme-wise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LIABILITIES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Unit Capital</t>
        </is>
      </c>
      <c r="B9" s="17" t="inlineStr">
        <is>
          <t>1</t>
        </is>
      </c>
      <c r="C9" s="120">
        <f>E41</f>
        <v/>
      </c>
      <c r="D9" s="120">
        <f>F41</f>
        <v/>
      </c>
      <c r="E9" s="17" t="n"/>
      <c r="F9" s="17" t="n"/>
      <c r="G9" s="17" t="n"/>
    </row>
    <row r="10">
      <c r="A10" s="17" t="inlineStr">
        <is>
          <t>Reserves and Surplus</t>
        </is>
      </c>
      <c r="B10" s="17" t="inlineStr">
        <is>
          <t>2</t>
        </is>
      </c>
      <c r="C10" s="120">
        <f>E43</f>
        <v/>
      </c>
      <c r="D10" s="120">
        <f>F43</f>
        <v/>
      </c>
      <c r="E10" s="17" t="n"/>
      <c r="F10" s="17" t="n"/>
      <c r="G10" s="17" t="n"/>
    </row>
    <row r="11">
      <c r="A11" s="17" t="inlineStr">
        <is>
          <t>Current Liabilities and Provisions</t>
        </is>
      </c>
      <c r="B11" s="17" t="inlineStr">
        <is>
          <t>10</t>
        </is>
      </c>
      <c r="C11" s="120">
        <f>E62</f>
        <v/>
      </c>
      <c r="D11" s="120">
        <f>F62</f>
        <v/>
      </c>
      <c r="E11" s="17" t="n"/>
      <c r="F11" s="17" t="n"/>
      <c r="G11" s="17" t="n"/>
    </row>
    <row r="12">
      <c r="A12" s="65" t="inlineStr">
        <is>
          <t>TOTAL LIABILITIES</t>
        </is>
      </c>
      <c r="B12" s="65" t="str"/>
      <c r="C12" s="122">
        <f>SUM(C9,C10,C11)</f>
        <v/>
      </c>
      <c r="D12" s="122">
        <f>SUM(D9,D10,D11)</f>
        <v/>
      </c>
      <c r="E12" s="17" t="n"/>
      <c r="F12" s="17" t="n"/>
      <c r="G12" s="17" t="n"/>
    </row>
    <row r="13">
      <c r="A13" s="42" t="inlineStr">
        <is>
          <t>ASSETS</t>
        </is>
      </c>
      <c r="B13" s="42" t="str"/>
      <c r="C13" s="118" t="n"/>
      <c r="D13" s="118" t="n"/>
      <c r="E13" s="17" t="n"/>
      <c r="F13" s="17" t="n"/>
      <c r="G13" s="17" t="n"/>
    </row>
    <row r="14">
      <c r="A14" s="17" t="inlineStr">
        <is>
          <t>Investments - Equity Shares</t>
        </is>
      </c>
      <c r="B14" s="17" t="inlineStr">
        <is>
          <t>3</t>
        </is>
      </c>
      <c r="C14" s="120">
        <f>E45</f>
        <v/>
      </c>
      <c r="D14" s="120">
        <f>F45</f>
        <v/>
      </c>
      <c r="E14" s="17" t="n"/>
      <c r="F14" s="17" t="n"/>
      <c r="G14" s="17" t="n"/>
    </row>
    <row r="15">
      <c r="A15" s="17" t="inlineStr">
        <is>
          <t>Investments - Preference Shares</t>
        </is>
      </c>
      <c r="B15" s="17" t="inlineStr">
        <is>
          <t>4</t>
        </is>
      </c>
      <c r="C15" s="120">
        <f>E47</f>
        <v/>
      </c>
      <c r="D15" s="120">
        <f>F47</f>
        <v/>
      </c>
      <c r="E15" s="17" t="n"/>
      <c r="F15" s="17" t="n"/>
      <c r="G15" s="17" t="n"/>
    </row>
    <row r="16">
      <c r="A16" s="17" t="inlineStr">
        <is>
          <t>Investments - Debentures / Bonds</t>
        </is>
      </c>
      <c r="B16" s="17" t="inlineStr">
        <is>
          <t>5</t>
        </is>
      </c>
      <c r="C16" s="120">
        <f>E49</f>
        <v/>
      </c>
      <c r="D16" s="120">
        <f>F49</f>
        <v/>
      </c>
      <c r="E16" s="17" t="n"/>
      <c r="F16" s="17" t="n"/>
      <c r="G16" s="17" t="n"/>
    </row>
    <row r="17">
      <c r="A17" s="17" t="inlineStr">
        <is>
          <t>Investments - Government Securities</t>
        </is>
      </c>
      <c r="B17" s="17" t="inlineStr">
        <is>
          <t>6</t>
        </is>
      </c>
      <c r="C17" s="120">
        <f>E51</f>
        <v/>
      </c>
      <c r="D17" s="120">
        <f>F51</f>
        <v/>
      </c>
      <c r="E17" s="17" t="n"/>
      <c r="F17" s="17" t="n"/>
      <c r="G17" s="17" t="n"/>
    </row>
    <row r="18">
      <c r="A18" s="17" t="inlineStr">
        <is>
          <t>Investments - Money Market Instruments</t>
        </is>
      </c>
      <c r="B18" s="17" t="inlineStr">
        <is>
          <t>7</t>
        </is>
      </c>
      <c r="C18" s="120">
        <f>E53</f>
        <v/>
      </c>
      <c r="D18" s="120">
        <f>F53</f>
        <v/>
      </c>
      <c r="E18" s="17" t="n"/>
      <c r="F18" s="17" t="n"/>
      <c r="G18" s="17" t="n"/>
    </row>
    <row r="19">
      <c r="A19" s="17" t="inlineStr">
        <is>
          <t>Other Investments</t>
        </is>
      </c>
      <c r="B19" s="17" t="inlineStr">
        <is>
          <t>8</t>
        </is>
      </c>
      <c r="C19" s="120">
        <f>E55</f>
        <v/>
      </c>
      <c r="D19" s="120">
        <f>F55</f>
        <v/>
      </c>
      <c r="E19" s="17" t="n"/>
      <c r="F19" s="17" t="n"/>
      <c r="G19" s="17" t="n"/>
    </row>
    <row r="20">
      <c r="A20" s="17" t="inlineStr">
        <is>
          <t>Current Assets</t>
        </is>
      </c>
      <c r="B20" s="17" t="inlineStr">
        <is>
          <t>9</t>
        </is>
      </c>
      <c r="C20" s="120">
        <f>E59</f>
        <v/>
      </c>
      <c r="D20" s="120">
        <f>F59</f>
        <v/>
      </c>
      <c r="E20" s="17" t="n"/>
      <c r="F20" s="17" t="n"/>
      <c r="G20" s="17" t="n"/>
    </row>
    <row r="21">
      <c r="A21" s="65" t="inlineStr">
        <is>
          <t>TOTAL ASSETS</t>
        </is>
      </c>
      <c r="B21" s="65" t="str"/>
      <c r="C21" s="122">
        <f>SUM(C14,C15,C16,C17,C18,C19,C20)</f>
        <v/>
      </c>
      <c r="D21" s="122">
        <f>SUM(D14,D15,D16,D17,D18,D19,D20)</f>
        <v/>
      </c>
      <c r="E21" s="17" t="n"/>
      <c r="F21" s="17" t="n"/>
      <c r="G21" s="17" t="n"/>
    </row>
    <row r="22">
      <c r="A22" s="17" t="n"/>
      <c r="B22" s="17" t="n"/>
      <c r="C22" s="120" t="n"/>
      <c r="D22" s="120" t="n"/>
      <c r="E22" s="17" t="n"/>
      <c r="F22" s="17" t="n"/>
      <c r="G22" s="17" t="n"/>
    </row>
    <row r="23">
      <c r="A23" s="17" t="n"/>
      <c r="B23" s="17" t="n"/>
      <c r="C23" s="120" t="n"/>
      <c r="D23" s="120" t="n"/>
      <c r="E23" s="17" t="n"/>
      <c r="F23" s="17" t="n"/>
      <c r="G23" s="17" t="n"/>
    </row>
    <row r="24">
      <c r="A24" s="71" t="inlineStr">
        <is>
          <t>Scheme-wise Revenue Account</t>
        </is>
      </c>
      <c r="B24" s="1" t="n"/>
      <c r="C24" s="1" t="n"/>
      <c r="D24" s="1" t="n"/>
      <c r="E24" s="17" t="n"/>
      <c r="F24" s="17" t="n"/>
      <c r="G24" s="17" t="n"/>
    </row>
    <row r="25">
      <c r="A25" s="14" t="inlineStr">
        <is>
          <t>Particulars</t>
        </is>
      </c>
      <c r="B25" s="14" t="inlineStr">
        <is>
          <t>Note No.</t>
        </is>
      </c>
      <c r="C25" s="123" t="inlineStr">
        <is>
          <t>Current Reporting Period</t>
        </is>
      </c>
      <c r="D25" s="123" t="inlineStr">
        <is>
          <t>Previous Reporting Period</t>
        </is>
      </c>
      <c r="E25" s="17" t="n"/>
      <c r="F25" s="17" t="n"/>
      <c r="G25" s="17" t="n"/>
    </row>
    <row r="26">
      <c r="A26" s="42" t="inlineStr">
        <is>
          <t>REVENUE ACCOUNT</t>
        </is>
      </c>
      <c r="B26" s="42" t="str"/>
      <c r="C26" s="118" t="n"/>
      <c r="D26" s="118" t="n"/>
      <c r="E26" s="17" t="n"/>
      <c r="F26" s="17" t="n"/>
      <c r="G26" s="17" t="n"/>
    </row>
    <row r="27">
      <c r="A27" s="17" t="inlineStr">
        <is>
          <t>Investment Income</t>
        </is>
      </c>
      <c r="B27" s="17" t="inlineStr">
        <is>
          <t>11</t>
        </is>
      </c>
      <c r="C27" s="120">
        <f>E64</f>
        <v/>
      </c>
      <c r="D27" s="120">
        <f>F64</f>
        <v/>
      </c>
      <c r="E27" s="17" t="n"/>
      <c r="F27" s="17" t="n"/>
      <c r="G27" s="17" t="n"/>
    </row>
    <row r="28">
      <c r="A28" s="17" t="inlineStr">
        <is>
          <t>Profit / Loss on Sale of Investments</t>
        </is>
      </c>
      <c r="B28" s="17" t="inlineStr">
        <is>
          <t>12</t>
        </is>
      </c>
      <c r="C28" s="120">
        <f>E66</f>
        <v/>
      </c>
      <c r="D28" s="120">
        <f>F66</f>
        <v/>
      </c>
      <c r="E28" s="17" t="n"/>
      <c r="F28" s="17" t="n"/>
      <c r="G28" s="17" t="n"/>
    </row>
    <row r="29">
      <c r="A29" s="17" t="inlineStr">
        <is>
          <t>Unrealised Appreciation / Depreciation</t>
        </is>
      </c>
      <c r="B29" s="17" t="inlineStr">
        <is>
          <t>13</t>
        </is>
      </c>
      <c r="C29" s="120">
        <f>E68</f>
        <v/>
      </c>
      <c r="D29" s="120">
        <f>F68</f>
        <v/>
      </c>
      <c r="E29" s="17" t="n"/>
      <c r="F29" s="17" t="n"/>
      <c r="G29" s="17" t="n"/>
    </row>
    <row r="30">
      <c r="A30" s="17" t="inlineStr">
        <is>
          <t>Management Fees</t>
        </is>
      </c>
      <c r="B30" s="17" t="inlineStr">
        <is>
          <t>14</t>
        </is>
      </c>
      <c r="C30" s="120">
        <f>E70</f>
        <v/>
      </c>
      <c r="D30" s="120">
        <f>F70</f>
        <v/>
      </c>
      <c r="E30" s="17" t="n"/>
      <c r="F30" s="17" t="n"/>
      <c r="G30" s="17" t="n"/>
    </row>
    <row r="31">
      <c r="A31" s="17" t="inlineStr">
        <is>
          <t>Trustee / Custodian / Other Expenses</t>
        </is>
      </c>
      <c r="B31" s="17" t="inlineStr">
        <is>
          <t>15</t>
        </is>
      </c>
      <c r="C31" s="120">
        <f>E72</f>
        <v/>
      </c>
      <c r="D31" s="120">
        <f>F72</f>
        <v/>
      </c>
      <c r="E31" s="17" t="n"/>
      <c r="F31" s="17" t="n"/>
      <c r="G31" s="17" t="n"/>
    </row>
    <row r="32">
      <c r="A32" s="65" t="inlineStr">
        <is>
          <t>Surplus / (Deficit)</t>
        </is>
      </c>
      <c r="B32" s="65" t="str"/>
      <c r="C32" s="122">
        <f>0</f>
        <v/>
      </c>
      <c r="D32" s="122">
        <f>0</f>
        <v/>
      </c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 ht="26" customHeight="1" s="82">
      <c r="A35" s="79" t="inlineStr">
        <is>
          <t>Notes / Schedules — linked source for face statements</t>
        </is>
      </c>
      <c r="B35" s="1" t="n"/>
      <c r="C35" s="1" t="n"/>
      <c r="D35" s="1" t="n"/>
      <c r="E35" s="1" t="n"/>
      <c r="F35" s="1" t="n"/>
      <c r="G35" s="1" t="n"/>
    </row>
    <row r="36">
      <c r="A36" s="14" t="inlineStr">
        <is>
          <t>Note</t>
        </is>
      </c>
      <c r="B36" s="14" t="inlineStr">
        <is>
          <t>Note Title</t>
        </is>
      </c>
      <c r="C36" s="14" t="inlineStr">
        <is>
          <t>Statutory Line Item</t>
        </is>
      </c>
      <c r="D36" s="14" t="inlineStr">
        <is>
          <t>AAH Mapping Key</t>
        </is>
      </c>
      <c r="E36" s="14" t="inlineStr">
        <is>
          <t>Current Period</t>
        </is>
      </c>
      <c r="F36" s="14" t="inlineStr">
        <is>
          <t>Previous Period</t>
        </is>
      </c>
      <c r="G36" s="14" t="inlineStr">
        <is>
          <t>Disclosure / Remarks</t>
        </is>
      </c>
    </row>
    <row r="37">
      <c r="A37" s="17" t="inlineStr">
        <is>
          <t>1</t>
        </is>
      </c>
      <c r="B37" s="17" t="inlineStr">
        <is>
          <t>Unit Capital</t>
        </is>
      </c>
      <c r="C37" s="17" t="inlineStr">
        <is>
          <t>Opening unit capital</t>
        </is>
      </c>
      <c r="D37" s="17" t="inlineStr">
        <is>
          <t>MF_UNIT_OPEN</t>
        </is>
      </c>
      <c r="E37" s="121" t="n">
        <v>0</v>
      </c>
      <c r="F37" s="121" t="n">
        <v>0</v>
      </c>
      <c r="G37" s="59" t="str"/>
    </row>
    <row r="38">
      <c r="A38" s="17" t="inlineStr">
        <is>
          <t>1</t>
        </is>
      </c>
      <c r="B38" s="17" t="inlineStr">
        <is>
          <t>Unit Capital</t>
        </is>
      </c>
      <c r="C38" s="17" t="inlineStr">
        <is>
          <t>Units issued</t>
        </is>
      </c>
      <c r="D38" s="17" t="inlineStr">
        <is>
          <t>MF_UNIT_ISS</t>
        </is>
      </c>
      <c r="E38" s="121" t="n">
        <v>0</v>
      </c>
      <c r="F38" s="121" t="n">
        <v>0</v>
      </c>
      <c r="G38" s="59" t="str"/>
    </row>
    <row r="39">
      <c r="A39" s="17" t="inlineStr">
        <is>
          <t>1</t>
        </is>
      </c>
      <c r="B39" s="17" t="inlineStr">
        <is>
          <t>Unit Capital</t>
        </is>
      </c>
      <c r="C39" s="17" t="inlineStr">
        <is>
          <t>Units redeemed</t>
        </is>
      </c>
      <c r="D39" s="17" t="inlineStr">
        <is>
          <t>MF_UNIT_RED</t>
        </is>
      </c>
      <c r="E39" s="121" t="n">
        <v>0</v>
      </c>
      <c r="F39" s="121" t="n">
        <v>0</v>
      </c>
      <c r="G39" s="59" t="str"/>
    </row>
    <row r="40">
      <c r="A40" s="17" t="inlineStr">
        <is>
          <t>1</t>
        </is>
      </c>
      <c r="B40" s="17" t="inlineStr">
        <is>
          <t>Unit Capital</t>
        </is>
      </c>
      <c r="C40" s="17" t="inlineStr">
        <is>
          <t>Closing unit capital</t>
        </is>
      </c>
      <c r="D40" s="17" t="inlineStr">
        <is>
          <t>MF_UNIT_CLOSE</t>
        </is>
      </c>
      <c r="E40" s="121" t="n">
        <v>0</v>
      </c>
      <c r="F40" s="121" t="n">
        <v>0</v>
      </c>
      <c r="G40" s="59" t="str"/>
    </row>
    <row r="41">
      <c r="A41" s="65" t="inlineStr">
        <is>
          <t>1</t>
        </is>
      </c>
      <c r="B41" s="65" t="inlineStr">
        <is>
          <t>Unit Capital</t>
        </is>
      </c>
      <c r="C41" s="65" t="inlineStr">
        <is>
          <t>Total — Unit Capital</t>
        </is>
      </c>
      <c r="D41" s="65" t="inlineStr">
        <is>
          <t>__TOTAL__</t>
        </is>
      </c>
      <c r="E41" s="122">
        <f>SUM(E37:E40)</f>
        <v/>
      </c>
      <c r="F41" s="122">
        <f>SUM(F37:F40)</f>
        <v/>
      </c>
      <c r="G41" s="65" t="str"/>
    </row>
    <row r="42">
      <c r="A42" s="17" t="inlineStr">
        <is>
          <t>2</t>
        </is>
      </c>
      <c r="B42" s="17" t="inlineStr">
        <is>
          <t>Reserves and Surplus</t>
        </is>
      </c>
      <c r="C42" s="17" t="inlineStr">
        <is>
          <t>Reserves and surplus</t>
        </is>
      </c>
      <c r="D42" s="17" t="inlineStr">
        <is>
          <t>MF_RES</t>
        </is>
      </c>
      <c r="E42" s="121" t="n">
        <v>0</v>
      </c>
      <c r="F42" s="121" t="n">
        <v>0</v>
      </c>
      <c r="G42" s="59" t="str"/>
    </row>
    <row r="43">
      <c r="A43" s="65" t="inlineStr">
        <is>
          <t>2</t>
        </is>
      </c>
      <c r="B43" s="65" t="inlineStr">
        <is>
          <t>Reserves and Surplus</t>
        </is>
      </c>
      <c r="C43" s="65" t="inlineStr">
        <is>
          <t>Total — Reserves and Surplus</t>
        </is>
      </c>
      <c r="D43" s="65" t="inlineStr">
        <is>
          <t>__TOTAL__</t>
        </is>
      </c>
      <c r="E43" s="122">
        <f>SUM(E42:E42)</f>
        <v/>
      </c>
      <c r="F43" s="122">
        <f>SUM(F42:F42)</f>
        <v/>
      </c>
      <c r="G43" s="65" t="str"/>
    </row>
    <row r="44">
      <c r="A44" s="17" t="inlineStr">
        <is>
          <t>3</t>
        </is>
      </c>
      <c r="B44" s="17" t="inlineStr">
        <is>
          <t>Investments - Equity Shares</t>
        </is>
      </c>
      <c r="C44" s="17" t="inlineStr">
        <is>
          <t>Equity shares</t>
        </is>
      </c>
      <c r="D44" s="17" t="inlineStr">
        <is>
          <t>MF_INV_EQ</t>
        </is>
      </c>
      <c r="E44" s="121" t="n">
        <v>0</v>
      </c>
      <c r="F44" s="121" t="n">
        <v>0</v>
      </c>
      <c r="G44" s="59" t="str"/>
    </row>
    <row r="45">
      <c r="A45" s="65" t="inlineStr">
        <is>
          <t>3</t>
        </is>
      </c>
      <c r="B45" s="65" t="inlineStr">
        <is>
          <t>Investments - Equity Shares</t>
        </is>
      </c>
      <c r="C45" s="65" t="inlineStr">
        <is>
          <t>Total — Investments - Equity Shares</t>
        </is>
      </c>
      <c r="D45" s="65" t="inlineStr">
        <is>
          <t>__TOTAL__</t>
        </is>
      </c>
      <c r="E45" s="122">
        <f>SUM(E44:E44)</f>
        <v/>
      </c>
      <c r="F45" s="122">
        <f>SUM(F44:F44)</f>
        <v/>
      </c>
      <c r="G45" s="65" t="str"/>
    </row>
    <row r="46">
      <c r="A46" s="17" t="inlineStr">
        <is>
          <t>4</t>
        </is>
      </c>
      <c r="B46" s="17" t="inlineStr">
        <is>
          <t>Investments - Preference Shares</t>
        </is>
      </c>
      <c r="C46" s="17" t="inlineStr">
        <is>
          <t>Preference shares</t>
        </is>
      </c>
      <c r="D46" s="17" t="inlineStr">
        <is>
          <t>MF_INV_PREF</t>
        </is>
      </c>
      <c r="E46" s="121" t="n">
        <v>0</v>
      </c>
      <c r="F46" s="121" t="n">
        <v>0</v>
      </c>
      <c r="G46" s="59" t="str"/>
    </row>
    <row r="47">
      <c r="A47" s="65" t="inlineStr">
        <is>
          <t>4</t>
        </is>
      </c>
      <c r="B47" s="65" t="inlineStr">
        <is>
          <t>Investments - Preference Shares</t>
        </is>
      </c>
      <c r="C47" s="65" t="inlineStr">
        <is>
          <t>Total — Investments - Preference Shares</t>
        </is>
      </c>
      <c r="D47" s="65" t="inlineStr">
        <is>
          <t>__TOTAL__</t>
        </is>
      </c>
      <c r="E47" s="122">
        <f>SUM(E46:E46)</f>
        <v/>
      </c>
      <c r="F47" s="122">
        <f>SUM(F46:F46)</f>
        <v/>
      </c>
      <c r="G47" s="65" t="str"/>
    </row>
    <row r="48">
      <c r="A48" s="17" t="inlineStr">
        <is>
          <t>5</t>
        </is>
      </c>
      <c r="B48" s="17" t="inlineStr">
        <is>
          <t>Investments - Debentures / Bonds</t>
        </is>
      </c>
      <c r="C48" s="17" t="inlineStr">
        <is>
          <t>Debentures / bonds</t>
        </is>
      </c>
      <c r="D48" s="17" t="inlineStr">
        <is>
          <t>MF_INV_DB</t>
        </is>
      </c>
      <c r="E48" s="121" t="n">
        <v>0</v>
      </c>
      <c r="F48" s="121" t="n">
        <v>0</v>
      </c>
      <c r="G48" s="59" t="str"/>
    </row>
    <row r="49">
      <c r="A49" s="65" t="inlineStr">
        <is>
          <t>5</t>
        </is>
      </c>
      <c r="B49" s="65" t="inlineStr">
        <is>
          <t>Investments - Debentures / Bonds</t>
        </is>
      </c>
      <c r="C49" s="65" t="inlineStr">
        <is>
          <t>Total — Investments - Debentures / Bonds</t>
        </is>
      </c>
      <c r="D49" s="65" t="inlineStr">
        <is>
          <t>__TOTAL__</t>
        </is>
      </c>
      <c r="E49" s="122">
        <f>SUM(E48:E48)</f>
        <v/>
      </c>
      <c r="F49" s="122">
        <f>SUM(F48:F48)</f>
        <v/>
      </c>
      <c r="G49" s="65" t="str"/>
    </row>
    <row r="50">
      <c r="A50" s="17" t="inlineStr">
        <is>
          <t>6</t>
        </is>
      </c>
      <c r="B50" s="17" t="inlineStr">
        <is>
          <t>Investments - Government Securities</t>
        </is>
      </c>
      <c r="C50" s="17" t="inlineStr">
        <is>
          <t>Government securities</t>
        </is>
      </c>
      <c r="D50" s="17" t="inlineStr">
        <is>
          <t>MF_INV_GS</t>
        </is>
      </c>
      <c r="E50" s="121" t="n">
        <v>0</v>
      </c>
      <c r="F50" s="121" t="n">
        <v>0</v>
      </c>
      <c r="G50" s="59" t="str"/>
    </row>
    <row r="51">
      <c r="A51" s="65" t="inlineStr">
        <is>
          <t>6</t>
        </is>
      </c>
      <c r="B51" s="65" t="inlineStr">
        <is>
          <t>Investments - Government Securities</t>
        </is>
      </c>
      <c r="C51" s="65" t="inlineStr">
        <is>
          <t>Total — Investments - Government Securities</t>
        </is>
      </c>
      <c r="D51" s="65" t="inlineStr">
        <is>
          <t>__TOTAL__</t>
        </is>
      </c>
      <c r="E51" s="122">
        <f>SUM(E50:E50)</f>
        <v/>
      </c>
      <c r="F51" s="122">
        <f>SUM(F50:F50)</f>
        <v/>
      </c>
      <c r="G51" s="65" t="str"/>
    </row>
    <row r="52">
      <c r="A52" s="17" t="inlineStr">
        <is>
          <t>7</t>
        </is>
      </c>
      <c r="B52" s="17" t="inlineStr">
        <is>
          <t>Investments - Money Market Instruments</t>
        </is>
      </c>
      <c r="C52" s="17" t="inlineStr">
        <is>
          <t>Money market instruments</t>
        </is>
      </c>
      <c r="D52" s="17" t="inlineStr">
        <is>
          <t>MF_INV_MM</t>
        </is>
      </c>
      <c r="E52" s="121" t="n">
        <v>0</v>
      </c>
      <c r="F52" s="121" t="n">
        <v>0</v>
      </c>
      <c r="G52" s="59" t="str"/>
    </row>
    <row r="53">
      <c r="A53" s="65" t="inlineStr">
        <is>
          <t>7</t>
        </is>
      </c>
      <c r="B53" s="65" t="inlineStr">
        <is>
          <t>Investments - Money Market Instruments</t>
        </is>
      </c>
      <c r="C53" s="65" t="inlineStr">
        <is>
          <t>Total — Investments - Money Market Instruments</t>
        </is>
      </c>
      <c r="D53" s="65" t="inlineStr">
        <is>
          <t>__TOTAL__</t>
        </is>
      </c>
      <c r="E53" s="122">
        <f>SUM(E52:E52)</f>
        <v/>
      </c>
      <c r="F53" s="122">
        <f>SUM(F52:F52)</f>
        <v/>
      </c>
      <c r="G53" s="65" t="str"/>
    </row>
    <row r="54">
      <c r="A54" s="17" t="inlineStr">
        <is>
          <t>8</t>
        </is>
      </c>
      <c r="B54" s="17" t="inlineStr">
        <is>
          <t>Other Investments</t>
        </is>
      </c>
      <c r="C54" s="17" t="inlineStr">
        <is>
          <t>Other investments</t>
        </is>
      </c>
      <c r="D54" s="17" t="inlineStr">
        <is>
          <t>MF_INV_OTHER</t>
        </is>
      </c>
      <c r="E54" s="121" t="n">
        <v>0</v>
      </c>
      <c r="F54" s="121" t="n">
        <v>0</v>
      </c>
      <c r="G54" s="59" t="str"/>
    </row>
    <row r="55">
      <c r="A55" s="65" t="inlineStr">
        <is>
          <t>8</t>
        </is>
      </c>
      <c r="B55" s="65" t="inlineStr">
        <is>
          <t>Other Investments</t>
        </is>
      </c>
      <c r="C55" s="65" t="inlineStr">
        <is>
          <t>Total — Other Investments</t>
        </is>
      </c>
      <c r="D55" s="65" t="inlineStr">
        <is>
          <t>__TOTAL__</t>
        </is>
      </c>
      <c r="E55" s="122">
        <f>SUM(E54:E54)</f>
        <v/>
      </c>
      <c r="F55" s="122">
        <f>SUM(F54:F54)</f>
        <v/>
      </c>
      <c r="G55" s="65" t="str"/>
    </row>
    <row r="56">
      <c r="A56" s="17" t="inlineStr">
        <is>
          <t>9</t>
        </is>
      </c>
      <c r="B56" s="17" t="inlineStr">
        <is>
          <t>Current Assets</t>
        </is>
      </c>
      <c r="C56" s="17" t="inlineStr">
        <is>
          <t>Cash / bank</t>
        </is>
      </c>
      <c r="D56" s="17" t="inlineStr">
        <is>
          <t>MF_CA_CASH</t>
        </is>
      </c>
      <c r="E56" s="121" t="n">
        <v>0</v>
      </c>
      <c r="F56" s="121" t="n">
        <v>0</v>
      </c>
      <c r="G56" s="59" t="str"/>
    </row>
    <row r="57">
      <c r="A57" s="17" t="inlineStr">
        <is>
          <t>9</t>
        </is>
      </c>
      <c r="B57" s="17" t="inlineStr">
        <is>
          <t>Current Assets</t>
        </is>
      </c>
      <c r="C57" s="17" t="inlineStr">
        <is>
          <t>Receivables</t>
        </is>
      </c>
      <c r="D57" s="17" t="inlineStr">
        <is>
          <t>MF_CA_REC</t>
        </is>
      </c>
      <c r="E57" s="121" t="n">
        <v>0</v>
      </c>
      <c r="F57" s="121" t="n">
        <v>0</v>
      </c>
      <c r="G57" s="59" t="str"/>
    </row>
    <row r="58">
      <c r="A58" s="17" t="inlineStr">
        <is>
          <t>9</t>
        </is>
      </c>
      <c r="B58" s="17" t="inlineStr">
        <is>
          <t>Current Assets</t>
        </is>
      </c>
      <c r="C58" s="17" t="inlineStr">
        <is>
          <t>Other current assets</t>
        </is>
      </c>
      <c r="D58" s="17" t="inlineStr">
        <is>
          <t>MF_CA_OTHER</t>
        </is>
      </c>
      <c r="E58" s="121" t="n">
        <v>0</v>
      </c>
      <c r="F58" s="121" t="n">
        <v>0</v>
      </c>
      <c r="G58" s="59" t="str"/>
    </row>
    <row r="59">
      <c r="A59" s="65" t="inlineStr">
        <is>
          <t>9</t>
        </is>
      </c>
      <c r="B59" s="65" t="inlineStr">
        <is>
          <t>Current Assets</t>
        </is>
      </c>
      <c r="C59" s="65" t="inlineStr">
        <is>
          <t>Total — Current Assets</t>
        </is>
      </c>
      <c r="D59" s="65" t="inlineStr">
        <is>
          <t>__TOTAL__</t>
        </is>
      </c>
      <c r="E59" s="122">
        <f>SUM(E56:E58)</f>
        <v/>
      </c>
      <c r="F59" s="122">
        <f>SUM(F56:F58)</f>
        <v/>
      </c>
      <c r="G59" s="65" t="str"/>
    </row>
    <row r="60">
      <c r="A60" s="17" t="inlineStr">
        <is>
          <t>10</t>
        </is>
      </c>
      <c r="B60" s="17" t="inlineStr">
        <is>
          <t>Current Liabilities and Provisions</t>
        </is>
      </c>
      <c r="C60" s="17" t="inlineStr">
        <is>
          <t>Current liabilities</t>
        </is>
      </c>
      <c r="D60" s="17" t="inlineStr">
        <is>
          <t>MF_CL</t>
        </is>
      </c>
      <c r="E60" s="121" t="n">
        <v>0</v>
      </c>
      <c r="F60" s="121" t="n">
        <v>0</v>
      </c>
      <c r="G60" s="59" t="str"/>
    </row>
    <row r="61">
      <c r="A61" s="17" t="inlineStr">
        <is>
          <t>10</t>
        </is>
      </c>
      <c r="B61" s="17" t="inlineStr">
        <is>
          <t>Current Liabilities and Provisions</t>
        </is>
      </c>
      <c r="C61" s="17" t="inlineStr">
        <is>
          <t>Provisions</t>
        </is>
      </c>
      <c r="D61" s="17" t="inlineStr">
        <is>
          <t>MF_PROV</t>
        </is>
      </c>
      <c r="E61" s="121" t="n">
        <v>0</v>
      </c>
      <c r="F61" s="121" t="n">
        <v>0</v>
      </c>
      <c r="G61" s="59" t="str"/>
    </row>
    <row r="62">
      <c r="A62" s="65" t="inlineStr">
        <is>
          <t>10</t>
        </is>
      </c>
      <c r="B62" s="65" t="inlineStr">
        <is>
          <t>Current Liabilities and Provisions</t>
        </is>
      </c>
      <c r="C62" s="65" t="inlineStr">
        <is>
          <t>Total — Current Liabilities and Provisions</t>
        </is>
      </c>
      <c r="D62" s="65" t="inlineStr">
        <is>
          <t>__TOTAL__</t>
        </is>
      </c>
      <c r="E62" s="122">
        <f>SUM(E60:E61)</f>
        <v/>
      </c>
      <c r="F62" s="122">
        <f>SUM(F60:F61)</f>
        <v/>
      </c>
      <c r="G62" s="65" t="str"/>
    </row>
    <row r="63">
      <c r="A63" s="17" t="inlineStr">
        <is>
          <t>11</t>
        </is>
      </c>
      <c r="B63" s="17" t="inlineStr">
        <is>
          <t>Investment Income</t>
        </is>
      </c>
      <c r="C63" s="17" t="inlineStr">
        <is>
          <t>Interest / dividend income</t>
        </is>
      </c>
      <c r="D63" s="17" t="inlineStr">
        <is>
          <t>MF_INC_INV</t>
        </is>
      </c>
      <c r="E63" s="121" t="n">
        <v>0</v>
      </c>
      <c r="F63" s="121" t="n">
        <v>0</v>
      </c>
      <c r="G63" s="59" t="str"/>
    </row>
    <row r="64">
      <c r="A64" s="65" t="inlineStr">
        <is>
          <t>11</t>
        </is>
      </c>
      <c r="B64" s="65" t="inlineStr">
        <is>
          <t>Investment Income</t>
        </is>
      </c>
      <c r="C64" s="65" t="inlineStr">
        <is>
          <t>Total — Investment Income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12</t>
        </is>
      </c>
      <c r="B65" s="17" t="inlineStr">
        <is>
          <t>Profit / Loss on Sale of Investments</t>
        </is>
      </c>
      <c r="C65" s="17" t="inlineStr">
        <is>
          <t>Realised gain / loss</t>
        </is>
      </c>
      <c r="D65" s="17" t="inlineStr">
        <is>
          <t>MF_GAIN_REAL</t>
        </is>
      </c>
      <c r="E65" s="121" t="n">
        <v>0</v>
      </c>
      <c r="F65" s="121" t="n">
        <v>0</v>
      </c>
      <c r="G65" s="59" t="str"/>
    </row>
    <row r="66">
      <c r="A66" s="65" t="inlineStr">
        <is>
          <t>12</t>
        </is>
      </c>
      <c r="B66" s="65" t="inlineStr">
        <is>
          <t>Profit / Loss on Sale of Investments</t>
        </is>
      </c>
      <c r="C66" s="65" t="inlineStr">
        <is>
          <t>Total — Profit / Loss on Sale of Investments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13</t>
        </is>
      </c>
      <c r="B67" s="17" t="inlineStr">
        <is>
          <t>Unrealised Appreciation / Depreciation</t>
        </is>
      </c>
      <c r="C67" s="17" t="inlineStr">
        <is>
          <t>Unrealised gain / loss</t>
        </is>
      </c>
      <c r="D67" s="17" t="inlineStr">
        <is>
          <t>MF_GAIN_UNR</t>
        </is>
      </c>
      <c r="E67" s="121" t="n">
        <v>0</v>
      </c>
      <c r="F67" s="121" t="n">
        <v>0</v>
      </c>
      <c r="G67" s="59" t="str"/>
    </row>
    <row r="68">
      <c r="A68" s="65" t="inlineStr">
        <is>
          <t>13</t>
        </is>
      </c>
      <c r="B68" s="65" t="inlineStr">
        <is>
          <t>Unrealised Appreciation / Depreciation</t>
        </is>
      </c>
      <c r="C68" s="65" t="inlineStr">
        <is>
          <t>Total — Unrealised Appreciation / Depreciation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14</t>
        </is>
      </c>
      <c r="B69" s="17" t="inlineStr">
        <is>
          <t>Management Fees</t>
        </is>
      </c>
      <c r="C69" s="17" t="inlineStr">
        <is>
          <t>Management fees</t>
        </is>
      </c>
      <c r="D69" s="17" t="inlineStr">
        <is>
          <t>MF_FEE_MGMT</t>
        </is>
      </c>
      <c r="E69" s="121" t="n">
        <v>0</v>
      </c>
      <c r="F69" s="121" t="n">
        <v>0</v>
      </c>
      <c r="G69" s="59" t="str"/>
    </row>
    <row r="70">
      <c r="A70" s="65" t="inlineStr">
        <is>
          <t>14</t>
        </is>
      </c>
      <c r="B70" s="65" t="inlineStr">
        <is>
          <t>Management Fees</t>
        </is>
      </c>
      <c r="C70" s="65" t="inlineStr">
        <is>
          <t>Total — Management Fees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15</t>
        </is>
      </c>
      <c r="B71" s="17" t="inlineStr">
        <is>
          <t>Trustee / Custodian / Other Expenses</t>
        </is>
      </c>
      <c r="C71" s="17" t="inlineStr">
        <is>
          <t>Trustee / custodian / other expenses</t>
        </is>
      </c>
      <c r="D71" s="17" t="inlineStr">
        <is>
          <t>MF_EXP_OTHER</t>
        </is>
      </c>
      <c r="E71" s="121" t="n">
        <v>0</v>
      </c>
      <c r="F71" s="121" t="n">
        <v>0</v>
      </c>
      <c r="G71" s="59" t="str"/>
    </row>
    <row r="72">
      <c r="A72" s="65" t="inlineStr">
        <is>
          <t>15</t>
        </is>
      </c>
      <c r="B72" s="65" t="inlineStr">
        <is>
          <t>Trustee / Custodian / Other Expenses</t>
        </is>
      </c>
      <c r="C72" s="65" t="inlineStr">
        <is>
          <t>Total — Trustee / Custodian / Other Expenses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16</t>
        </is>
      </c>
      <c r="B73" s="17" t="inlineStr">
        <is>
          <t>NAV / Unit Movement</t>
        </is>
      </c>
      <c r="C73" s="17" t="inlineStr">
        <is>
          <t>NAV per unit / unit movement</t>
        </is>
      </c>
      <c r="D73" s="17" t="inlineStr">
        <is>
          <t>MF_NAV</t>
        </is>
      </c>
      <c r="E73" s="121" t="n">
        <v>0</v>
      </c>
      <c r="F73" s="121" t="n">
        <v>0</v>
      </c>
      <c r="G73" s="59" t="str"/>
    </row>
    <row r="74">
      <c r="A74" s="65" t="inlineStr">
        <is>
          <t>16</t>
        </is>
      </c>
      <c r="B74" s="65" t="inlineStr">
        <is>
          <t>NAV / Unit Movement</t>
        </is>
      </c>
      <c r="C74" s="65" t="inlineStr">
        <is>
          <t>Total — NAV / Unit Movement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n"/>
      <c r="B75" s="17" t="n"/>
      <c r="C75" s="17" t="n"/>
      <c r="D75" s="17" t="n"/>
      <c r="E75" s="17" t="n"/>
      <c r="F75" s="17" t="n"/>
      <c r="G75" s="17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 ht="26" customHeight="1" s="82">
      <c r="A77" s="79" t="inlineStr">
        <is>
          <t>Unit Capital &amp; NAV Movement</t>
        </is>
      </c>
      <c r="B77" s="1" t="n"/>
      <c r="C77" s="1" t="n"/>
      <c r="D77" s="1" t="n"/>
      <c r="E77" s="1" t="n"/>
      <c r="F77" s="1" t="n"/>
      <c r="G77" s="1" t="n"/>
    </row>
    <row r="78">
      <c r="A78" s="14" t="inlineStr">
        <is>
          <t>Line Item</t>
        </is>
      </c>
      <c r="B78" s="14" t="inlineStr">
        <is>
          <t>AAH Mapping Key</t>
        </is>
      </c>
      <c r="C78" s="14" t="inlineStr">
        <is>
          <t>Current Period</t>
        </is>
      </c>
      <c r="D78" s="14" t="inlineStr">
        <is>
          <t>Previous Period</t>
        </is>
      </c>
      <c r="E78" s="14" t="inlineStr">
        <is>
          <t>Calculation / Rule</t>
        </is>
      </c>
      <c r="F78" s="14" t="inlineStr">
        <is>
          <t>Status</t>
        </is>
      </c>
      <c r="G78" s="14" t="inlineStr">
        <is>
          <t>Remarks</t>
        </is>
      </c>
    </row>
    <row r="79">
      <c r="A79" s="17" t="inlineStr">
        <is>
          <t>Opening units</t>
        </is>
      </c>
      <c r="B79" s="17" t="inlineStr">
        <is>
          <t>NAV_OPEN_UNITS</t>
        </is>
      </c>
      <c r="C79" s="121" t="n">
        <v>0</v>
      </c>
      <c r="D79" s="121" t="n">
        <v>0</v>
      </c>
      <c r="E79" s="17" t="inlineStr">
        <is>
          <t>To be populated/calculated by AAH mapping engine</t>
        </is>
      </c>
      <c r="F79" s="17" t="str"/>
      <c r="G79" s="80" t="str"/>
    </row>
    <row r="80">
      <c r="A80" s="17" t="inlineStr">
        <is>
          <t>Units issued</t>
        </is>
      </c>
      <c r="B80" s="17" t="inlineStr">
        <is>
          <t>NAV_ISS_UNITS</t>
        </is>
      </c>
      <c r="C80" s="121" t="n">
        <v>0</v>
      </c>
      <c r="D80" s="121" t="n">
        <v>0</v>
      </c>
      <c r="E80" s="17" t="inlineStr">
        <is>
          <t>To be populated/calculated by AAH mapping engine</t>
        </is>
      </c>
      <c r="F80" s="17" t="str"/>
      <c r="G80" s="80" t="str"/>
    </row>
    <row r="81">
      <c r="A81" s="17" t="inlineStr">
        <is>
          <t>Units redeemed</t>
        </is>
      </c>
      <c r="B81" s="17" t="inlineStr">
        <is>
          <t>NAV_RED_UNITS</t>
        </is>
      </c>
      <c r="C81" s="121" t="n">
        <v>0</v>
      </c>
      <c r="D81" s="121" t="n">
        <v>0</v>
      </c>
      <c r="E81" s="17" t="inlineStr">
        <is>
          <t>To be populated/calculated by AAH mapping engine</t>
        </is>
      </c>
      <c r="F81" s="17" t="str"/>
      <c r="G81" s="80" t="str"/>
    </row>
    <row r="82">
      <c r="A82" s="17" t="inlineStr">
        <is>
          <t>Closing units</t>
        </is>
      </c>
      <c r="B82" s="17" t="inlineStr">
        <is>
          <t>NAV_CLOSE_UNITS</t>
        </is>
      </c>
      <c r="C82" s="121" t="n">
        <v>0</v>
      </c>
      <c r="D82" s="121" t="n">
        <v>0</v>
      </c>
      <c r="E82" s="17" t="inlineStr">
        <is>
          <t>To be populated/calculated by AAH mapping engine</t>
        </is>
      </c>
      <c r="F82" s="17" t="str"/>
      <c r="G82" s="80" t="str"/>
    </row>
    <row r="83">
      <c r="A83" s="17" t="inlineStr">
        <is>
          <t>Net assets</t>
        </is>
      </c>
      <c r="B83" s="17" t="inlineStr">
        <is>
          <t>NAV_NETASSETS</t>
        </is>
      </c>
      <c r="C83" s="121" t="n">
        <v>0</v>
      </c>
      <c r="D83" s="121" t="n">
        <v>0</v>
      </c>
      <c r="E83" s="17" t="inlineStr">
        <is>
          <t>To be populated/calculated by AAH mapping engine</t>
        </is>
      </c>
      <c r="F83" s="17" t="str"/>
      <c r="G83" s="80" t="str"/>
    </row>
    <row r="84">
      <c r="A84" s="17" t="inlineStr">
        <is>
          <t>NAV per unit</t>
        </is>
      </c>
      <c r="B84" s="17" t="inlineStr">
        <is>
          <t>NAV_PERUNIT</t>
        </is>
      </c>
      <c r="C84" s="121" t="n">
        <v>0</v>
      </c>
      <c r="D84" s="121" t="n">
        <v>0</v>
      </c>
      <c r="E84" s="17" t="inlineStr">
        <is>
          <t>To be populated/calculated by AAH mapping engine</t>
        </is>
      </c>
      <c r="F84" s="17" t="str"/>
      <c r="G84" s="80" t="str"/>
    </row>
    <row r="85">
      <c r="A85" s="17" t="n"/>
      <c r="B85" s="17" t="n"/>
      <c r="C85" s="17" t="n"/>
      <c r="D85" s="17" t="n"/>
      <c r="E85" s="17" t="n"/>
      <c r="F85" s="17" t="n"/>
      <c r="G85" s="17" t="n"/>
    </row>
    <row r="86">
      <c r="A86" s="17" t="n"/>
      <c r="B86" s="17" t="n"/>
      <c r="C86" s="17" t="n"/>
      <c r="D86" s="17" t="n"/>
      <c r="E86" s="17" t="n"/>
      <c r="F86" s="17" t="n"/>
      <c r="G86" s="17" t="n"/>
    </row>
    <row r="87" ht="26" customHeight="1" s="82">
      <c r="A87" s="79" t="inlineStr">
        <is>
          <t>Validation</t>
        </is>
      </c>
      <c r="B87" s="1" t="n"/>
      <c r="C87" s="1" t="n"/>
      <c r="D87" s="1" t="n"/>
      <c r="E87" s="17" t="n"/>
      <c r="F87" s="17" t="n"/>
      <c r="G87" s="17" t="n"/>
    </row>
    <row r="88">
      <c r="A88" s="14" t="inlineStr">
        <is>
          <t>Check</t>
        </is>
      </c>
      <c r="B88" s="14" t="inlineStr">
        <is>
          <t>Current Period</t>
        </is>
      </c>
      <c r="C88" s="14" t="inlineStr">
        <is>
          <t>Previous Period</t>
        </is>
      </c>
      <c r="D88" s="14" t="inlineStr">
        <is>
          <t>Result</t>
        </is>
      </c>
      <c r="E88" s="17" t="n"/>
      <c r="F88" s="17" t="n"/>
      <c r="G88" s="17" t="n"/>
    </row>
    <row r="89">
      <c r="A89" s="17" t="inlineStr">
        <is>
          <t>Balance Sheet difference</t>
        </is>
      </c>
      <c r="B89" s="17">
        <f>C21-C12</f>
        <v/>
      </c>
      <c r="C89" s="17">
        <f>D21-D12</f>
        <v/>
      </c>
      <c r="D89" s="17">
        <f>IF(AND(ABS(B89)&lt;1,ABS(C89)&lt;1),"PASS","CHECK")</f>
        <v/>
      </c>
      <c r="E89" s="17" t="n"/>
      <c r="F89" s="17" t="n"/>
      <c r="G89" s="17" t="n"/>
    </row>
    <row r="90">
      <c r="A90" s="17" t="inlineStr">
        <is>
          <t>Notes / disclosures</t>
        </is>
      </c>
      <c r="B90" s="17" t="inlineStr">
        <is>
          <t>Review</t>
        </is>
      </c>
      <c r="C90" s="17" t="inlineStr">
        <is>
          <t>Review</t>
        </is>
      </c>
      <c r="D90" s="17" t="inlineStr">
        <is>
          <t>Review</t>
        </is>
      </c>
      <c r="E90" s="17" t="n"/>
      <c r="F90" s="17" t="n"/>
      <c r="G90" s="17" t="n"/>
    </row>
    <row r="91">
      <c r="A91" s="17" t="inlineStr">
        <is>
          <t>Profile readiness</t>
        </is>
      </c>
      <c r="B91" s="17" t="str"/>
      <c r="C91" s="17" t="str"/>
      <c r="D91" s="17">
        <f>IF(D89="PASS","READY FOR REVIEW","NOT READY")</f>
        <v/>
      </c>
      <c r="E91" s="17" t="n"/>
      <c r="F91" s="17" t="n"/>
      <c r="G91" s="17" t="n"/>
    </row>
    <row r="92"/>
    <row r="93"/>
    <row r="94"/>
    <row r="95">
      <c r="A95" s="101" t="inlineStr">
        <is>
          <t>Signatures / Certification</t>
        </is>
      </c>
      <c r="B95" s="101" t="str"/>
      <c r="C95" s="101" t="str"/>
      <c r="D95" s="101" t="str"/>
      <c r="E95" s="101" t="str"/>
      <c r="F95" s="101" t="str"/>
    </row>
    <row r="96">
      <c r="A96" s="112" t="inlineStr">
        <is>
          <t>Entity Signatory</t>
        </is>
      </c>
      <c r="B96" s="104">
        <f>'AAH Basic Info'!B13</f>
        <v/>
      </c>
      <c r="C96" s="115" t="inlineStr">
        <is>
          <t>Designation</t>
        </is>
      </c>
      <c r="D96" s="104">
        <f>'AAH Basic Info'!B14</f>
        <v/>
      </c>
      <c r="E96" s="115" t="inlineStr">
        <is>
          <t>DIN</t>
        </is>
      </c>
      <c r="F96" s="105">
        <f>'AAH Basic Info'!B15</f>
        <v/>
      </c>
    </row>
    <row r="97">
      <c r="A97" s="113" t="inlineStr">
        <is>
          <t>Signing Date</t>
        </is>
      </c>
      <c r="B97" s="107">
        <f>'AAH Basic Info'!B16</f>
        <v/>
      </c>
      <c r="C97" s="116" t="inlineStr">
        <is>
          <t>Place</t>
        </is>
      </c>
      <c r="D97" s="107">
        <f>'AAH Basic Info'!B17</f>
        <v/>
      </c>
      <c r="E97" s="116" t="str"/>
      <c r="F97" s="108" t="str"/>
    </row>
    <row r="98">
      <c r="A98" s="113" t="inlineStr">
        <is>
          <t>Audit Firm</t>
        </is>
      </c>
      <c r="B98" s="107">
        <f>'AAH Basic Info'!B18</f>
        <v/>
      </c>
      <c r="C98" s="116" t="inlineStr">
        <is>
          <t>FRN</t>
        </is>
      </c>
      <c r="D98" s="107">
        <f>'AAH Basic Info'!B19</f>
        <v/>
      </c>
      <c r="E98" s="116" t="str"/>
      <c r="F98" s="108" t="str"/>
    </row>
    <row r="99">
      <c r="A99" s="113" t="inlineStr">
        <is>
          <t>Signing CA</t>
        </is>
      </c>
      <c r="B99" s="107">
        <f>'AAH Basic Info'!B20</f>
        <v/>
      </c>
      <c r="C99" s="116" t="inlineStr">
        <is>
          <t>Designation</t>
        </is>
      </c>
      <c r="D99" s="107">
        <f>'AAH Basic Info'!B21</f>
        <v/>
      </c>
      <c r="E99" s="116" t="inlineStr">
        <is>
          <t>Membership No.</t>
        </is>
      </c>
      <c r="F99" s="108">
        <f>'AAH Basic Info'!B22</f>
        <v/>
      </c>
    </row>
    <row r="100">
      <c r="A100" s="114" t="inlineStr">
        <is>
          <t>Audit Place</t>
        </is>
      </c>
      <c r="B100" s="110">
        <f>'AAH Basic Info'!B23</f>
        <v/>
      </c>
      <c r="C100" s="117" t="inlineStr">
        <is>
          <t>Signing Date</t>
        </is>
      </c>
      <c r="D100" s="110">
        <f>'AAH Basic Info'!B30</f>
        <v/>
      </c>
      <c r="E100" s="117" t="str"/>
      <c r="F100" s="111" t="str"/>
    </row>
  </sheetData>
  <mergeCells count="7">
    <mergeCell ref="A1:G1"/>
    <mergeCell ref="A6:D6"/>
    <mergeCell ref="A77:G77"/>
    <mergeCell ref="A35:G35"/>
    <mergeCell ref="A87:D87"/>
    <mergeCell ref="A2:G2"/>
    <mergeCell ref="A24:D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Collective Investment Scheme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SEBI | Official source: https://www.sebi.gov.in/acts/cisreg.html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Scheme-wise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ASSETS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Fixed Assets</t>
        </is>
      </c>
      <c r="B9" s="17" t="inlineStr">
        <is>
          <t>1</t>
        </is>
      </c>
      <c r="C9" s="120">
        <f>E36</f>
        <v/>
      </c>
      <c r="D9" s="120">
        <f>F36</f>
        <v/>
      </c>
      <c r="E9" s="17" t="n"/>
      <c r="F9" s="17" t="n"/>
      <c r="G9" s="17" t="n"/>
    </row>
    <row r="10">
      <c r="A10" s="17" t="inlineStr">
        <is>
          <t>Investments</t>
        </is>
      </c>
      <c r="B10" s="17" t="inlineStr">
        <is>
          <t>2</t>
        </is>
      </c>
      <c r="C10" s="120">
        <f>E38</f>
        <v/>
      </c>
      <c r="D10" s="120">
        <f>F38</f>
        <v/>
      </c>
      <c r="E10" s="17" t="n"/>
      <c r="F10" s="17" t="n"/>
      <c r="G10" s="17" t="n"/>
    </row>
    <row r="11">
      <c r="A11" s="17" t="inlineStr">
        <is>
          <t>Project / Development Expenditure</t>
        </is>
      </c>
      <c r="B11" s="17" t="inlineStr">
        <is>
          <t>3</t>
        </is>
      </c>
      <c r="C11" s="120">
        <f>E40</f>
        <v/>
      </c>
      <c r="D11" s="120">
        <f>F40</f>
        <v/>
      </c>
      <c r="E11" s="17" t="n"/>
      <c r="F11" s="17" t="n"/>
      <c r="G11" s="17" t="n"/>
    </row>
    <row r="12">
      <c r="A12" s="17" t="inlineStr">
        <is>
          <t>Current Assets</t>
        </is>
      </c>
      <c r="B12" s="17" t="inlineStr">
        <is>
          <t>4</t>
        </is>
      </c>
      <c r="C12" s="120">
        <f>E42</f>
        <v/>
      </c>
      <c r="D12" s="120">
        <f>F42</f>
        <v/>
      </c>
      <c r="E12" s="17" t="n"/>
      <c r="F12" s="17" t="n"/>
      <c r="G12" s="17" t="n"/>
    </row>
    <row r="13">
      <c r="A13" s="17" t="inlineStr">
        <is>
          <t>Deferred Revenue Expenditure</t>
        </is>
      </c>
      <c r="B13" s="17" t="inlineStr">
        <is>
          <t>5</t>
        </is>
      </c>
      <c r="C13" s="120">
        <f>E44</f>
        <v/>
      </c>
      <c r="D13" s="120">
        <f>F44</f>
        <v/>
      </c>
      <c r="E13" s="17" t="n"/>
      <c r="F13" s="17" t="n"/>
      <c r="G13" s="17" t="n"/>
    </row>
    <row r="14">
      <c r="A14" s="65" t="inlineStr">
        <is>
          <t>TOTAL ASSETS</t>
        </is>
      </c>
      <c r="B14" s="65" t="str"/>
      <c r="C14" s="122">
        <f>SUM(C9,C10,C11,C12,C13)</f>
        <v/>
      </c>
      <c r="D14" s="122">
        <f>SUM(D9,D10,D11,D12,D13)</f>
        <v/>
      </c>
      <c r="E14" s="17" t="n"/>
      <c r="F14" s="17" t="n"/>
      <c r="G14" s="17" t="n"/>
    </row>
    <row r="15">
      <c r="A15" s="42" t="inlineStr">
        <is>
          <t>LIABILITIES</t>
        </is>
      </c>
      <c r="B15" s="42" t="str"/>
      <c r="C15" s="118" t="n"/>
      <c r="D15" s="118" t="n"/>
      <c r="E15" s="17" t="n"/>
      <c r="F15" s="17" t="n"/>
      <c r="G15" s="17" t="n"/>
    </row>
    <row r="16">
      <c r="A16" s="17" t="inlineStr">
        <is>
          <t>Unit / Scheme Capital</t>
        </is>
      </c>
      <c r="B16" s="17" t="inlineStr">
        <is>
          <t>6</t>
        </is>
      </c>
      <c r="C16" s="120">
        <f>E46</f>
        <v/>
      </c>
      <c r="D16" s="120">
        <f>F46</f>
        <v/>
      </c>
      <c r="E16" s="17" t="n"/>
      <c r="F16" s="17" t="n"/>
      <c r="G16" s="17" t="n"/>
    </row>
    <row r="17">
      <c r="A17" s="17" t="inlineStr">
        <is>
          <t>Reserves / Surplus</t>
        </is>
      </c>
      <c r="B17" s="17" t="inlineStr">
        <is>
          <t>7</t>
        </is>
      </c>
      <c r="C17" s="120">
        <f>E48</f>
        <v/>
      </c>
      <c r="D17" s="120">
        <f>F48</f>
        <v/>
      </c>
      <c r="E17" s="17" t="n"/>
      <c r="F17" s="17" t="n"/>
      <c r="G17" s="17" t="n"/>
    </row>
    <row r="18">
      <c r="A18" s="17" t="inlineStr">
        <is>
          <t>Current Liabilities and Provisions</t>
        </is>
      </c>
      <c r="B18" s="17" t="inlineStr">
        <is>
          <t>8</t>
        </is>
      </c>
      <c r="C18" s="120">
        <f>E51</f>
        <v/>
      </c>
      <c r="D18" s="120">
        <f>F51</f>
        <v/>
      </c>
      <c r="E18" s="17" t="n"/>
      <c r="F18" s="17" t="n"/>
      <c r="G18" s="17" t="n"/>
    </row>
    <row r="19">
      <c r="A19" s="65" t="inlineStr">
        <is>
          <t>TOTAL LIABILITIES</t>
        </is>
      </c>
      <c r="B19" s="65" t="str"/>
      <c r="C19" s="122">
        <f>SUM(C16,C17,C18)</f>
        <v/>
      </c>
      <c r="D19" s="122">
        <f>SUM(D16,D17,D18)</f>
        <v/>
      </c>
      <c r="E19" s="17" t="n"/>
      <c r="F19" s="17" t="n"/>
      <c r="G19" s="17" t="n"/>
    </row>
    <row r="20">
      <c r="A20" s="17" t="n"/>
      <c r="B20" s="17" t="n"/>
      <c r="C20" s="120" t="n"/>
      <c r="D20" s="120" t="n"/>
      <c r="E20" s="17" t="n"/>
      <c r="F20" s="17" t="n"/>
      <c r="G20" s="17" t="n"/>
    </row>
    <row r="21">
      <c r="A21" s="17" t="n"/>
      <c r="B21" s="17" t="n"/>
      <c r="C21" s="120" t="n"/>
      <c r="D21" s="120" t="n"/>
      <c r="E21" s="17" t="n"/>
      <c r="F21" s="17" t="n"/>
      <c r="G21" s="17" t="n"/>
    </row>
    <row r="22">
      <c r="A22" s="71" t="inlineStr">
        <is>
          <t>Scheme-wise Revenue Account</t>
        </is>
      </c>
      <c r="B22" s="1" t="n"/>
      <c r="C22" s="1" t="n"/>
      <c r="D22" s="1" t="n"/>
      <c r="E22" s="17" t="n"/>
      <c r="F22" s="17" t="n"/>
      <c r="G22" s="17" t="n"/>
    </row>
    <row r="23">
      <c r="A23" s="14" t="inlineStr">
        <is>
          <t>Particulars</t>
        </is>
      </c>
      <c r="B23" s="14" t="inlineStr">
        <is>
          <t>Note No.</t>
        </is>
      </c>
      <c r="C23" s="123" t="inlineStr">
        <is>
          <t>Current Reporting Period</t>
        </is>
      </c>
      <c r="D23" s="123" t="inlineStr">
        <is>
          <t>Previous Reporting Period</t>
        </is>
      </c>
      <c r="E23" s="17" t="n"/>
      <c r="F23" s="17" t="n"/>
      <c r="G23" s="17" t="n"/>
    </row>
    <row r="24">
      <c r="A24" s="42" t="inlineStr">
        <is>
          <t>REVENUE ACCOUNT</t>
        </is>
      </c>
      <c r="B24" s="42" t="str"/>
      <c r="C24" s="118" t="n"/>
      <c r="D24" s="118" t="n"/>
      <c r="E24" s="17" t="n"/>
      <c r="F24" s="17" t="n"/>
      <c r="G24" s="17" t="n"/>
    </row>
    <row r="25">
      <c r="A25" s="17" t="inlineStr">
        <is>
          <t>Scheme Income</t>
        </is>
      </c>
      <c r="B25" s="17" t="inlineStr">
        <is>
          <t>9</t>
        </is>
      </c>
      <c r="C25" s="120">
        <f>E53</f>
        <v/>
      </c>
      <c r="D25" s="120">
        <f>F53</f>
        <v/>
      </c>
      <c r="E25" s="17" t="n"/>
      <c r="F25" s="17" t="n"/>
      <c r="G25" s="17" t="n"/>
    </row>
    <row r="26">
      <c r="A26" s="17" t="inlineStr">
        <is>
          <t>Project / Scheme Operating Expenses</t>
        </is>
      </c>
      <c r="B26" s="17" t="inlineStr">
        <is>
          <t>10</t>
        </is>
      </c>
      <c r="C26" s="120">
        <f>E55</f>
        <v/>
      </c>
      <c r="D26" s="120">
        <f>F55</f>
        <v/>
      </c>
      <c r="E26" s="17" t="n"/>
      <c r="F26" s="17" t="n"/>
      <c r="G26" s="17" t="n"/>
    </row>
    <row r="27">
      <c r="A27" s="17" t="inlineStr">
        <is>
          <t>Management / Trustee Expenses</t>
        </is>
      </c>
      <c r="B27" s="17" t="inlineStr">
        <is>
          <t>11</t>
        </is>
      </c>
      <c r="C27" s="120">
        <f>E57</f>
        <v/>
      </c>
      <c r="D27" s="120">
        <f>F57</f>
        <v/>
      </c>
      <c r="E27" s="17" t="n"/>
      <c r="F27" s="17" t="n"/>
      <c r="G27" s="17" t="n"/>
    </row>
    <row r="28">
      <c r="A28" s="17" t="inlineStr">
        <is>
          <t>Depreciation</t>
        </is>
      </c>
      <c r="B28" s="17" t="inlineStr">
        <is>
          <t>12</t>
        </is>
      </c>
      <c r="C28" s="120">
        <f>E59</f>
        <v/>
      </c>
      <c r="D28" s="120">
        <f>F59</f>
        <v/>
      </c>
      <c r="E28" s="17" t="n"/>
      <c r="F28" s="17" t="n"/>
      <c r="G28" s="17" t="n"/>
    </row>
    <row r="29">
      <c r="A29" s="17" t="inlineStr">
        <is>
          <t>Other Expenses</t>
        </is>
      </c>
      <c r="B29" s="17" t="inlineStr">
        <is>
          <t>13</t>
        </is>
      </c>
      <c r="C29" s="120">
        <f>E61</f>
        <v/>
      </c>
      <c r="D29" s="120">
        <f>F61</f>
        <v/>
      </c>
      <c r="E29" s="17" t="n"/>
      <c r="F29" s="17" t="n"/>
      <c r="G29" s="17" t="n"/>
    </row>
    <row r="30">
      <c r="A30" s="65" t="inlineStr">
        <is>
          <t>Surplus / (Deficit)</t>
        </is>
      </c>
      <c r="B30" s="65" t="str"/>
      <c r="C30" s="122">
        <f>0</f>
        <v/>
      </c>
      <c r="D30" s="122">
        <f>0</f>
        <v/>
      </c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 ht="26" customHeight="1" s="82">
      <c r="A33" s="79" t="inlineStr">
        <is>
          <t>Notes / Schedules — linked source for face statements</t>
        </is>
      </c>
      <c r="B33" s="1" t="n"/>
      <c r="C33" s="1" t="n"/>
      <c r="D33" s="1" t="n"/>
      <c r="E33" s="1" t="n"/>
      <c r="F33" s="1" t="n"/>
      <c r="G33" s="1" t="n"/>
    </row>
    <row r="34">
      <c r="A34" s="14" t="inlineStr">
        <is>
          <t>Note</t>
        </is>
      </c>
      <c r="B34" s="14" t="inlineStr">
        <is>
          <t>Note Title</t>
        </is>
      </c>
      <c r="C34" s="14" t="inlineStr">
        <is>
          <t>Statutory Line Item</t>
        </is>
      </c>
      <c r="D34" s="14" t="inlineStr">
        <is>
          <t>AAH Mapping Key</t>
        </is>
      </c>
      <c r="E34" s="14" t="inlineStr">
        <is>
          <t>Current Period</t>
        </is>
      </c>
      <c r="F34" s="14" t="inlineStr">
        <is>
          <t>Previous Period</t>
        </is>
      </c>
      <c r="G34" s="14" t="inlineStr">
        <is>
          <t>Disclosure / Remarks</t>
        </is>
      </c>
    </row>
    <row r="35">
      <c r="A35" s="17" t="inlineStr">
        <is>
          <t>1</t>
        </is>
      </c>
      <c r="B35" s="17" t="inlineStr">
        <is>
          <t>Fixed Assets</t>
        </is>
      </c>
      <c r="C35" s="17" t="inlineStr">
        <is>
          <t>Fixed assets</t>
        </is>
      </c>
      <c r="D35" s="17" t="inlineStr">
        <is>
          <t>CIS_FA</t>
        </is>
      </c>
      <c r="E35" s="121" t="n">
        <v>0</v>
      </c>
      <c r="F35" s="121" t="n">
        <v>0</v>
      </c>
      <c r="G35" s="59" t="str"/>
    </row>
    <row r="36">
      <c r="A36" s="65" t="inlineStr">
        <is>
          <t>1</t>
        </is>
      </c>
      <c r="B36" s="65" t="inlineStr">
        <is>
          <t>Fixed Assets</t>
        </is>
      </c>
      <c r="C36" s="65" t="inlineStr">
        <is>
          <t>Total — Fixed Assets</t>
        </is>
      </c>
      <c r="D36" s="65" t="inlineStr">
        <is>
          <t>__TOTAL__</t>
        </is>
      </c>
      <c r="E36" s="122">
        <f>SUM(E35:E35)</f>
        <v/>
      </c>
      <c r="F36" s="122">
        <f>SUM(F35:F35)</f>
        <v/>
      </c>
      <c r="G36" s="65" t="str"/>
    </row>
    <row r="37">
      <c r="A37" s="17" t="inlineStr">
        <is>
          <t>2</t>
        </is>
      </c>
      <c r="B37" s="17" t="inlineStr">
        <is>
          <t>Investments</t>
        </is>
      </c>
      <c r="C37" s="17" t="inlineStr">
        <is>
          <t>Investments</t>
        </is>
      </c>
      <c r="D37" s="17" t="inlineStr">
        <is>
          <t>CIS_INV</t>
        </is>
      </c>
      <c r="E37" s="121" t="n">
        <v>0</v>
      </c>
      <c r="F37" s="121" t="n">
        <v>0</v>
      </c>
      <c r="G37" s="59" t="str"/>
    </row>
    <row r="38">
      <c r="A38" s="65" t="inlineStr">
        <is>
          <t>2</t>
        </is>
      </c>
      <c r="B38" s="65" t="inlineStr">
        <is>
          <t>Investments</t>
        </is>
      </c>
      <c r="C38" s="65" t="inlineStr">
        <is>
          <t>Total — Investments</t>
        </is>
      </c>
      <c r="D38" s="65" t="inlineStr">
        <is>
          <t>__TOTAL__</t>
        </is>
      </c>
      <c r="E38" s="122">
        <f>SUM(E37:E37)</f>
        <v/>
      </c>
      <c r="F38" s="122">
        <f>SUM(F37:F37)</f>
        <v/>
      </c>
      <c r="G38" s="65" t="str"/>
    </row>
    <row r="39">
      <c r="A39" s="17" t="inlineStr">
        <is>
          <t>3</t>
        </is>
      </c>
      <c r="B39" s="17" t="inlineStr">
        <is>
          <t>Project / Development Expenditure</t>
        </is>
      </c>
      <c r="C39" s="17" t="inlineStr">
        <is>
          <t>Project / development expenditure</t>
        </is>
      </c>
      <c r="D39" s="17" t="inlineStr">
        <is>
          <t>CIS_DEV</t>
        </is>
      </c>
      <c r="E39" s="121" t="n">
        <v>0</v>
      </c>
      <c r="F39" s="121" t="n">
        <v>0</v>
      </c>
      <c r="G39" s="59" t="str"/>
    </row>
    <row r="40">
      <c r="A40" s="65" t="inlineStr">
        <is>
          <t>3</t>
        </is>
      </c>
      <c r="B40" s="65" t="inlineStr">
        <is>
          <t>Project / Development Expenditure</t>
        </is>
      </c>
      <c r="C40" s="65" t="inlineStr">
        <is>
          <t>Total — Project / Development Expenditure</t>
        </is>
      </c>
      <c r="D40" s="65" t="inlineStr">
        <is>
          <t>__TOTAL__</t>
        </is>
      </c>
      <c r="E40" s="122">
        <f>SUM(E39:E39)</f>
        <v/>
      </c>
      <c r="F40" s="122">
        <f>SUM(F39:F39)</f>
        <v/>
      </c>
      <c r="G40" s="65" t="str"/>
    </row>
    <row r="41">
      <c r="A41" s="17" t="inlineStr">
        <is>
          <t>4</t>
        </is>
      </c>
      <c r="B41" s="17" t="inlineStr">
        <is>
          <t>Current Assets</t>
        </is>
      </c>
      <c r="C41" s="17" t="inlineStr">
        <is>
          <t>Current assets</t>
        </is>
      </c>
      <c r="D41" s="17" t="inlineStr">
        <is>
          <t>CIS_CA</t>
        </is>
      </c>
      <c r="E41" s="121" t="n">
        <v>0</v>
      </c>
      <c r="F41" s="121" t="n">
        <v>0</v>
      </c>
      <c r="G41" s="59" t="str"/>
    </row>
    <row r="42">
      <c r="A42" s="65" t="inlineStr">
        <is>
          <t>4</t>
        </is>
      </c>
      <c r="B42" s="65" t="inlineStr">
        <is>
          <t>Current Assets</t>
        </is>
      </c>
      <c r="C42" s="65" t="inlineStr">
        <is>
          <t>Total — Current Assets</t>
        </is>
      </c>
      <c r="D42" s="65" t="inlineStr">
        <is>
          <t>__TOTAL__</t>
        </is>
      </c>
      <c r="E42" s="122">
        <f>SUM(E41:E41)</f>
        <v/>
      </c>
      <c r="F42" s="122">
        <f>SUM(F41:F41)</f>
        <v/>
      </c>
      <c r="G42" s="65" t="str"/>
    </row>
    <row r="43">
      <c r="A43" s="17" t="inlineStr">
        <is>
          <t>5</t>
        </is>
      </c>
      <c r="B43" s="17" t="inlineStr">
        <is>
          <t>Deferred Revenue Expenditure</t>
        </is>
      </c>
      <c r="C43" s="17" t="inlineStr">
        <is>
          <t>Deferred revenue expenditure</t>
        </is>
      </c>
      <c r="D43" s="17" t="inlineStr">
        <is>
          <t>CIS_DRE</t>
        </is>
      </c>
      <c r="E43" s="121" t="n">
        <v>0</v>
      </c>
      <c r="F43" s="121" t="n">
        <v>0</v>
      </c>
      <c r="G43" s="59" t="str"/>
    </row>
    <row r="44">
      <c r="A44" s="65" t="inlineStr">
        <is>
          <t>5</t>
        </is>
      </c>
      <c r="B44" s="65" t="inlineStr">
        <is>
          <t>Deferred Revenue Expenditure</t>
        </is>
      </c>
      <c r="C44" s="65" t="inlineStr">
        <is>
          <t>Total — Deferred Revenue Expenditure</t>
        </is>
      </c>
      <c r="D44" s="65" t="inlineStr">
        <is>
          <t>__TOTAL__</t>
        </is>
      </c>
      <c r="E44" s="122">
        <f>SUM(E43:E43)</f>
        <v/>
      </c>
      <c r="F44" s="122">
        <f>SUM(F43:F43)</f>
        <v/>
      </c>
      <c r="G44" s="65" t="str"/>
    </row>
    <row r="45">
      <c r="A45" s="17" t="inlineStr">
        <is>
          <t>6</t>
        </is>
      </c>
      <c r="B45" s="17" t="inlineStr">
        <is>
          <t>Unit / Scheme Capital</t>
        </is>
      </c>
      <c r="C45" s="17" t="inlineStr">
        <is>
          <t>Unit / scheme capital</t>
        </is>
      </c>
      <c r="D45" s="17" t="inlineStr">
        <is>
          <t>CIS_CAP</t>
        </is>
      </c>
      <c r="E45" s="121" t="n">
        <v>0</v>
      </c>
      <c r="F45" s="121" t="n">
        <v>0</v>
      </c>
      <c r="G45" s="59" t="str"/>
    </row>
    <row r="46">
      <c r="A46" s="65" t="inlineStr">
        <is>
          <t>6</t>
        </is>
      </c>
      <c r="B46" s="65" t="inlineStr">
        <is>
          <t>Unit / Scheme Capital</t>
        </is>
      </c>
      <c r="C46" s="65" t="inlineStr">
        <is>
          <t>Total — Unit / Scheme Capital</t>
        </is>
      </c>
      <c r="D46" s="65" t="inlineStr">
        <is>
          <t>__TOTAL__</t>
        </is>
      </c>
      <c r="E46" s="122">
        <f>SUM(E45:E45)</f>
        <v/>
      </c>
      <c r="F46" s="122">
        <f>SUM(F45:F45)</f>
        <v/>
      </c>
      <c r="G46" s="65" t="str"/>
    </row>
    <row r="47">
      <c r="A47" s="17" t="inlineStr">
        <is>
          <t>7</t>
        </is>
      </c>
      <c r="B47" s="17" t="inlineStr">
        <is>
          <t>Reserves / Surplus</t>
        </is>
      </c>
      <c r="C47" s="17" t="inlineStr">
        <is>
          <t>Reserves / surplus</t>
        </is>
      </c>
      <c r="D47" s="17" t="inlineStr">
        <is>
          <t>CIS_RES</t>
        </is>
      </c>
      <c r="E47" s="121" t="n">
        <v>0</v>
      </c>
      <c r="F47" s="121" t="n">
        <v>0</v>
      </c>
      <c r="G47" s="59" t="str"/>
    </row>
    <row r="48">
      <c r="A48" s="65" t="inlineStr">
        <is>
          <t>7</t>
        </is>
      </c>
      <c r="B48" s="65" t="inlineStr">
        <is>
          <t>Reserves / Surplus</t>
        </is>
      </c>
      <c r="C48" s="65" t="inlineStr">
        <is>
          <t>Total — Reserves / Surplus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8</t>
        </is>
      </c>
      <c r="B49" s="17" t="inlineStr">
        <is>
          <t>Current Liabilities and Provisions</t>
        </is>
      </c>
      <c r="C49" s="17" t="inlineStr">
        <is>
          <t>Current liabilities</t>
        </is>
      </c>
      <c r="D49" s="17" t="inlineStr">
        <is>
          <t>CIS_CL</t>
        </is>
      </c>
      <c r="E49" s="121" t="n">
        <v>0</v>
      </c>
      <c r="F49" s="121" t="n">
        <v>0</v>
      </c>
      <c r="G49" s="59" t="str"/>
    </row>
    <row r="50">
      <c r="A50" s="17" t="inlineStr">
        <is>
          <t>8</t>
        </is>
      </c>
      <c r="B50" s="17" t="inlineStr">
        <is>
          <t>Current Liabilities and Provisions</t>
        </is>
      </c>
      <c r="C50" s="17" t="inlineStr">
        <is>
          <t>Provisions</t>
        </is>
      </c>
      <c r="D50" s="17" t="inlineStr">
        <is>
          <t>CIS_PROV</t>
        </is>
      </c>
      <c r="E50" s="121" t="n">
        <v>0</v>
      </c>
      <c r="F50" s="121" t="n">
        <v>0</v>
      </c>
      <c r="G50" s="59" t="str"/>
    </row>
    <row r="51">
      <c r="A51" s="65" t="inlineStr">
        <is>
          <t>8</t>
        </is>
      </c>
      <c r="B51" s="65" t="inlineStr">
        <is>
          <t>Current Liabilities and Provisions</t>
        </is>
      </c>
      <c r="C51" s="65" t="inlineStr">
        <is>
          <t>Total — Current Liabilities and Provisions</t>
        </is>
      </c>
      <c r="D51" s="65" t="inlineStr">
        <is>
          <t>__TOTAL__</t>
        </is>
      </c>
      <c r="E51" s="122">
        <f>SUM(E49:E50)</f>
        <v/>
      </c>
      <c r="F51" s="122">
        <f>SUM(F49:F50)</f>
        <v/>
      </c>
      <c r="G51" s="65" t="str"/>
    </row>
    <row r="52">
      <c r="A52" s="17" t="inlineStr">
        <is>
          <t>9</t>
        </is>
      </c>
      <c r="B52" s="17" t="inlineStr">
        <is>
          <t>Scheme Income</t>
        </is>
      </c>
      <c r="C52" s="17" t="inlineStr">
        <is>
          <t>Scheme income</t>
        </is>
      </c>
      <c r="D52" s="17" t="inlineStr">
        <is>
          <t>CIS_INC</t>
        </is>
      </c>
      <c r="E52" s="121" t="n">
        <v>0</v>
      </c>
      <c r="F52" s="121" t="n">
        <v>0</v>
      </c>
      <c r="G52" s="59" t="str"/>
    </row>
    <row r="53">
      <c r="A53" s="65" t="inlineStr">
        <is>
          <t>9</t>
        </is>
      </c>
      <c r="B53" s="65" t="inlineStr">
        <is>
          <t>Scheme Income</t>
        </is>
      </c>
      <c r="C53" s="65" t="inlineStr">
        <is>
          <t>Total — Scheme Income</t>
        </is>
      </c>
      <c r="D53" s="65" t="inlineStr">
        <is>
          <t>__TOTAL__</t>
        </is>
      </c>
      <c r="E53" s="122">
        <f>SUM(E52:E52)</f>
        <v/>
      </c>
      <c r="F53" s="122">
        <f>SUM(F52:F52)</f>
        <v/>
      </c>
      <c r="G53" s="65" t="str"/>
    </row>
    <row r="54">
      <c r="A54" s="17" t="inlineStr">
        <is>
          <t>10</t>
        </is>
      </c>
      <c r="B54" s="17" t="inlineStr">
        <is>
          <t>Project / Scheme Operating Expenses</t>
        </is>
      </c>
      <c r="C54" s="17" t="inlineStr">
        <is>
          <t>Operating expenses</t>
        </is>
      </c>
      <c r="D54" s="17" t="inlineStr">
        <is>
          <t>CIS_OPEX</t>
        </is>
      </c>
      <c r="E54" s="121" t="n">
        <v>0</v>
      </c>
      <c r="F54" s="121" t="n">
        <v>0</v>
      </c>
      <c r="G54" s="59" t="str"/>
    </row>
    <row r="55">
      <c r="A55" s="65" t="inlineStr">
        <is>
          <t>10</t>
        </is>
      </c>
      <c r="B55" s="65" t="inlineStr">
        <is>
          <t>Project / Scheme Operating Expenses</t>
        </is>
      </c>
      <c r="C55" s="65" t="inlineStr">
        <is>
          <t>Total — Project / Scheme Operating Expenses</t>
        </is>
      </c>
      <c r="D55" s="65" t="inlineStr">
        <is>
          <t>__TOTAL__</t>
        </is>
      </c>
      <c r="E55" s="122">
        <f>SUM(E54:E54)</f>
        <v/>
      </c>
      <c r="F55" s="122">
        <f>SUM(F54:F54)</f>
        <v/>
      </c>
      <c r="G55" s="65" t="str"/>
    </row>
    <row r="56">
      <c r="A56" s="17" t="inlineStr">
        <is>
          <t>11</t>
        </is>
      </c>
      <c r="B56" s="17" t="inlineStr">
        <is>
          <t>Management / Trustee Expenses</t>
        </is>
      </c>
      <c r="C56" s="17" t="inlineStr">
        <is>
          <t>Management / trustee expenses</t>
        </is>
      </c>
      <c r="D56" s="17" t="inlineStr">
        <is>
          <t>CIS_MGMT</t>
        </is>
      </c>
      <c r="E56" s="121" t="n">
        <v>0</v>
      </c>
      <c r="F56" s="121" t="n">
        <v>0</v>
      </c>
      <c r="G56" s="59" t="str"/>
    </row>
    <row r="57">
      <c r="A57" s="65" t="inlineStr">
        <is>
          <t>11</t>
        </is>
      </c>
      <c r="B57" s="65" t="inlineStr">
        <is>
          <t>Management / Trustee Expenses</t>
        </is>
      </c>
      <c r="C57" s="65" t="inlineStr">
        <is>
          <t>Total — Management / Trustee Expenses</t>
        </is>
      </c>
      <c r="D57" s="65" t="inlineStr">
        <is>
          <t>__TOTAL__</t>
        </is>
      </c>
      <c r="E57" s="122">
        <f>SUM(E56:E56)</f>
        <v/>
      </c>
      <c r="F57" s="122">
        <f>SUM(F56:F56)</f>
        <v/>
      </c>
      <c r="G57" s="65" t="str"/>
    </row>
    <row r="58">
      <c r="A58" s="17" t="inlineStr">
        <is>
          <t>12</t>
        </is>
      </c>
      <c r="B58" s="17" t="inlineStr">
        <is>
          <t>Depreciation</t>
        </is>
      </c>
      <c r="C58" s="17" t="inlineStr">
        <is>
          <t>Depreciation</t>
        </is>
      </c>
      <c r="D58" s="17" t="inlineStr">
        <is>
          <t>CIS_DEP</t>
        </is>
      </c>
      <c r="E58" s="121" t="n">
        <v>0</v>
      </c>
      <c r="F58" s="121" t="n">
        <v>0</v>
      </c>
      <c r="G58" s="59" t="str"/>
    </row>
    <row r="59">
      <c r="A59" s="65" t="inlineStr">
        <is>
          <t>12</t>
        </is>
      </c>
      <c r="B59" s="65" t="inlineStr">
        <is>
          <t>Depreciation</t>
        </is>
      </c>
      <c r="C59" s="65" t="inlineStr">
        <is>
          <t>Total — Depreciation</t>
        </is>
      </c>
      <c r="D59" s="65" t="inlineStr">
        <is>
          <t>__TOTAL__</t>
        </is>
      </c>
      <c r="E59" s="122">
        <f>SUM(E58:E58)</f>
        <v/>
      </c>
      <c r="F59" s="122">
        <f>SUM(F58:F58)</f>
        <v/>
      </c>
      <c r="G59" s="65" t="str"/>
    </row>
    <row r="60">
      <c r="A60" s="17" t="inlineStr">
        <is>
          <t>13</t>
        </is>
      </c>
      <c r="B60" s="17" t="inlineStr">
        <is>
          <t>Other Expenses</t>
        </is>
      </c>
      <c r="C60" s="17" t="inlineStr">
        <is>
          <t>Other expenses</t>
        </is>
      </c>
      <c r="D60" s="17" t="inlineStr">
        <is>
          <t>CIS_OTHER</t>
        </is>
      </c>
      <c r="E60" s="121" t="n">
        <v>0</v>
      </c>
      <c r="F60" s="121" t="n">
        <v>0</v>
      </c>
      <c r="G60" s="59" t="str"/>
    </row>
    <row r="61">
      <c r="A61" s="65" t="inlineStr">
        <is>
          <t>13</t>
        </is>
      </c>
      <c r="B61" s="65" t="inlineStr">
        <is>
          <t>Other Expenses</t>
        </is>
      </c>
      <c r="C61" s="65" t="inlineStr">
        <is>
          <t>Total — Other Expenses</t>
        </is>
      </c>
      <c r="D61" s="65" t="inlineStr">
        <is>
          <t>__TOTAL__</t>
        </is>
      </c>
      <c r="E61" s="122">
        <f>SUM(E60:E60)</f>
        <v/>
      </c>
      <c r="F61" s="122">
        <f>SUM(F60:F60)</f>
        <v/>
      </c>
      <c r="G61" s="65" t="str"/>
    </row>
    <row r="62">
      <c r="A62" s="17" t="n"/>
      <c r="B62" s="17" t="n"/>
      <c r="C62" s="17" t="n"/>
      <c r="D62" s="17" t="n"/>
      <c r="E62" s="17" t="n"/>
      <c r="F62" s="17" t="n"/>
      <c r="G62" s="17" t="n"/>
    </row>
    <row r="63">
      <c r="A63" s="17" t="n"/>
      <c r="B63" s="17" t="n"/>
      <c r="C63" s="17" t="n"/>
      <c r="D63" s="17" t="n"/>
      <c r="E63" s="17" t="n"/>
      <c r="F63" s="17" t="n"/>
      <c r="G63" s="17" t="n"/>
    </row>
    <row r="64" ht="26" customHeight="1" s="82">
      <c r="A64" s="79" t="inlineStr">
        <is>
          <t>Validation</t>
        </is>
      </c>
      <c r="B64" s="1" t="n"/>
      <c r="C64" s="1" t="n"/>
      <c r="D64" s="1" t="n"/>
      <c r="E64" s="17" t="n"/>
      <c r="F64" s="17" t="n"/>
      <c r="G64" s="17" t="n"/>
    </row>
    <row r="65">
      <c r="A65" s="14" t="inlineStr">
        <is>
          <t>Check</t>
        </is>
      </c>
      <c r="B65" s="14" t="inlineStr">
        <is>
          <t>Current Period</t>
        </is>
      </c>
      <c r="C65" s="14" t="inlineStr">
        <is>
          <t>Previous Period</t>
        </is>
      </c>
      <c r="D65" s="14" t="inlineStr">
        <is>
          <t>Result</t>
        </is>
      </c>
      <c r="E65" s="17" t="n"/>
      <c r="F65" s="17" t="n"/>
      <c r="G65" s="17" t="n"/>
    </row>
    <row r="66">
      <c r="A66" s="17" t="inlineStr">
        <is>
          <t>Balance Sheet difference</t>
        </is>
      </c>
      <c r="B66" s="17">
        <f>C14-C19</f>
        <v/>
      </c>
      <c r="C66" s="17">
        <f>D14-D19</f>
        <v/>
      </c>
      <c r="D66" s="17">
        <f>IF(AND(ABS(B66)&lt;1,ABS(C66)&lt;1),"PASS","CHECK")</f>
        <v/>
      </c>
      <c r="E66" s="17" t="n"/>
      <c r="F66" s="17" t="n"/>
      <c r="G66" s="17" t="n"/>
    </row>
    <row r="67">
      <c r="A67" s="17" t="inlineStr">
        <is>
          <t>Notes / disclosures</t>
        </is>
      </c>
      <c r="B67" s="17" t="inlineStr">
        <is>
          <t>Review</t>
        </is>
      </c>
      <c r="C67" s="17" t="inlineStr">
        <is>
          <t>Review</t>
        </is>
      </c>
      <c r="D67" s="17" t="inlineStr">
        <is>
          <t>Review</t>
        </is>
      </c>
      <c r="E67" s="17" t="n"/>
      <c r="F67" s="17" t="n"/>
      <c r="G67" s="17" t="n"/>
    </row>
    <row r="68">
      <c r="A68" s="17" t="inlineStr">
        <is>
          <t>Profile readiness</t>
        </is>
      </c>
      <c r="B68" s="17" t="str"/>
      <c r="C68" s="17" t="str"/>
      <c r="D68" s="17">
        <f>IF(D66="PASS","READY FOR REVIEW","NOT READY")</f>
        <v/>
      </c>
      <c r="E68" s="17" t="n"/>
      <c r="F68" s="17" t="n"/>
      <c r="G68" s="17" t="n"/>
    </row>
    <row r="69"/>
    <row r="70"/>
    <row r="71"/>
    <row r="72">
      <c r="A72" s="101" t="inlineStr">
        <is>
          <t>Signatures / Certification</t>
        </is>
      </c>
      <c r="B72" s="101" t="str"/>
      <c r="C72" s="101" t="str"/>
      <c r="D72" s="101" t="str"/>
      <c r="E72" s="101" t="str"/>
      <c r="F72" s="101" t="str"/>
    </row>
    <row r="73">
      <c r="A73" s="112" t="inlineStr">
        <is>
          <t>Entity Signatory</t>
        </is>
      </c>
      <c r="B73" s="104">
        <f>'AAH Basic Info'!B13</f>
        <v/>
      </c>
      <c r="C73" s="115" t="inlineStr">
        <is>
          <t>Designation</t>
        </is>
      </c>
      <c r="D73" s="104">
        <f>'AAH Basic Info'!B14</f>
        <v/>
      </c>
      <c r="E73" s="115" t="inlineStr">
        <is>
          <t>DIN</t>
        </is>
      </c>
      <c r="F73" s="105">
        <f>'AAH Basic Info'!B15</f>
        <v/>
      </c>
    </row>
    <row r="74">
      <c r="A74" s="113" t="inlineStr">
        <is>
          <t>Signing Date</t>
        </is>
      </c>
      <c r="B74" s="107">
        <f>'AAH Basic Info'!B16</f>
        <v/>
      </c>
      <c r="C74" s="116" t="inlineStr">
        <is>
          <t>Place</t>
        </is>
      </c>
      <c r="D74" s="107">
        <f>'AAH Basic Info'!B17</f>
        <v/>
      </c>
      <c r="E74" s="116" t="str"/>
      <c r="F74" s="108" t="str"/>
    </row>
    <row r="75">
      <c r="A75" s="113" t="inlineStr">
        <is>
          <t>Audit Firm</t>
        </is>
      </c>
      <c r="B75" s="107">
        <f>'AAH Basic Info'!B18</f>
        <v/>
      </c>
      <c r="C75" s="116" t="inlineStr">
        <is>
          <t>FRN</t>
        </is>
      </c>
      <c r="D75" s="107">
        <f>'AAH Basic Info'!B19</f>
        <v/>
      </c>
      <c r="E75" s="116" t="str"/>
      <c r="F75" s="108" t="str"/>
    </row>
    <row r="76">
      <c r="A76" s="113" t="inlineStr">
        <is>
          <t>Signing CA</t>
        </is>
      </c>
      <c r="B76" s="107">
        <f>'AAH Basic Info'!B20</f>
        <v/>
      </c>
      <c r="C76" s="116" t="inlineStr">
        <is>
          <t>Designation</t>
        </is>
      </c>
      <c r="D76" s="107">
        <f>'AAH Basic Info'!B21</f>
        <v/>
      </c>
      <c r="E76" s="116" t="inlineStr">
        <is>
          <t>Membership No.</t>
        </is>
      </c>
      <c r="F76" s="108">
        <f>'AAH Basic Info'!B22</f>
        <v/>
      </c>
    </row>
    <row r="77">
      <c r="A77" s="114" t="inlineStr">
        <is>
          <t>Audit Place</t>
        </is>
      </c>
      <c r="B77" s="110">
        <f>'AAH Basic Info'!B23</f>
        <v/>
      </c>
      <c r="C77" s="117" t="inlineStr">
        <is>
          <t>Signing Date</t>
        </is>
      </c>
      <c r="D77" s="110">
        <f>'AAH Basic Info'!B30</f>
        <v/>
      </c>
      <c r="E77" s="117" t="str"/>
      <c r="F77" s="111" t="str"/>
    </row>
  </sheetData>
  <mergeCells count="6">
    <mergeCell ref="A1:G1"/>
    <mergeCell ref="A6:D6"/>
    <mergeCell ref="A22:D22"/>
    <mergeCell ref="A64:D64"/>
    <mergeCell ref="A2:G2"/>
    <mergeCell ref="A33:G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Real Estate Investment Trust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SEBI | Official source: https://www.sebi.gov.in/web/?file=https%3A%2F%2Fwww.sebi.gov.in%2Fsebi_data%2Fattachdocs%2Fmay-2025%2F1746617164275.pdf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Statement of Assets and Liabilities /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ASSETS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Investment Property / Infrastructure Assets</t>
        </is>
      </c>
      <c r="B9" s="17" t="inlineStr">
        <is>
          <t>3</t>
        </is>
      </c>
      <c r="C9" s="120">
        <f>E48</f>
        <v/>
      </c>
      <c r="D9" s="120">
        <f>F48</f>
        <v/>
      </c>
      <c r="E9" s="17" t="n"/>
      <c r="F9" s="17" t="n"/>
      <c r="G9" s="17" t="n"/>
    </row>
    <row r="10">
      <c r="A10" s="17" t="inlineStr">
        <is>
          <t>Property, Plant and Equipment</t>
        </is>
      </c>
      <c r="B10" s="17" t="inlineStr">
        <is>
          <t>4</t>
        </is>
      </c>
      <c r="C10" s="120">
        <f>E50</f>
        <v/>
      </c>
      <c r="D10" s="120">
        <f>F50</f>
        <v/>
      </c>
      <c r="E10" s="17" t="n"/>
      <c r="F10" s="17" t="n"/>
      <c r="G10" s="17" t="n"/>
    </row>
    <row r="11">
      <c r="A11" s="17" t="inlineStr">
        <is>
          <t>Investments in SPVs / HoldCos</t>
        </is>
      </c>
      <c r="B11" s="17" t="inlineStr">
        <is>
          <t>5</t>
        </is>
      </c>
      <c r="C11" s="120">
        <f>E52</f>
        <v/>
      </c>
      <c r="D11" s="120">
        <f>F52</f>
        <v/>
      </c>
      <c r="E11" s="17" t="n"/>
      <c r="F11" s="17" t="n"/>
      <c r="G11" s="17" t="n"/>
    </row>
    <row r="12">
      <c r="A12" s="17" t="inlineStr">
        <is>
          <t>Other Financial Assets</t>
        </is>
      </c>
      <c r="B12" s="17" t="inlineStr">
        <is>
          <t>6</t>
        </is>
      </c>
      <c r="C12" s="120">
        <f>E54</f>
        <v/>
      </c>
      <c r="D12" s="120">
        <f>F54</f>
        <v/>
      </c>
      <c r="E12" s="17" t="n"/>
      <c r="F12" s="17" t="n"/>
      <c r="G12" s="17" t="n"/>
    </row>
    <row r="13">
      <c r="A13" s="17" t="inlineStr">
        <is>
          <t>Cash and Bank Balances</t>
        </is>
      </c>
      <c r="B13" s="17" t="inlineStr">
        <is>
          <t>7</t>
        </is>
      </c>
      <c r="C13" s="120">
        <f>E56</f>
        <v/>
      </c>
      <c r="D13" s="120">
        <f>F56</f>
        <v/>
      </c>
      <c r="E13" s="17" t="n"/>
      <c r="F13" s="17" t="n"/>
      <c r="G13" s="17" t="n"/>
    </row>
    <row r="14">
      <c r="A14" s="17" t="inlineStr">
        <is>
          <t>Other Assets</t>
        </is>
      </c>
      <c r="B14" s="17" t="inlineStr">
        <is>
          <t>8</t>
        </is>
      </c>
      <c r="C14" s="120">
        <f>E58</f>
        <v/>
      </c>
      <c r="D14" s="120">
        <f>F58</f>
        <v/>
      </c>
      <c r="E14" s="17" t="n"/>
      <c r="F14" s="17" t="n"/>
      <c r="G14" s="17" t="n"/>
    </row>
    <row r="15">
      <c r="A15" s="65" t="inlineStr">
        <is>
          <t>TOTAL ASSETS</t>
        </is>
      </c>
      <c r="B15" s="65" t="str"/>
      <c r="C15" s="122">
        <f>SUM(C9,C10,C11,C12,C13,C14)</f>
        <v/>
      </c>
      <c r="D15" s="122">
        <f>SUM(D9,D10,D11,D12,D13,D14)</f>
        <v/>
      </c>
      <c r="E15" s="17" t="n"/>
      <c r="F15" s="17" t="n"/>
      <c r="G15" s="17" t="n"/>
    </row>
    <row r="16">
      <c r="A16" s="42" t="inlineStr">
        <is>
          <t>EQUITY AND LIABILITIES</t>
        </is>
      </c>
      <c r="B16" s="42" t="str"/>
      <c r="C16" s="118" t="n"/>
      <c r="D16" s="118" t="n"/>
      <c r="E16" s="17" t="n"/>
      <c r="F16" s="17" t="n"/>
      <c r="G16" s="17" t="n"/>
    </row>
    <row r="17">
      <c r="A17" s="17" t="inlineStr">
        <is>
          <t>Unit Capital</t>
        </is>
      </c>
      <c r="B17" s="17" t="inlineStr">
        <is>
          <t>1</t>
        </is>
      </c>
      <c r="C17" s="120">
        <f>E44</f>
        <v/>
      </c>
      <c r="D17" s="120">
        <f>F44</f>
        <v/>
      </c>
      <c r="E17" s="17" t="n"/>
      <c r="F17" s="17" t="n"/>
      <c r="G17" s="17" t="n"/>
    </row>
    <row r="18">
      <c r="A18" s="17" t="inlineStr">
        <is>
          <t>Other Equity / Reserves</t>
        </is>
      </c>
      <c r="B18" s="17" t="inlineStr">
        <is>
          <t>2</t>
        </is>
      </c>
      <c r="C18" s="120">
        <f>E46</f>
        <v/>
      </c>
      <c r="D18" s="120">
        <f>F46</f>
        <v/>
      </c>
      <c r="E18" s="17" t="n"/>
      <c r="F18" s="17" t="n"/>
      <c r="G18" s="17" t="n"/>
    </row>
    <row r="19">
      <c r="A19" s="17" t="inlineStr">
        <is>
          <t>Borrowings / Debt Securities</t>
        </is>
      </c>
      <c r="B19" s="17" t="inlineStr">
        <is>
          <t>9</t>
        </is>
      </c>
      <c r="C19" s="120">
        <f>E60</f>
        <v/>
      </c>
      <c r="D19" s="120">
        <f>F60</f>
        <v/>
      </c>
      <c r="E19" s="17" t="n"/>
      <c r="F19" s="17" t="n"/>
      <c r="G19" s="17" t="n"/>
    </row>
    <row r="20">
      <c r="A20" s="17" t="inlineStr">
        <is>
          <t>Trade and Other Payables</t>
        </is>
      </c>
      <c r="B20" s="17" t="inlineStr">
        <is>
          <t>10</t>
        </is>
      </c>
      <c r="C20" s="120">
        <f>E62</f>
        <v/>
      </c>
      <c r="D20" s="120">
        <f>F62</f>
        <v/>
      </c>
      <c r="E20" s="17" t="n"/>
      <c r="F20" s="17" t="n"/>
      <c r="G20" s="17" t="n"/>
    </row>
    <row r="21">
      <c r="A21" s="17" t="inlineStr">
        <is>
          <t>Other Financial Liabilities</t>
        </is>
      </c>
      <c r="B21" s="17" t="inlineStr">
        <is>
          <t>11</t>
        </is>
      </c>
      <c r="C21" s="120">
        <f>E64</f>
        <v/>
      </c>
      <c r="D21" s="120">
        <f>F64</f>
        <v/>
      </c>
      <c r="E21" s="17" t="n"/>
      <c r="F21" s="17" t="n"/>
      <c r="G21" s="17" t="n"/>
    </row>
    <row r="22">
      <c r="A22" s="17" t="inlineStr">
        <is>
          <t>Other Liabilities / Provisions</t>
        </is>
      </c>
      <c r="B22" s="17" t="inlineStr">
        <is>
          <t>12</t>
        </is>
      </c>
      <c r="C22" s="120">
        <f>E66</f>
        <v/>
      </c>
      <c r="D22" s="120">
        <f>F66</f>
        <v/>
      </c>
      <c r="E22" s="17" t="n"/>
      <c r="F22" s="17" t="n"/>
      <c r="G22" s="17" t="n"/>
    </row>
    <row r="23">
      <c r="A23" s="65" t="inlineStr">
        <is>
          <t>TOTAL EQUITY AND LIABILITIES</t>
        </is>
      </c>
      <c r="B23" s="65" t="str"/>
      <c r="C23" s="122">
        <f>SUM(C17,C18,C19,C20,C21,C22)</f>
        <v/>
      </c>
      <c r="D23" s="122">
        <f>SUM(D17,D18,D19,D20,D21,D22)</f>
        <v/>
      </c>
      <c r="E23" s="17" t="n"/>
      <c r="F23" s="17" t="n"/>
      <c r="G23" s="17" t="n"/>
    </row>
    <row r="24">
      <c r="A24" s="17" t="n"/>
      <c r="B24" s="17" t="n"/>
      <c r="C24" s="120" t="n"/>
      <c r="D24" s="120" t="n"/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71" t="inlineStr">
        <is>
          <t>Statement of Profit and Loss</t>
        </is>
      </c>
      <c r="B26" s="1" t="n"/>
      <c r="C26" s="1" t="n"/>
      <c r="D26" s="1" t="n"/>
      <c r="E26" s="17" t="n"/>
      <c r="F26" s="17" t="n"/>
      <c r="G26" s="17" t="n"/>
    </row>
    <row r="27">
      <c r="A27" s="14" t="inlineStr">
        <is>
          <t>Particulars</t>
        </is>
      </c>
      <c r="B27" s="14" t="inlineStr">
        <is>
          <t>Note No.</t>
        </is>
      </c>
      <c r="C27" s="123" t="inlineStr">
        <is>
          <t>Current Reporting Period</t>
        </is>
      </c>
      <c r="D27" s="123" t="inlineStr">
        <is>
          <t>Previous Reporting Period</t>
        </is>
      </c>
      <c r="E27" s="17" t="n"/>
      <c r="F27" s="17" t="n"/>
      <c r="G27" s="17" t="n"/>
    </row>
    <row r="28">
      <c r="A28" s="17" t="inlineStr">
        <is>
          <t>Revenue from Operations</t>
        </is>
      </c>
      <c r="B28" s="17" t="inlineStr">
        <is>
          <t>13</t>
        </is>
      </c>
      <c r="C28" s="120">
        <f>E68</f>
        <v/>
      </c>
      <c r="D28" s="120">
        <f>F68</f>
        <v/>
      </c>
      <c r="E28" s="17" t="n"/>
      <c r="F28" s="17" t="n"/>
      <c r="G28" s="17" t="n"/>
    </row>
    <row r="29">
      <c r="A29" s="17" t="inlineStr">
        <is>
          <t>Other Income</t>
        </is>
      </c>
      <c r="B29" s="17" t="inlineStr">
        <is>
          <t>14</t>
        </is>
      </c>
      <c r="C29" s="120">
        <f>E70</f>
        <v/>
      </c>
      <c r="D29" s="120">
        <f>F70</f>
        <v/>
      </c>
      <c r="E29" s="17" t="n"/>
      <c r="F29" s="17" t="n"/>
      <c r="G29" s="17" t="n"/>
    </row>
    <row r="30">
      <c r="A30" s="65" t="inlineStr">
        <is>
          <t>TOTAL INCOME</t>
        </is>
      </c>
      <c r="B30" s="65" t="str"/>
      <c r="C30" s="122">
        <f>SUM(C28,C29)</f>
        <v/>
      </c>
      <c r="D30" s="122">
        <f>SUM(D28,D29)</f>
        <v/>
      </c>
      <c r="E30" s="17" t="n"/>
      <c r="F30" s="17" t="n"/>
      <c r="G30" s="17" t="n"/>
    </row>
    <row r="31">
      <c r="A31" s="42" t="inlineStr">
        <is>
          <t>EXPENSES</t>
        </is>
      </c>
      <c r="B31" s="42" t="str"/>
      <c r="C31" s="118" t="n"/>
      <c r="D31" s="118" t="n"/>
      <c r="E31" s="17" t="n"/>
      <c r="F31" s="17" t="n"/>
      <c r="G31" s="17" t="n"/>
    </row>
    <row r="32">
      <c r="A32" s="17" t="inlineStr">
        <is>
          <t>Finance Costs</t>
        </is>
      </c>
      <c r="B32" s="17" t="inlineStr">
        <is>
          <t>15</t>
        </is>
      </c>
      <c r="C32" s="120">
        <f>E72</f>
        <v/>
      </c>
      <c r="D32" s="120">
        <f>F72</f>
        <v/>
      </c>
      <c r="E32" s="17" t="n"/>
      <c r="F32" s="17" t="n"/>
      <c r="G32" s="17" t="n"/>
    </row>
    <row r="33">
      <c r="A33" s="17" t="inlineStr">
        <is>
          <t>Operating / Property Expenses</t>
        </is>
      </c>
      <c r="B33" s="17" t="inlineStr">
        <is>
          <t>16</t>
        </is>
      </c>
      <c r="C33" s="120">
        <f>E74</f>
        <v/>
      </c>
      <c r="D33" s="120">
        <f>F74</f>
        <v/>
      </c>
      <c r="E33" s="17" t="n"/>
      <c r="F33" s="17" t="n"/>
      <c r="G33" s="17" t="n"/>
    </row>
    <row r="34">
      <c r="A34" s="17" t="inlineStr">
        <is>
          <t>Manager / Employee Fees</t>
        </is>
      </c>
      <c r="B34" s="17" t="inlineStr">
        <is>
          <t>17</t>
        </is>
      </c>
      <c r="C34" s="120">
        <f>E76</f>
        <v/>
      </c>
      <c r="D34" s="120">
        <f>F76</f>
        <v/>
      </c>
      <c r="E34" s="17" t="n"/>
      <c r="F34" s="17" t="n"/>
      <c r="G34" s="17" t="n"/>
    </row>
    <row r="35">
      <c r="A35" s="17" t="inlineStr">
        <is>
          <t>Depreciation / Amortisation</t>
        </is>
      </c>
      <c r="B35" s="17" t="inlineStr">
        <is>
          <t>18</t>
        </is>
      </c>
      <c r="C35" s="120">
        <f>E78</f>
        <v/>
      </c>
      <c r="D35" s="120">
        <f>F78</f>
        <v/>
      </c>
      <c r="E35" s="17" t="n"/>
      <c r="F35" s="17" t="n"/>
      <c r="G35" s="17" t="n"/>
    </row>
    <row r="36">
      <c r="A36" s="17" t="inlineStr">
        <is>
          <t>Other Expenses</t>
        </is>
      </c>
      <c r="B36" s="17" t="inlineStr">
        <is>
          <t>19</t>
        </is>
      </c>
      <c r="C36" s="120">
        <f>E80</f>
        <v/>
      </c>
      <c r="D36" s="120">
        <f>F80</f>
        <v/>
      </c>
      <c r="E36" s="17" t="n"/>
      <c r="F36" s="17" t="n"/>
      <c r="G36" s="17" t="n"/>
    </row>
    <row r="37">
      <c r="A37" s="65" t="inlineStr">
        <is>
          <t>TOTAL EXPENSES</t>
        </is>
      </c>
      <c r="B37" s="65" t="str"/>
      <c r="C37" s="122">
        <f>SUM(C32,C33,C34,C35,C36)</f>
        <v/>
      </c>
      <c r="D37" s="122">
        <f>SUM(D32,D33,D34,D35,D36)</f>
        <v/>
      </c>
      <c r="E37" s="17" t="n"/>
      <c r="F37" s="17" t="n"/>
      <c r="G37" s="17" t="n"/>
    </row>
    <row r="38">
      <c r="A38" s="65" t="inlineStr">
        <is>
          <t>Profit / (Loss) for the Period</t>
        </is>
      </c>
      <c r="B38" s="65" t="str"/>
      <c r="C38" s="122">
        <f>C30-C37</f>
        <v/>
      </c>
      <c r="D38" s="122">
        <f>D30-D37</f>
        <v/>
      </c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 ht="26" customHeight="1" s="82">
      <c r="A41" s="79" t="inlineStr">
        <is>
          <t>Notes / Schedules — linked source for face statements</t>
        </is>
      </c>
      <c r="B41" s="1" t="n"/>
      <c r="C41" s="1" t="n"/>
      <c r="D41" s="1" t="n"/>
      <c r="E41" s="1" t="n"/>
      <c r="F41" s="1" t="n"/>
      <c r="G41" s="1" t="n"/>
    </row>
    <row r="42">
      <c r="A42" s="14" t="inlineStr">
        <is>
          <t>Note</t>
        </is>
      </c>
      <c r="B42" s="14" t="inlineStr">
        <is>
          <t>Note Title</t>
        </is>
      </c>
      <c r="C42" s="14" t="inlineStr">
        <is>
          <t>Statutory Line Item</t>
        </is>
      </c>
      <c r="D42" s="14" t="inlineStr">
        <is>
          <t>AAH Mapping Key</t>
        </is>
      </c>
      <c r="E42" s="14" t="inlineStr">
        <is>
          <t>Current Period</t>
        </is>
      </c>
      <c r="F42" s="14" t="inlineStr">
        <is>
          <t>Previous Period</t>
        </is>
      </c>
      <c r="G42" s="14" t="inlineStr">
        <is>
          <t>Disclosure / Remarks</t>
        </is>
      </c>
    </row>
    <row r="43">
      <c r="A43" s="17" t="inlineStr">
        <is>
          <t>1</t>
        </is>
      </c>
      <c r="B43" s="17" t="inlineStr">
        <is>
          <t>Unit Capital</t>
        </is>
      </c>
      <c r="C43" s="17" t="inlineStr">
        <is>
          <t>Unit capital</t>
        </is>
      </c>
      <c r="D43" s="17" t="inlineStr">
        <is>
          <t>UNIT_CAP</t>
        </is>
      </c>
      <c r="E43" s="121" t="n">
        <v>0</v>
      </c>
      <c r="F43" s="121" t="n">
        <v>0</v>
      </c>
      <c r="G43" s="59" t="str"/>
    </row>
    <row r="44">
      <c r="A44" s="65" t="inlineStr">
        <is>
          <t>1</t>
        </is>
      </c>
      <c r="B44" s="65" t="inlineStr">
        <is>
          <t>Unit Capital</t>
        </is>
      </c>
      <c r="C44" s="65" t="inlineStr">
        <is>
          <t>Total — Unit Capital</t>
        </is>
      </c>
      <c r="D44" s="65" t="inlineStr">
        <is>
          <t>__TOTAL__</t>
        </is>
      </c>
      <c r="E44" s="122">
        <f>SUM(E43:E43)</f>
        <v/>
      </c>
      <c r="F44" s="122">
        <f>SUM(F43:F43)</f>
        <v/>
      </c>
      <c r="G44" s="65" t="str"/>
    </row>
    <row r="45">
      <c r="A45" s="17" t="inlineStr">
        <is>
          <t>2</t>
        </is>
      </c>
      <c r="B45" s="17" t="inlineStr">
        <is>
          <t>Other Equity / Reserves</t>
        </is>
      </c>
      <c r="C45" s="17" t="inlineStr">
        <is>
          <t>Other equity / reserves</t>
        </is>
      </c>
      <c r="D45" s="17" t="inlineStr">
        <is>
          <t>OTHER_EQ</t>
        </is>
      </c>
      <c r="E45" s="121" t="n">
        <v>0</v>
      </c>
      <c r="F45" s="121" t="n">
        <v>0</v>
      </c>
      <c r="G45" s="59" t="str"/>
    </row>
    <row r="46">
      <c r="A46" s="65" t="inlineStr">
        <is>
          <t>2</t>
        </is>
      </c>
      <c r="B46" s="65" t="inlineStr">
        <is>
          <t>Other Equity / Reserves</t>
        </is>
      </c>
      <c r="C46" s="65" t="inlineStr">
        <is>
          <t>Total — Other Equity / Reserves</t>
        </is>
      </c>
      <c r="D46" s="65" t="inlineStr">
        <is>
          <t>__TOTAL__</t>
        </is>
      </c>
      <c r="E46" s="122">
        <f>SUM(E45:E45)</f>
        <v/>
      </c>
      <c r="F46" s="122">
        <f>SUM(F45:F45)</f>
        <v/>
      </c>
      <c r="G46" s="65" t="str"/>
    </row>
    <row r="47">
      <c r="A47" s="17" t="inlineStr">
        <is>
          <t>3</t>
        </is>
      </c>
      <c r="B47" s="17" t="inlineStr">
        <is>
          <t>Investment Property / Infrastructure Assets</t>
        </is>
      </c>
      <c r="C47" s="17" t="inlineStr">
        <is>
          <t>Investment property / infrastructure assets</t>
        </is>
      </c>
      <c r="D47" s="17" t="inlineStr">
        <is>
          <t>INV_ASSET</t>
        </is>
      </c>
      <c r="E47" s="121" t="n">
        <v>0</v>
      </c>
      <c r="F47" s="121" t="n">
        <v>0</v>
      </c>
      <c r="G47" s="59" t="str"/>
    </row>
    <row r="48">
      <c r="A48" s="65" t="inlineStr">
        <is>
          <t>3</t>
        </is>
      </c>
      <c r="B48" s="65" t="inlineStr">
        <is>
          <t>Investment Property / Infrastructure Assets</t>
        </is>
      </c>
      <c r="C48" s="65" t="inlineStr">
        <is>
          <t>Total — Investment Property / Infrastructure Assets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4</t>
        </is>
      </c>
      <c r="B49" s="17" t="inlineStr">
        <is>
          <t>Property, Plant and Equipment</t>
        </is>
      </c>
      <c r="C49" s="17" t="inlineStr">
        <is>
          <t>PPE</t>
        </is>
      </c>
      <c r="D49" s="17" t="inlineStr">
        <is>
          <t>PPE</t>
        </is>
      </c>
      <c r="E49" s="121" t="n">
        <v>0</v>
      </c>
      <c r="F49" s="121" t="n">
        <v>0</v>
      </c>
      <c r="G49" s="59" t="str"/>
    </row>
    <row r="50">
      <c r="A50" s="65" t="inlineStr">
        <is>
          <t>4</t>
        </is>
      </c>
      <c r="B50" s="65" t="inlineStr">
        <is>
          <t>Property, Plant and Equipment</t>
        </is>
      </c>
      <c r="C50" s="65" t="inlineStr">
        <is>
          <t>Total — Property, Plant and Equipment</t>
        </is>
      </c>
      <c r="D50" s="65" t="inlineStr">
        <is>
          <t>__TOTAL__</t>
        </is>
      </c>
      <c r="E50" s="122">
        <f>SUM(E49:E49)</f>
        <v/>
      </c>
      <c r="F50" s="122">
        <f>SUM(F49:F49)</f>
        <v/>
      </c>
      <c r="G50" s="65" t="str"/>
    </row>
    <row r="51">
      <c r="A51" s="17" t="inlineStr">
        <is>
          <t>5</t>
        </is>
      </c>
      <c r="B51" s="17" t="inlineStr">
        <is>
          <t>Investments in SPVs / HoldCos</t>
        </is>
      </c>
      <c r="C51" s="17" t="inlineStr">
        <is>
          <t>Investments in SPVs / HoldCos</t>
        </is>
      </c>
      <c r="D51" s="17" t="inlineStr">
        <is>
          <t>INV_SPV</t>
        </is>
      </c>
      <c r="E51" s="121" t="n">
        <v>0</v>
      </c>
      <c r="F51" s="121" t="n">
        <v>0</v>
      </c>
      <c r="G51" s="59" t="str"/>
    </row>
    <row r="52">
      <c r="A52" s="65" t="inlineStr">
        <is>
          <t>5</t>
        </is>
      </c>
      <c r="B52" s="65" t="inlineStr">
        <is>
          <t>Investments in SPVs / HoldCos</t>
        </is>
      </c>
      <c r="C52" s="65" t="inlineStr">
        <is>
          <t>Total — Investments in SPVs / HoldCos</t>
        </is>
      </c>
      <c r="D52" s="65" t="inlineStr">
        <is>
          <t>__TOTAL__</t>
        </is>
      </c>
      <c r="E52" s="122">
        <f>SUM(E51:E51)</f>
        <v/>
      </c>
      <c r="F52" s="122">
        <f>SUM(F51:F51)</f>
        <v/>
      </c>
      <c r="G52" s="65" t="str"/>
    </row>
    <row r="53">
      <c r="A53" s="17" t="inlineStr">
        <is>
          <t>6</t>
        </is>
      </c>
      <c r="B53" s="17" t="inlineStr">
        <is>
          <t>Other Financial Assets</t>
        </is>
      </c>
      <c r="C53" s="17" t="inlineStr">
        <is>
          <t>Other financial assets</t>
        </is>
      </c>
      <c r="D53" s="17" t="inlineStr">
        <is>
          <t>OFA</t>
        </is>
      </c>
      <c r="E53" s="121" t="n">
        <v>0</v>
      </c>
      <c r="F53" s="121" t="n">
        <v>0</v>
      </c>
      <c r="G53" s="59" t="str"/>
    </row>
    <row r="54">
      <c r="A54" s="65" t="inlineStr">
        <is>
          <t>6</t>
        </is>
      </c>
      <c r="B54" s="65" t="inlineStr">
        <is>
          <t>Other Financial Assets</t>
        </is>
      </c>
      <c r="C54" s="65" t="inlineStr">
        <is>
          <t>Total — Other Financial Assets</t>
        </is>
      </c>
      <c r="D54" s="65" t="inlineStr">
        <is>
          <t>__TOTAL__</t>
        </is>
      </c>
      <c r="E54" s="122">
        <f>SUM(E53:E53)</f>
        <v/>
      </c>
      <c r="F54" s="122">
        <f>SUM(F53:F53)</f>
        <v/>
      </c>
      <c r="G54" s="65" t="str"/>
    </row>
    <row r="55">
      <c r="A55" s="17" t="inlineStr">
        <is>
          <t>7</t>
        </is>
      </c>
      <c r="B55" s="17" t="inlineStr">
        <is>
          <t>Cash and Bank Balances</t>
        </is>
      </c>
      <c r="C55" s="17" t="inlineStr">
        <is>
          <t>Cash and bank balances</t>
        </is>
      </c>
      <c r="D55" s="17" t="inlineStr">
        <is>
          <t>CASH</t>
        </is>
      </c>
      <c r="E55" s="121" t="n">
        <v>0</v>
      </c>
      <c r="F55" s="121" t="n">
        <v>0</v>
      </c>
      <c r="G55" s="59" t="str"/>
    </row>
    <row r="56">
      <c r="A56" s="65" t="inlineStr">
        <is>
          <t>7</t>
        </is>
      </c>
      <c r="B56" s="65" t="inlineStr">
        <is>
          <t>Cash and Bank Balances</t>
        </is>
      </c>
      <c r="C56" s="65" t="inlineStr">
        <is>
          <t>Total — Cash and Bank Balances</t>
        </is>
      </c>
      <c r="D56" s="65" t="inlineStr">
        <is>
          <t>__TOTAL__</t>
        </is>
      </c>
      <c r="E56" s="122">
        <f>SUM(E55:E55)</f>
        <v/>
      </c>
      <c r="F56" s="122">
        <f>SUM(F55:F55)</f>
        <v/>
      </c>
      <c r="G56" s="65" t="str"/>
    </row>
    <row r="57">
      <c r="A57" s="17" t="inlineStr">
        <is>
          <t>8</t>
        </is>
      </c>
      <c r="B57" s="17" t="inlineStr">
        <is>
          <t>Other Assets</t>
        </is>
      </c>
      <c r="C57" s="17" t="inlineStr">
        <is>
          <t>Other assets</t>
        </is>
      </c>
      <c r="D57" s="17" t="inlineStr">
        <is>
          <t>OA</t>
        </is>
      </c>
      <c r="E57" s="121" t="n">
        <v>0</v>
      </c>
      <c r="F57" s="121" t="n">
        <v>0</v>
      </c>
      <c r="G57" s="59" t="str"/>
    </row>
    <row r="58">
      <c r="A58" s="65" t="inlineStr">
        <is>
          <t>8</t>
        </is>
      </c>
      <c r="B58" s="65" t="inlineStr">
        <is>
          <t>Other Assets</t>
        </is>
      </c>
      <c r="C58" s="65" t="inlineStr">
        <is>
          <t>Total — Other Assets</t>
        </is>
      </c>
      <c r="D58" s="65" t="inlineStr">
        <is>
          <t>__TOTAL__</t>
        </is>
      </c>
      <c r="E58" s="122">
        <f>SUM(E57:E57)</f>
        <v/>
      </c>
      <c r="F58" s="122">
        <f>SUM(F57:F57)</f>
        <v/>
      </c>
      <c r="G58" s="65" t="str"/>
    </row>
    <row r="59">
      <c r="A59" s="17" t="inlineStr">
        <is>
          <t>9</t>
        </is>
      </c>
      <c r="B59" s="17" t="inlineStr">
        <is>
          <t>Borrowings / Debt Securities</t>
        </is>
      </c>
      <c r="C59" s="17" t="inlineStr">
        <is>
          <t>Borrowings / debt securities</t>
        </is>
      </c>
      <c r="D59" s="17" t="inlineStr">
        <is>
          <t>BORR</t>
        </is>
      </c>
      <c r="E59" s="121" t="n">
        <v>0</v>
      </c>
      <c r="F59" s="121" t="n">
        <v>0</v>
      </c>
      <c r="G59" s="59" t="str"/>
    </row>
    <row r="60">
      <c r="A60" s="65" t="inlineStr">
        <is>
          <t>9</t>
        </is>
      </c>
      <c r="B60" s="65" t="inlineStr">
        <is>
          <t>Borrowings / Debt Securities</t>
        </is>
      </c>
      <c r="C60" s="65" t="inlineStr">
        <is>
          <t>Total — Borrowings / Debt Securities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10</t>
        </is>
      </c>
      <c r="B61" s="17" t="inlineStr">
        <is>
          <t>Trade and Other Payables</t>
        </is>
      </c>
      <c r="C61" s="17" t="inlineStr">
        <is>
          <t>Trade and other payables</t>
        </is>
      </c>
      <c r="D61" s="17" t="inlineStr">
        <is>
          <t>PAY</t>
        </is>
      </c>
      <c r="E61" s="121" t="n">
        <v>0</v>
      </c>
      <c r="F61" s="121" t="n">
        <v>0</v>
      </c>
      <c r="G61" s="59" t="str"/>
    </row>
    <row r="62">
      <c r="A62" s="65" t="inlineStr">
        <is>
          <t>10</t>
        </is>
      </c>
      <c r="B62" s="65" t="inlineStr">
        <is>
          <t>Trade and Other Payables</t>
        </is>
      </c>
      <c r="C62" s="65" t="inlineStr">
        <is>
          <t>Total — Trade and Other Payables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11</t>
        </is>
      </c>
      <c r="B63" s="17" t="inlineStr">
        <is>
          <t>Other Financial Liabilities</t>
        </is>
      </c>
      <c r="C63" s="17" t="inlineStr">
        <is>
          <t>Other financial liabilities</t>
        </is>
      </c>
      <c r="D63" s="17" t="inlineStr">
        <is>
          <t>OFL</t>
        </is>
      </c>
      <c r="E63" s="121" t="n">
        <v>0</v>
      </c>
      <c r="F63" s="121" t="n">
        <v>0</v>
      </c>
      <c r="G63" s="59" t="str"/>
    </row>
    <row r="64">
      <c r="A64" s="65" t="inlineStr">
        <is>
          <t>11</t>
        </is>
      </c>
      <c r="B64" s="65" t="inlineStr">
        <is>
          <t>Other Financial Liabilities</t>
        </is>
      </c>
      <c r="C64" s="65" t="inlineStr">
        <is>
          <t>Total — Other Financial Liabilities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12</t>
        </is>
      </c>
      <c r="B65" s="17" t="inlineStr">
        <is>
          <t>Other Liabilities / Provisions</t>
        </is>
      </c>
      <c r="C65" s="17" t="inlineStr">
        <is>
          <t>Other liabilities / provisions</t>
        </is>
      </c>
      <c r="D65" s="17" t="inlineStr">
        <is>
          <t>OLP</t>
        </is>
      </c>
      <c r="E65" s="121" t="n">
        <v>0</v>
      </c>
      <c r="F65" s="121" t="n">
        <v>0</v>
      </c>
      <c r="G65" s="59" t="str"/>
    </row>
    <row r="66">
      <c r="A66" s="65" t="inlineStr">
        <is>
          <t>12</t>
        </is>
      </c>
      <c r="B66" s="65" t="inlineStr">
        <is>
          <t>Other Liabilities / Provisions</t>
        </is>
      </c>
      <c r="C66" s="65" t="inlineStr">
        <is>
          <t>Total — Other Liabilities / Provisions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13</t>
        </is>
      </c>
      <c r="B67" s="17" t="inlineStr">
        <is>
          <t>Revenue from Operations</t>
        </is>
      </c>
      <c r="C67" s="17" t="inlineStr">
        <is>
          <t>Revenue from operations</t>
        </is>
      </c>
      <c r="D67" s="17" t="inlineStr">
        <is>
          <t>REV</t>
        </is>
      </c>
      <c r="E67" s="121" t="n">
        <v>0</v>
      </c>
      <c r="F67" s="121" t="n">
        <v>0</v>
      </c>
      <c r="G67" s="59" t="str"/>
    </row>
    <row r="68">
      <c r="A68" s="65" t="inlineStr">
        <is>
          <t>13</t>
        </is>
      </c>
      <c r="B68" s="65" t="inlineStr">
        <is>
          <t>Revenue from Operations</t>
        </is>
      </c>
      <c r="C68" s="65" t="inlineStr">
        <is>
          <t>Total — Revenue from Operations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14</t>
        </is>
      </c>
      <c r="B69" s="17" t="inlineStr">
        <is>
          <t>Other Income</t>
        </is>
      </c>
      <c r="C69" s="17" t="inlineStr">
        <is>
          <t>Other income</t>
        </is>
      </c>
      <c r="D69" s="17" t="inlineStr">
        <is>
          <t>OI</t>
        </is>
      </c>
      <c r="E69" s="121" t="n">
        <v>0</v>
      </c>
      <c r="F69" s="121" t="n">
        <v>0</v>
      </c>
      <c r="G69" s="59" t="str"/>
    </row>
    <row r="70">
      <c r="A70" s="65" t="inlineStr">
        <is>
          <t>14</t>
        </is>
      </c>
      <c r="B70" s="65" t="inlineStr">
        <is>
          <t>Other Income</t>
        </is>
      </c>
      <c r="C70" s="65" t="inlineStr">
        <is>
          <t>Total — Other Income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15</t>
        </is>
      </c>
      <c r="B71" s="17" t="inlineStr">
        <is>
          <t>Finance Costs</t>
        </is>
      </c>
      <c r="C71" s="17" t="inlineStr">
        <is>
          <t>Finance costs</t>
        </is>
      </c>
      <c r="D71" s="17" t="inlineStr">
        <is>
          <t>FIN</t>
        </is>
      </c>
      <c r="E71" s="121" t="n">
        <v>0</v>
      </c>
      <c r="F71" s="121" t="n">
        <v>0</v>
      </c>
      <c r="G71" s="59" t="str"/>
    </row>
    <row r="72">
      <c r="A72" s="65" t="inlineStr">
        <is>
          <t>15</t>
        </is>
      </c>
      <c r="B72" s="65" t="inlineStr">
        <is>
          <t>Finance Costs</t>
        </is>
      </c>
      <c r="C72" s="65" t="inlineStr">
        <is>
          <t>Total — Finance Costs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16</t>
        </is>
      </c>
      <c r="B73" s="17" t="inlineStr">
        <is>
          <t>Operating / Property Expenses</t>
        </is>
      </c>
      <c r="C73" s="17" t="inlineStr">
        <is>
          <t>Operating / property expenses</t>
        </is>
      </c>
      <c r="D73" s="17" t="inlineStr">
        <is>
          <t>OPEX</t>
        </is>
      </c>
      <c r="E73" s="121" t="n">
        <v>0</v>
      </c>
      <c r="F73" s="121" t="n">
        <v>0</v>
      </c>
      <c r="G73" s="59" t="str"/>
    </row>
    <row r="74">
      <c r="A74" s="65" t="inlineStr">
        <is>
          <t>16</t>
        </is>
      </c>
      <c r="B74" s="65" t="inlineStr">
        <is>
          <t>Operating / Property Expenses</t>
        </is>
      </c>
      <c r="C74" s="65" t="inlineStr">
        <is>
          <t>Total — Operating / Property Expenses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inlineStr">
        <is>
          <t>17</t>
        </is>
      </c>
      <c r="B75" s="17" t="inlineStr">
        <is>
          <t>Manager / Employee Fees</t>
        </is>
      </c>
      <c r="C75" s="17" t="inlineStr">
        <is>
          <t>Manager / employee fees</t>
        </is>
      </c>
      <c r="D75" s="17" t="inlineStr">
        <is>
          <t>MGMT</t>
        </is>
      </c>
      <c r="E75" s="121" t="n">
        <v>0</v>
      </c>
      <c r="F75" s="121" t="n">
        <v>0</v>
      </c>
      <c r="G75" s="59" t="str"/>
    </row>
    <row r="76">
      <c r="A76" s="65" t="inlineStr">
        <is>
          <t>17</t>
        </is>
      </c>
      <c r="B76" s="65" t="inlineStr">
        <is>
          <t>Manager / Employee Fees</t>
        </is>
      </c>
      <c r="C76" s="65" t="inlineStr">
        <is>
          <t>Total — Manager / Employee Fees</t>
        </is>
      </c>
      <c r="D76" s="65" t="inlineStr">
        <is>
          <t>__TOTAL__</t>
        </is>
      </c>
      <c r="E76" s="122">
        <f>SUM(E75:E75)</f>
        <v/>
      </c>
      <c r="F76" s="122">
        <f>SUM(F75:F75)</f>
        <v/>
      </c>
      <c r="G76" s="65" t="str"/>
    </row>
    <row r="77">
      <c r="A77" s="17" t="inlineStr">
        <is>
          <t>18</t>
        </is>
      </c>
      <c r="B77" s="17" t="inlineStr">
        <is>
          <t>Depreciation / Amortisation</t>
        </is>
      </c>
      <c r="C77" s="17" t="inlineStr">
        <is>
          <t>Depreciation / amortisation</t>
        </is>
      </c>
      <c r="D77" s="17" t="inlineStr">
        <is>
          <t>DEPAM</t>
        </is>
      </c>
      <c r="E77" s="121" t="n">
        <v>0</v>
      </c>
      <c r="F77" s="121" t="n">
        <v>0</v>
      </c>
      <c r="G77" s="59" t="str"/>
    </row>
    <row r="78">
      <c r="A78" s="65" t="inlineStr">
        <is>
          <t>18</t>
        </is>
      </c>
      <c r="B78" s="65" t="inlineStr">
        <is>
          <t>Depreciation / Amortisation</t>
        </is>
      </c>
      <c r="C78" s="65" t="inlineStr">
        <is>
          <t>Total — Depreciation / Amortisation</t>
        </is>
      </c>
      <c r="D78" s="65" t="inlineStr">
        <is>
          <t>__TOTAL__</t>
        </is>
      </c>
      <c r="E78" s="122">
        <f>SUM(E77:E77)</f>
        <v/>
      </c>
      <c r="F78" s="122">
        <f>SUM(F77:F77)</f>
        <v/>
      </c>
      <c r="G78" s="65" t="str"/>
    </row>
    <row r="79">
      <c r="A79" s="17" t="inlineStr">
        <is>
          <t>19</t>
        </is>
      </c>
      <c r="B79" s="17" t="inlineStr">
        <is>
          <t>Other Expenses</t>
        </is>
      </c>
      <c r="C79" s="17" t="inlineStr">
        <is>
          <t>Other expenses</t>
        </is>
      </c>
      <c r="D79" s="17" t="inlineStr">
        <is>
          <t>OE</t>
        </is>
      </c>
      <c r="E79" s="121" t="n">
        <v>0</v>
      </c>
      <c r="F79" s="121" t="n">
        <v>0</v>
      </c>
      <c r="G79" s="59" t="str"/>
    </row>
    <row r="80">
      <c r="A80" s="65" t="inlineStr">
        <is>
          <t>19</t>
        </is>
      </c>
      <c r="B80" s="65" t="inlineStr">
        <is>
          <t>Other Expenses</t>
        </is>
      </c>
      <c r="C80" s="65" t="inlineStr">
        <is>
          <t>Total — Other Expenses</t>
        </is>
      </c>
      <c r="D80" s="65" t="inlineStr">
        <is>
          <t>__TOTAL__</t>
        </is>
      </c>
      <c r="E80" s="122">
        <f>SUM(E79:E79)</f>
        <v/>
      </c>
      <c r="F80" s="122">
        <f>SUM(F79:F79)</f>
        <v/>
      </c>
      <c r="G80" s="65" t="str"/>
    </row>
    <row r="81">
      <c r="A81" s="17" t="inlineStr">
        <is>
          <t>20</t>
        </is>
      </c>
      <c r="B81" s="17" t="inlineStr">
        <is>
          <t>Net Assets at Fair Value</t>
        </is>
      </c>
      <c r="C81" s="17" t="inlineStr">
        <is>
          <t>Net assets at fair value</t>
        </is>
      </c>
      <c r="D81" s="17" t="inlineStr">
        <is>
          <t>NAV_FV</t>
        </is>
      </c>
      <c r="E81" s="121" t="n">
        <v>0</v>
      </c>
      <c r="F81" s="121" t="n">
        <v>0</v>
      </c>
      <c r="G81" s="59" t="str"/>
    </row>
    <row r="82">
      <c r="A82" s="65" t="inlineStr">
        <is>
          <t>20</t>
        </is>
      </c>
      <c r="B82" s="65" t="inlineStr">
        <is>
          <t>Net Assets at Fair Value</t>
        </is>
      </c>
      <c r="C82" s="65" t="inlineStr">
        <is>
          <t>Total — Net Assets at Fair Value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inlineStr">
        <is>
          <t>21</t>
        </is>
      </c>
      <c r="B83" s="17" t="inlineStr">
        <is>
          <t>Total Returns at Fair Value</t>
        </is>
      </c>
      <c r="C83" s="17" t="inlineStr">
        <is>
          <t>Total returns at fair value</t>
        </is>
      </c>
      <c r="D83" s="17" t="inlineStr">
        <is>
          <t>TR_FV</t>
        </is>
      </c>
      <c r="E83" s="121" t="n">
        <v>0</v>
      </c>
      <c r="F83" s="121" t="n">
        <v>0</v>
      </c>
      <c r="G83" s="59" t="str"/>
    </row>
    <row r="84">
      <c r="A84" s="65" t="inlineStr">
        <is>
          <t>21</t>
        </is>
      </c>
      <c r="B84" s="65" t="inlineStr">
        <is>
          <t>Total Returns at Fair Value</t>
        </is>
      </c>
      <c r="C84" s="65" t="inlineStr">
        <is>
          <t>Total — Total Returns at Fair Value</t>
        </is>
      </c>
      <c r="D84" s="65" t="inlineStr">
        <is>
          <t>__TOTAL__</t>
        </is>
      </c>
      <c r="E84" s="122">
        <f>SUM(E83:E83)</f>
        <v/>
      </c>
      <c r="F84" s="122">
        <f>SUM(F83:F83)</f>
        <v/>
      </c>
      <c r="G84" s="65" t="str"/>
    </row>
    <row r="85">
      <c r="A85" s="17" t="inlineStr">
        <is>
          <t>22</t>
        </is>
      </c>
      <c r="B85" s="17" t="inlineStr">
        <is>
          <t>Distributions / NDCF</t>
        </is>
      </c>
      <c r="C85" s="17" t="inlineStr">
        <is>
          <t>Distributions / NDCF</t>
        </is>
      </c>
      <c r="D85" s="17" t="inlineStr">
        <is>
          <t>NDCF</t>
        </is>
      </c>
      <c r="E85" s="121" t="n">
        <v>0</v>
      </c>
      <c r="F85" s="121" t="n">
        <v>0</v>
      </c>
      <c r="G85" s="59" t="str"/>
    </row>
    <row r="86">
      <c r="A86" s="65" t="inlineStr">
        <is>
          <t>22</t>
        </is>
      </c>
      <c r="B86" s="65" t="inlineStr">
        <is>
          <t>Distributions / NDCF</t>
        </is>
      </c>
      <c r="C86" s="65" t="inlineStr">
        <is>
          <t>Total — Distributions / NDCF</t>
        </is>
      </c>
      <c r="D86" s="65" t="inlineStr">
        <is>
          <t>__TOTAL__</t>
        </is>
      </c>
      <c r="E86" s="122">
        <f>SUM(E85:E85)</f>
        <v/>
      </c>
      <c r="F86" s="122">
        <f>SUM(F85:F85)</f>
        <v/>
      </c>
      <c r="G86" s="65" t="str"/>
    </row>
    <row r="87">
      <c r="A87" s="17" t="n"/>
      <c r="B87" s="17" t="n"/>
      <c r="C87" s="17" t="n"/>
      <c r="D87" s="17" t="n"/>
      <c r="E87" s="17" t="n"/>
      <c r="F87" s="17" t="n"/>
      <c r="G87" s="17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 ht="26" customHeight="1" s="82">
      <c r="A89" s="79" t="inlineStr">
        <is>
          <t>Cash Flow Statement</t>
        </is>
      </c>
      <c r="B89" s="1" t="n"/>
      <c r="C89" s="1" t="n"/>
      <c r="D89" s="1" t="n"/>
      <c r="E89" s="1" t="n"/>
      <c r="F89" s="1" t="n"/>
      <c r="G89" s="1" t="n"/>
    </row>
    <row r="90">
      <c r="A90" s="14" t="inlineStr">
        <is>
          <t>Line Item</t>
        </is>
      </c>
      <c r="B90" s="14" t="inlineStr">
        <is>
          <t>AAH Mapping Key</t>
        </is>
      </c>
      <c r="C90" s="14" t="inlineStr">
        <is>
          <t>Current Period</t>
        </is>
      </c>
      <c r="D90" s="14" t="inlineStr">
        <is>
          <t>Previous Period</t>
        </is>
      </c>
      <c r="E90" s="14" t="inlineStr">
        <is>
          <t>Calculation / Rule</t>
        </is>
      </c>
      <c r="F90" s="14" t="inlineStr">
        <is>
          <t>Status</t>
        </is>
      </c>
      <c r="G90" s="14" t="inlineStr">
        <is>
          <t>Remarks</t>
        </is>
      </c>
    </row>
    <row r="91">
      <c r="A91" s="17" t="inlineStr">
        <is>
          <t>Profit before tax / operating surplus</t>
        </is>
      </c>
      <c r="B91" s="17" t="inlineStr">
        <is>
          <t>CFS_PBT</t>
        </is>
      </c>
      <c r="C91" s="121" t="n">
        <v>0</v>
      </c>
      <c r="D91" s="121" t="n">
        <v>0</v>
      </c>
      <c r="E91" s="17" t="inlineStr">
        <is>
          <t>To be populated/calculated by AAH mapping engine</t>
        </is>
      </c>
      <c r="F91" s="17" t="str"/>
      <c r="G91" s="80" t="str"/>
    </row>
    <row r="92">
      <c r="A92" s="17" t="inlineStr">
        <is>
          <t>Non-cash adjustments</t>
        </is>
      </c>
      <c r="B92" s="17" t="inlineStr">
        <is>
          <t>CFS_ADJ</t>
        </is>
      </c>
      <c r="C92" s="121" t="n">
        <v>0</v>
      </c>
      <c r="D92" s="121" t="n">
        <v>0</v>
      </c>
      <c r="E92" s="17" t="inlineStr">
        <is>
          <t>To be populated/calculated by AAH mapping engine</t>
        </is>
      </c>
      <c r="F92" s="17" t="str"/>
      <c r="G92" s="80" t="str"/>
    </row>
    <row r="93">
      <c r="A93" s="17" t="inlineStr">
        <is>
          <t>Working capital changes</t>
        </is>
      </c>
      <c r="B93" s="17" t="inlineStr">
        <is>
          <t>CFS_WC</t>
        </is>
      </c>
      <c r="C93" s="121" t="n">
        <v>0</v>
      </c>
      <c r="D93" s="121" t="n">
        <v>0</v>
      </c>
      <c r="E93" s="17" t="inlineStr">
        <is>
          <t>To be populated/calculated by AAH mapping engine</t>
        </is>
      </c>
      <c r="F93" s="17" t="str"/>
      <c r="G93" s="80" t="str"/>
    </row>
    <row r="94">
      <c r="A94" s="17" t="inlineStr">
        <is>
          <t>Taxes paid</t>
        </is>
      </c>
      <c r="B94" s="17" t="inlineStr">
        <is>
          <t>CFS_TAX</t>
        </is>
      </c>
      <c r="C94" s="121" t="n">
        <v>0</v>
      </c>
      <c r="D94" s="121" t="n">
        <v>0</v>
      </c>
      <c r="E94" s="17" t="inlineStr">
        <is>
          <t>To be populated/calculated by AAH mapping engine</t>
        </is>
      </c>
      <c r="F94" s="17" t="str"/>
      <c r="G94" s="80" t="str"/>
    </row>
    <row r="95">
      <c r="A95" s="17" t="inlineStr">
        <is>
          <t>Net cash from operating activities</t>
        </is>
      </c>
      <c r="B95" s="17" t="inlineStr">
        <is>
          <t>CFS_CFO</t>
        </is>
      </c>
      <c r="C95" s="121" t="n">
        <v>0</v>
      </c>
      <c r="D95" s="121" t="n">
        <v>0</v>
      </c>
      <c r="E95" s="17" t="inlineStr">
        <is>
          <t>To be populated/calculated by AAH mapping engine</t>
        </is>
      </c>
      <c r="F95" s="17" t="str"/>
      <c r="G95" s="80" t="str"/>
    </row>
    <row r="96">
      <c r="A96" s="17" t="inlineStr">
        <is>
          <t>Net cash from investing activities</t>
        </is>
      </c>
      <c r="B96" s="17" t="inlineStr">
        <is>
          <t>CFS_CFI</t>
        </is>
      </c>
      <c r="C96" s="121" t="n">
        <v>0</v>
      </c>
      <c r="D96" s="121" t="n">
        <v>0</v>
      </c>
      <c r="E96" s="17" t="inlineStr">
        <is>
          <t>To be populated/calculated by AAH mapping engine</t>
        </is>
      </c>
      <c r="F96" s="17" t="str"/>
      <c r="G96" s="80" t="str"/>
    </row>
    <row r="97">
      <c r="A97" s="17" t="inlineStr">
        <is>
          <t>Net cash from financing activities</t>
        </is>
      </c>
      <c r="B97" s="17" t="inlineStr">
        <is>
          <t>CFS_CFF</t>
        </is>
      </c>
      <c r="C97" s="121" t="n">
        <v>0</v>
      </c>
      <c r="D97" s="121" t="n">
        <v>0</v>
      </c>
      <c r="E97" s="17" t="inlineStr">
        <is>
          <t>To be populated/calculated by AAH mapping engine</t>
        </is>
      </c>
      <c r="F97" s="17" t="str"/>
      <c r="G97" s="80" t="str"/>
    </row>
    <row r="98">
      <c r="A98" s="17" t="inlineStr">
        <is>
          <t>Net increase / (decrease) in cash</t>
        </is>
      </c>
      <c r="B98" s="17" t="inlineStr">
        <is>
          <t>CFS_NET</t>
        </is>
      </c>
      <c r="C98" s="121" t="n">
        <v>0</v>
      </c>
      <c r="D98" s="121" t="n">
        <v>0</v>
      </c>
      <c r="E98" s="17" t="inlineStr">
        <is>
          <t>To be populated/calculated by AAH mapping engine</t>
        </is>
      </c>
      <c r="F98" s="17" t="str"/>
      <c r="G98" s="80" t="str"/>
    </row>
    <row r="99">
      <c r="A99" s="17" t="inlineStr">
        <is>
          <t>Opening cash and cash equivalents</t>
        </is>
      </c>
      <c r="B99" s="17" t="inlineStr">
        <is>
          <t>CFS_OPEN</t>
        </is>
      </c>
      <c r="C99" s="121" t="n">
        <v>0</v>
      </c>
      <c r="D99" s="121" t="n">
        <v>0</v>
      </c>
      <c r="E99" s="17" t="inlineStr">
        <is>
          <t>To be populated/calculated by AAH mapping engine</t>
        </is>
      </c>
      <c r="F99" s="17" t="str"/>
      <c r="G99" s="80" t="str"/>
    </row>
    <row r="100">
      <c r="A100" s="17" t="inlineStr">
        <is>
          <t>Closing cash and cash equivalents</t>
        </is>
      </c>
      <c r="B100" s="17" t="inlineStr">
        <is>
          <t>CFS_CLOSE</t>
        </is>
      </c>
      <c r="C100" s="121" t="n">
        <v>0</v>
      </c>
      <c r="D100" s="121" t="n">
        <v>0</v>
      </c>
      <c r="E100" s="17" t="inlineStr">
        <is>
          <t>To be populated/calculated by AAH mapping engine</t>
        </is>
      </c>
      <c r="F100" s="17" t="str"/>
      <c r="G100" s="80" t="str"/>
    </row>
    <row r="101">
      <c r="A101" s="17" t="n"/>
      <c r="B101" s="17" t="n"/>
      <c r="C101" s="17" t="n"/>
      <c r="D101" s="17" t="n"/>
      <c r="E101" s="17" t="n"/>
      <c r="F101" s="17" t="n"/>
      <c r="G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 ht="26" customHeight="1" s="82">
      <c r="A103" s="79" t="inlineStr">
        <is>
          <t>Statement of Changes in Equity / Unitholders' Equity</t>
        </is>
      </c>
      <c r="B103" s="1" t="n"/>
      <c r="C103" s="1" t="n"/>
      <c r="D103" s="1" t="n"/>
      <c r="E103" s="1" t="n"/>
      <c r="F103" s="1" t="n"/>
      <c r="G103" s="1" t="n"/>
    </row>
    <row r="104">
      <c r="A104" s="14" t="inlineStr">
        <is>
          <t>Line Item</t>
        </is>
      </c>
      <c r="B104" s="14" t="inlineStr">
        <is>
          <t>AAH Mapping Key</t>
        </is>
      </c>
      <c r="C104" s="14" t="inlineStr">
        <is>
          <t>Current Period</t>
        </is>
      </c>
      <c r="D104" s="14" t="inlineStr">
        <is>
          <t>Previous Period</t>
        </is>
      </c>
      <c r="E104" s="14" t="inlineStr">
        <is>
          <t>Calculation / Rule</t>
        </is>
      </c>
      <c r="F104" s="14" t="inlineStr">
        <is>
          <t>Status</t>
        </is>
      </c>
      <c r="G104" s="14" t="inlineStr">
        <is>
          <t>Remarks</t>
        </is>
      </c>
    </row>
    <row r="105">
      <c r="A105" s="17" t="inlineStr">
        <is>
          <t>Opening equity / unit capital</t>
        </is>
      </c>
      <c r="B105" s="17" t="inlineStr">
        <is>
          <t>SOE_OPEN</t>
        </is>
      </c>
      <c r="C105" s="121" t="n">
        <v>0</v>
      </c>
      <c r="D105" s="121" t="n">
        <v>0</v>
      </c>
      <c r="E105" s="17" t="inlineStr">
        <is>
          <t>To be populated/calculated by AAH mapping engine</t>
        </is>
      </c>
      <c r="F105" s="17" t="str"/>
      <c r="G105" s="80" t="str"/>
    </row>
    <row r="106">
      <c r="A106" s="17" t="inlineStr">
        <is>
          <t>Changes in capital / units</t>
        </is>
      </c>
      <c r="B106" s="17" t="inlineStr">
        <is>
          <t>SOE_CAPCHG</t>
        </is>
      </c>
      <c r="C106" s="121" t="n">
        <v>0</v>
      </c>
      <c r="D106" s="121" t="n">
        <v>0</v>
      </c>
      <c r="E106" s="17" t="inlineStr">
        <is>
          <t>To be populated/calculated by AAH mapping engine</t>
        </is>
      </c>
      <c r="F106" s="17" t="str"/>
      <c r="G106" s="80" t="str"/>
    </row>
    <row r="107">
      <c r="A107" s="17" t="inlineStr">
        <is>
          <t>Profit / loss for period</t>
        </is>
      </c>
      <c r="B107" s="17" t="inlineStr">
        <is>
          <t>SOE_PL</t>
        </is>
      </c>
      <c r="C107" s="121" t="n">
        <v>0</v>
      </c>
      <c r="D107" s="121" t="n">
        <v>0</v>
      </c>
      <c r="E107" s="17" t="inlineStr">
        <is>
          <t>To be populated/calculated by AAH mapping engine</t>
        </is>
      </c>
      <c r="F107" s="17" t="str"/>
      <c r="G107" s="80" t="str"/>
    </row>
    <row r="108">
      <c r="A108" s="17" t="inlineStr">
        <is>
          <t>Other comprehensive income / fair value movement</t>
        </is>
      </c>
      <c r="B108" s="17" t="inlineStr">
        <is>
          <t>SOE_OCI</t>
        </is>
      </c>
      <c r="C108" s="121" t="n">
        <v>0</v>
      </c>
      <c r="D108" s="121" t="n">
        <v>0</v>
      </c>
      <c r="E108" s="17" t="inlineStr">
        <is>
          <t>To be populated/calculated by AAH mapping engine</t>
        </is>
      </c>
      <c r="F108" s="17" t="str"/>
      <c r="G108" s="80" t="str"/>
    </row>
    <row r="109">
      <c r="A109" s="17" t="inlineStr">
        <is>
          <t>Distributions / drawings</t>
        </is>
      </c>
      <c r="B109" s="17" t="inlineStr">
        <is>
          <t>SOE_DIST</t>
        </is>
      </c>
      <c r="C109" s="121" t="n">
        <v>0</v>
      </c>
      <c r="D109" s="121" t="n">
        <v>0</v>
      </c>
      <c r="E109" s="17" t="inlineStr">
        <is>
          <t>To be populated/calculated by AAH mapping engine</t>
        </is>
      </c>
      <c r="F109" s="17" t="str"/>
      <c r="G109" s="80" t="str"/>
    </row>
    <row r="110">
      <c r="A110" s="17" t="inlineStr">
        <is>
          <t>Other movements</t>
        </is>
      </c>
      <c r="B110" s="17" t="inlineStr">
        <is>
          <t>SOE_OTHER</t>
        </is>
      </c>
      <c r="C110" s="121" t="n">
        <v>0</v>
      </c>
      <c r="D110" s="121" t="n">
        <v>0</v>
      </c>
      <c r="E110" s="17" t="inlineStr">
        <is>
          <t>To be populated/calculated by AAH mapping engine</t>
        </is>
      </c>
      <c r="F110" s="17" t="str"/>
      <c r="G110" s="80" t="str"/>
    </row>
    <row r="111">
      <c r="A111" s="17" t="inlineStr">
        <is>
          <t>Closing equity / unit capital</t>
        </is>
      </c>
      <c r="B111" s="17" t="inlineStr">
        <is>
          <t>SOE_CLOSE</t>
        </is>
      </c>
      <c r="C111" s="121" t="n">
        <v>0</v>
      </c>
      <c r="D111" s="121" t="n">
        <v>0</v>
      </c>
      <c r="E111" s="17" t="inlineStr">
        <is>
          <t>To be populated/calculated by AAH mapping engine</t>
        </is>
      </c>
      <c r="F111" s="17" t="str"/>
      <c r="G111" s="80" t="str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</row>
    <row r="114" ht="26" customHeight="1" s="82">
      <c r="A114" s="79" t="inlineStr">
        <is>
          <t>Statement of Net Assets at Fair Value</t>
        </is>
      </c>
      <c r="B114" s="1" t="n"/>
      <c r="C114" s="1" t="n"/>
      <c r="D114" s="1" t="n"/>
      <c r="E114" s="1" t="n"/>
      <c r="F114" s="1" t="n"/>
      <c r="G114" s="1" t="n"/>
    </row>
    <row r="115">
      <c r="A115" s="14" t="inlineStr">
        <is>
          <t>Line Item</t>
        </is>
      </c>
      <c r="B115" s="14" t="inlineStr">
        <is>
          <t>AAH Mapping Key</t>
        </is>
      </c>
      <c r="C115" s="14" t="inlineStr">
        <is>
          <t>Current Period</t>
        </is>
      </c>
      <c r="D115" s="14" t="inlineStr">
        <is>
          <t>Previous Period</t>
        </is>
      </c>
      <c r="E115" s="14" t="inlineStr">
        <is>
          <t>Calculation / Rule</t>
        </is>
      </c>
      <c r="F115" s="14" t="inlineStr">
        <is>
          <t>Status</t>
        </is>
      </c>
      <c r="G115" s="14" t="inlineStr">
        <is>
          <t>Remarks</t>
        </is>
      </c>
    </row>
    <row r="116">
      <c r="A116" s="17" t="inlineStr">
        <is>
          <t>Fair value of assets</t>
        </is>
      </c>
      <c r="B116" s="17" t="inlineStr">
        <is>
          <t>FV_ASSETS</t>
        </is>
      </c>
      <c r="C116" s="121" t="n">
        <v>0</v>
      </c>
      <c r="D116" s="121" t="n">
        <v>0</v>
      </c>
      <c r="E116" s="17" t="inlineStr">
        <is>
          <t>To be populated/calculated by AAH mapping engine</t>
        </is>
      </c>
      <c r="F116" s="17" t="str"/>
      <c r="G116" s="80" t="str"/>
    </row>
    <row r="117">
      <c r="A117" s="17" t="inlineStr">
        <is>
          <t>Fair value of liabilities</t>
        </is>
      </c>
      <c r="B117" s="17" t="inlineStr">
        <is>
          <t>FV_LIAB</t>
        </is>
      </c>
      <c r="C117" s="121" t="n">
        <v>0</v>
      </c>
      <c r="D117" s="121" t="n">
        <v>0</v>
      </c>
      <c r="E117" s="17" t="inlineStr">
        <is>
          <t>To be populated/calculated by AAH mapping engine</t>
        </is>
      </c>
      <c r="F117" s="17" t="str"/>
      <c r="G117" s="80" t="str"/>
    </row>
    <row r="118">
      <c r="A118" s="17" t="inlineStr">
        <is>
          <t>Net assets at fair value</t>
        </is>
      </c>
      <c r="B118" s="17" t="inlineStr">
        <is>
          <t>FV_NET</t>
        </is>
      </c>
      <c r="C118" s="121" t="n">
        <v>0</v>
      </c>
      <c r="D118" s="121" t="n">
        <v>0</v>
      </c>
      <c r="E118" s="17" t="inlineStr">
        <is>
          <t>To be populated/calculated by AAH mapping engine</t>
        </is>
      </c>
      <c r="F118" s="17" t="str"/>
      <c r="G118" s="80" t="str"/>
    </row>
    <row r="119">
      <c r="A119" s="17" t="inlineStr">
        <is>
          <t>Units outstanding</t>
        </is>
      </c>
      <c r="B119" s="17" t="inlineStr">
        <is>
          <t>FV_UNITS</t>
        </is>
      </c>
      <c r="C119" s="121" t="n">
        <v>0</v>
      </c>
      <c r="D119" s="121" t="n">
        <v>0</v>
      </c>
      <c r="E119" s="17" t="inlineStr">
        <is>
          <t>To be populated/calculated by AAH mapping engine</t>
        </is>
      </c>
      <c r="F119" s="17" t="str"/>
      <c r="G119" s="80" t="str"/>
    </row>
    <row r="120">
      <c r="A120" s="17" t="inlineStr">
        <is>
          <t>NAV per unit</t>
        </is>
      </c>
      <c r="B120" s="17" t="inlineStr">
        <is>
          <t>FV_NAVPU</t>
        </is>
      </c>
      <c r="C120" s="121" t="n">
        <v>0</v>
      </c>
      <c r="D120" s="121" t="n">
        <v>0</v>
      </c>
      <c r="E120" s="17" t="inlineStr">
        <is>
          <t>To be populated/calculated by AAH mapping engine</t>
        </is>
      </c>
      <c r="F120" s="17" t="str"/>
      <c r="G120" s="80" t="str"/>
    </row>
    <row r="121">
      <c r="A121" s="17" t="n"/>
      <c r="B121" s="17" t="n"/>
      <c r="C121" s="17" t="n"/>
      <c r="D121" s="17" t="n"/>
      <c r="E121" s="17" t="n"/>
      <c r="F121" s="17" t="n"/>
      <c r="G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 ht="26" customHeight="1" s="82">
      <c r="A123" s="79" t="inlineStr">
        <is>
          <t>Statement of Total Returns at Fair Value</t>
        </is>
      </c>
      <c r="B123" s="1" t="n"/>
      <c r="C123" s="1" t="n"/>
      <c r="D123" s="1" t="n"/>
      <c r="E123" s="1" t="n"/>
      <c r="F123" s="1" t="n"/>
      <c r="G123" s="1" t="n"/>
    </row>
    <row r="124">
      <c r="A124" s="14" t="inlineStr">
        <is>
          <t>Line Item</t>
        </is>
      </c>
      <c r="B124" s="14" t="inlineStr">
        <is>
          <t>AAH Mapping Key</t>
        </is>
      </c>
      <c r="C124" s="14" t="inlineStr">
        <is>
          <t>Current Period</t>
        </is>
      </c>
      <c r="D124" s="14" t="inlineStr">
        <is>
          <t>Previous Period</t>
        </is>
      </c>
      <c r="E124" s="14" t="inlineStr">
        <is>
          <t>Calculation / Rule</t>
        </is>
      </c>
      <c r="F124" s="14" t="inlineStr">
        <is>
          <t>Status</t>
        </is>
      </c>
      <c r="G124" s="14" t="inlineStr">
        <is>
          <t>Remarks</t>
        </is>
      </c>
    </row>
    <row r="125">
      <c r="A125" s="17" t="inlineStr">
        <is>
          <t>Total comprehensive income / profit</t>
        </is>
      </c>
      <c r="B125" s="17" t="inlineStr">
        <is>
          <t>TR_PROFIT</t>
        </is>
      </c>
      <c r="C125" s="121" t="n">
        <v>0</v>
      </c>
      <c r="D125" s="121" t="n">
        <v>0</v>
      </c>
      <c r="E125" s="17" t="inlineStr">
        <is>
          <t>To be populated/calculated by AAH mapping engine</t>
        </is>
      </c>
      <c r="F125" s="17" t="str"/>
      <c r="G125" s="80" t="str"/>
    </row>
    <row r="126">
      <c r="A126" s="17" t="inlineStr">
        <is>
          <t>Fair value movement not in P&amp;L</t>
        </is>
      </c>
      <c r="B126" s="17" t="inlineStr">
        <is>
          <t>TR_FV</t>
        </is>
      </c>
      <c r="C126" s="121" t="n">
        <v>0</v>
      </c>
      <c r="D126" s="121" t="n">
        <v>0</v>
      </c>
      <c r="E126" s="17" t="inlineStr">
        <is>
          <t>To be populated/calculated by AAH mapping engine</t>
        </is>
      </c>
      <c r="F126" s="17" t="str"/>
      <c r="G126" s="80" t="str"/>
    </row>
    <row r="127">
      <c r="A127" s="17" t="inlineStr">
        <is>
          <t>Distributions</t>
        </is>
      </c>
      <c r="B127" s="17" t="inlineStr">
        <is>
          <t>TR_DIST</t>
        </is>
      </c>
      <c r="C127" s="121" t="n">
        <v>0</v>
      </c>
      <c r="D127" s="121" t="n">
        <v>0</v>
      </c>
      <c r="E127" s="17" t="inlineStr">
        <is>
          <t>To be populated/calculated by AAH mapping engine</t>
        </is>
      </c>
      <c r="F127" s="17" t="str"/>
      <c r="G127" s="80" t="str"/>
    </row>
    <row r="128">
      <c r="A128" s="17" t="inlineStr">
        <is>
          <t>Total return at fair value</t>
        </is>
      </c>
      <c r="B128" s="17" t="inlineStr">
        <is>
          <t>TR_TOTAL</t>
        </is>
      </c>
      <c r="C128" s="121" t="n">
        <v>0</v>
      </c>
      <c r="D128" s="121" t="n">
        <v>0</v>
      </c>
      <c r="E128" s="17" t="inlineStr">
        <is>
          <t>To be populated/calculated by AAH mapping engine</t>
        </is>
      </c>
      <c r="F128" s="17" t="str"/>
      <c r="G128" s="80" t="str"/>
    </row>
    <row r="129">
      <c r="A129" s="17" t="n"/>
      <c r="B129" s="17" t="n"/>
      <c r="C129" s="17" t="n"/>
      <c r="D129" s="17" t="n"/>
      <c r="E129" s="17" t="n"/>
      <c r="F129" s="17" t="n"/>
      <c r="G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 ht="26" customHeight="1" s="82">
      <c r="A131" s="79" t="inlineStr">
        <is>
          <t>NDCF / Distribution Statement</t>
        </is>
      </c>
      <c r="B131" s="1" t="n"/>
      <c r="C131" s="1" t="n"/>
      <c r="D131" s="1" t="n"/>
      <c r="E131" s="1" t="n"/>
      <c r="F131" s="1" t="n"/>
      <c r="G131" s="1" t="n"/>
    </row>
    <row r="132">
      <c r="A132" s="14" t="inlineStr">
        <is>
          <t>Line Item</t>
        </is>
      </c>
      <c r="B132" s="14" t="inlineStr">
        <is>
          <t>AAH Mapping Key</t>
        </is>
      </c>
      <c r="C132" s="14" t="inlineStr">
        <is>
          <t>Current Period</t>
        </is>
      </c>
      <c r="D132" s="14" t="inlineStr">
        <is>
          <t>Previous Period</t>
        </is>
      </c>
      <c r="E132" s="14" t="inlineStr">
        <is>
          <t>Calculation / Rule</t>
        </is>
      </c>
      <c r="F132" s="14" t="inlineStr">
        <is>
          <t>Status</t>
        </is>
      </c>
      <c r="G132" s="14" t="inlineStr">
        <is>
          <t>Remarks</t>
        </is>
      </c>
    </row>
    <row r="133">
      <c r="A133" s="17" t="inlineStr">
        <is>
          <t>Cash flows from operating assets / SPVs</t>
        </is>
      </c>
      <c r="B133" s="17" t="inlineStr">
        <is>
          <t>NDCF_OP</t>
        </is>
      </c>
      <c r="C133" s="121" t="n">
        <v>0</v>
      </c>
      <c r="D133" s="121" t="n">
        <v>0</v>
      </c>
      <c r="E133" s="17" t="inlineStr">
        <is>
          <t>To be populated/calculated by AAH mapping engine</t>
        </is>
      </c>
      <c r="F133" s="17" t="str"/>
      <c r="G133" s="80" t="str"/>
    </row>
    <row r="134">
      <c r="A134" s="17" t="inlineStr">
        <is>
          <t>Finance costs / debt service adjustments</t>
        </is>
      </c>
      <c r="B134" s="17" t="inlineStr">
        <is>
          <t>NDCF_DEBT</t>
        </is>
      </c>
      <c r="C134" s="121" t="n">
        <v>0</v>
      </c>
      <c r="D134" s="121" t="n">
        <v>0</v>
      </c>
      <c r="E134" s="17" t="inlineStr">
        <is>
          <t>To be populated/calculated by AAH mapping engine</t>
        </is>
      </c>
      <c r="F134" s="17" t="str"/>
      <c r="G134" s="80" t="str"/>
    </row>
    <row r="135">
      <c r="A135" s="17" t="inlineStr">
        <is>
          <t>Capex / reserve adjustments</t>
        </is>
      </c>
      <c r="B135" s="17" t="inlineStr">
        <is>
          <t>NDCF_CAPEX</t>
        </is>
      </c>
      <c r="C135" s="121" t="n">
        <v>0</v>
      </c>
      <c r="D135" s="121" t="n">
        <v>0</v>
      </c>
      <c r="E135" s="17" t="inlineStr">
        <is>
          <t>To be populated/calculated by AAH mapping engine</t>
        </is>
      </c>
      <c r="F135" s="17" t="str"/>
      <c r="G135" s="80" t="str"/>
    </row>
    <row r="136">
      <c r="A136" s="17" t="inlineStr">
        <is>
          <t>Other permitted adjustments</t>
        </is>
      </c>
      <c r="B136" s="17" t="inlineStr">
        <is>
          <t>NDCF_OTHER</t>
        </is>
      </c>
      <c r="C136" s="121" t="n">
        <v>0</v>
      </c>
      <c r="D136" s="121" t="n">
        <v>0</v>
      </c>
      <c r="E136" s="17" t="inlineStr">
        <is>
          <t>To be populated/calculated by AAH mapping engine</t>
        </is>
      </c>
      <c r="F136" s="17" t="str"/>
      <c r="G136" s="80" t="str"/>
    </row>
    <row r="137">
      <c r="A137" s="17" t="inlineStr">
        <is>
          <t>Net distributable cash flow</t>
        </is>
      </c>
      <c r="B137" s="17" t="inlineStr">
        <is>
          <t>NDCF_NET</t>
        </is>
      </c>
      <c r="C137" s="121" t="n">
        <v>0</v>
      </c>
      <c r="D137" s="121" t="n">
        <v>0</v>
      </c>
      <c r="E137" s="17" t="inlineStr">
        <is>
          <t>To be populated/calculated by AAH mapping engine</t>
        </is>
      </c>
      <c r="F137" s="17" t="str"/>
      <c r="G137" s="80" t="str"/>
    </row>
    <row r="138">
      <c r="A138" s="17" t="inlineStr">
        <is>
          <t>Distribution declared</t>
        </is>
      </c>
      <c r="B138" s="17" t="inlineStr">
        <is>
          <t>NDCF_DIST</t>
        </is>
      </c>
      <c r="C138" s="121" t="n">
        <v>0</v>
      </c>
      <c r="D138" s="121" t="n">
        <v>0</v>
      </c>
      <c r="E138" s="17" t="inlineStr">
        <is>
          <t>To be populated/calculated by AAH mapping engine</t>
        </is>
      </c>
      <c r="F138" s="17" t="str"/>
      <c r="G138" s="80" t="str"/>
    </row>
    <row r="139">
      <c r="A139" s="17" t="inlineStr">
        <is>
          <t>Balance carried forward</t>
        </is>
      </c>
      <c r="B139" s="17" t="inlineStr">
        <is>
          <t>NDCF_BAL</t>
        </is>
      </c>
      <c r="C139" s="121" t="n">
        <v>0</v>
      </c>
      <c r="D139" s="121" t="n">
        <v>0</v>
      </c>
      <c r="E139" s="17" t="inlineStr">
        <is>
          <t>To be populated/calculated by AAH mapping engine</t>
        </is>
      </c>
      <c r="F139" s="17" t="str"/>
      <c r="G139" s="80" t="str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</row>
    <row r="142" ht="26" customHeight="1" s="82">
      <c r="A142" s="79" t="inlineStr">
        <is>
          <t>Validation</t>
        </is>
      </c>
      <c r="B142" s="1" t="n"/>
      <c r="C142" s="1" t="n"/>
      <c r="D142" s="1" t="n"/>
      <c r="E142" s="17" t="n"/>
      <c r="F142" s="17" t="n"/>
      <c r="G142" s="17" t="n"/>
    </row>
    <row r="143">
      <c r="A143" s="14" t="inlineStr">
        <is>
          <t>Check</t>
        </is>
      </c>
      <c r="B143" s="14" t="inlineStr">
        <is>
          <t>Current Period</t>
        </is>
      </c>
      <c r="C143" s="14" t="inlineStr">
        <is>
          <t>Previous Period</t>
        </is>
      </c>
      <c r="D143" s="14" t="inlineStr">
        <is>
          <t>Result</t>
        </is>
      </c>
      <c r="E143" s="17" t="n"/>
      <c r="F143" s="17" t="n"/>
      <c r="G143" s="17" t="n"/>
    </row>
    <row r="144">
      <c r="A144" s="17" t="inlineStr">
        <is>
          <t>Balance Sheet difference</t>
        </is>
      </c>
      <c r="B144" s="17">
        <f>C15-C23</f>
        <v/>
      </c>
      <c r="C144" s="17">
        <f>D15-D23</f>
        <v/>
      </c>
      <c r="D144" s="17">
        <f>IF(AND(ABS(B144)&lt;1,ABS(C144)&lt;1),"PASS","CHECK")</f>
        <v/>
      </c>
      <c r="E144" s="17" t="n"/>
      <c r="F144" s="17" t="n"/>
      <c r="G144" s="17" t="n"/>
    </row>
    <row r="145">
      <c r="A145" s="17" t="inlineStr">
        <is>
          <t>Notes / disclosures</t>
        </is>
      </c>
      <c r="B145" s="17" t="inlineStr">
        <is>
          <t>Review</t>
        </is>
      </c>
      <c r="C145" s="17" t="inlineStr">
        <is>
          <t>Review</t>
        </is>
      </c>
      <c r="D145" s="17" t="inlineStr">
        <is>
          <t>Review</t>
        </is>
      </c>
      <c r="E145" s="17" t="n"/>
      <c r="F145" s="17" t="n"/>
      <c r="G145" s="17" t="n"/>
    </row>
    <row r="146">
      <c r="A146" s="17" t="inlineStr">
        <is>
          <t>Profile readiness</t>
        </is>
      </c>
      <c r="B146" s="17" t="str"/>
      <c r="C146" s="17" t="str"/>
      <c r="D146" s="17">
        <f>IF(D144="PASS","READY FOR REVIEW","NOT READY")</f>
        <v/>
      </c>
      <c r="E146" s="17" t="n"/>
      <c r="F146" s="17" t="n"/>
      <c r="G146" s="17" t="n"/>
    </row>
    <row r="147"/>
    <row r="148"/>
    <row r="149"/>
    <row r="150">
      <c r="A150" s="101" t="inlineStr">
        <is>
          <t>Signatures / Certification</t>
        </is>
      </c>
      <c r="B150" s="101" t="str"/>
      <c r="C150" s="101" t="str"/>
      <c r="D150" s="101" t="str"/>
      <c r="E150" s="101" t="str"/>
      <c r="F150" s="101" t="str"/>
    </row>
    <row r="151">
      <c r="A151" s="112" t="inlineStr">
        <is>
          <t>Entity Signatory</t>
        </is>
      </c>
      <c r="B151" s="104">
        <f>'AAH Basic Info'!B13</f>
        <v/>
      </c>
      <c r="C151" s="115" t="inlineStr">
        <is>
          <t>Designation</t>
        </is>
      </c>
      <c r="D151" s="104">
        <f>'AAH Basic Info'!B14</f>
        <v/>
      </c>
      <c r="E151" s="115" t="inlineStr">
        <is>
          <t>DIN</t>
        </is>
      </c>
      <c r="F151" s="105">
        <f>'AAH Basic Info'!B15</f>
        <v/>
      </c>
    </row>
    <row r="152">
      <c r="A152" s="113" t="inlineStr">
        <is>
          <t>Signing Date</t>
        </is>
      </c>
      <c r="B152" s="107">
        <f>'AAH Basic Info'!B16</f>
        <v/>
      </c>
      <c r="C152" s="116" t="inlineStr">
        <is>
          <t>Place</t>
        </is>
      </c>
      <c r="D152" s="107">
        <f>'AAH Basic Info'!B17</f>
        <v/>
      </c>
      <c r="E152" s="116" t="str"/>
      <c r="F152" s="108" t="str"/>
    </row>
    <row r="153">
      <c r="A153" s="113" t="inlineStr">
        <is>
          <t>Audit Firm</t>
        </is>
      </c>
      <c r="B153" s="107">
        <f>'AAH Basic Info'!B18</f>
        <v/>
      </c>
      <c r="C153" s="116" t="inlineStr">
        <is>
          <t>FRN</t>
        </is>
      </c>
      <c r="D153" s="107">
        <f>'AAH Basic Info'!B19</f>
        <v/>
      </c>
      <c r="E153" s="116" t="str"/>
      <c r="F153" s="108" t="str"/>
    </row>
    <row r="154">
      <c r="A154" s="113" t="inlineStr">
        <is>
          <t>Signing CA</t>
        </is>
      </c>
      <c r="B154" s="107">
        <f>'AAH Basic Info'!B20</f>
        <v/>
      </c>
      <c r="C154" s="116" t="inlineStr">
        <is>
          <t>Designation</t>
        </is>
      </c>
      <c r="D154" s="107">
        <f>'AAH Basic Info'!B21</f>
        <v/>
      </c>
      <c r="E154" s="116" t="inlineStr">
        <is>
          <t>Membership No.</t>
        </is>
      </c>
      <c r="F154" s="108">
        <f>'AAH Basic Info'!B22</f>
        <v/>
      </c>
    </row>
    <row r="155">
      <c r="A155" s="114" t="inlineStr">
        <is>
          <t>Audit Place</t>
        </is>
      </c>
      <c r="B155" s="110">
        <f>'AAH Basic Info'!B23</f>
        <v/>
      </c>
      <c r="C155" s="117" t="inlineStr">
        <is>
          <t>Signing Date</t>
        </is>
      </c>
      <c r="D155" s="110">
        <f>'AAH Basic Info'!B30</f>
        <v/>
      </c>
      <c r="E155" s="117" t="str"/>
      <c r="F155" s="111" t="str"/>
    </row>
  </sheetData>
  <mergeCells count="11">
    <mergeCell ref="A123:G123"/>
    <mergeCell ref="A89:G89"/>
    <mergeCell ref="A1:G1"/>
    <mergeCell ref="A6:D6"/>
    <mergeCell ref="A114:G114"/>
    <mergeCell ref="A26:D26"/>
    <mergeCell ref="A131:G131"/>
    <mergeCell ref="A2:G2"/>
    <mergeCell ref="A142:D142"/>
    <mergeCell ref="A41:G41"/>
    <mergeCell ref="A103:G10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48" customWidth="1" style="82" min="1" max="1"/>
    <col width="18" customWidth="1" style="82" min="2" max="2"/>
    <col width="18" customWidth="1" style="82" min="3" max="3"/>
    <col width="18" customWidth="1" style="82" min="4" max="4"/>
    <col width="18" customWidth="1" style="82" min="5" max="5"/>
    <col width="18" customWidth="1" style="82" min="6" max="6"/>
    <col width="46" customWidth="1" style="82" min="7" max="7"/>
  </cols>
  <sheetData>
    <row r="1" ht="26" customHeight="1" s="82">
      <c r="A1" s="18" t="inlineStr">
        <is>
          <t>Infrastructure Investment Trust</t>
        </is>
      </c>
      <c r="B1" s="1" t="n"/>
      <c r="C1" s="1" t="n"/>
      <c r="D1" s="1" t="n"/>
      <c r="E1" s="1" t="n"/>
      <c r="F1" s="1" t="n"/>
      <c r="G1" s="1" t="n"/>
    </row>
    <row r="2">
      <c r="A2" s="69" t="inlineStr">
        <is>
          <t>Authority: SEBI | Official source: https://www.sebi.gov.in/sebi_data/attachdocs/jul-2025/1752576381910.pdf</t>
        </is>
      </c>
      <c r="B2" s="1" t="n"/>
      <c r="C2" s="1" t="n"/>
      <c r="D2" s="1" t="n"/>
      <c r="E2" s="1" t="n"/>
      <c r="F2" s="1" t="n"/>
      <c r="G2" s="1" t="n"/>
    </row>
    <row r="3">
      <c r="A3" s="100">
        <f>IF('AAH Basic Info'!B5="","","Address: "&amp;'AAH Basic Info'!B5)</f>
        <v/>
      </c>
      <c r="B3" s="100">
        <f>IF('AAH Basic Info'!B6="","","PAN: "&amp;'AAH Basic Info'!B6)</f>
        <v/>
      </c>
      <c r="C3" s="100">
        <f>IF('AAH Basic Info'!B7="","","GSTIN: "&amp;'AAH Basic Info'!B7)</f>
        <v/>
      </c>
      <c r="D3" s="100">
        <f>IF('AAH Basic Info'!B27="","",'AAH Basic Info'!B27)</f>
        <v/>
      </c>
      <c r="E3" s="100" t="n"/>
      <c r="F3" s="17" t="n"/>
      <c r="G3" s="17" t="n"/>
    </row>
    <row r="4">
      <c r="A4" s="14" t="inlineStr">
        <is>
          <t>Entity Name</t>
        </is>
      </c>
      <c r="B4" s="14" t="inlineStr">
        <is>
          <t>Current Period</t>
        </is>
      </c>
      <c r="C4" s="14" t="inlineStr">
        <is>
          <t>Previous Period</t>
        </is>
      </c>
      <c r="D4" s="14" t="inlineStr">
        <is>
          <t>Presentation Unit</t>
        </is>
      </c>
      <c r="E4" s="14" t="inlineStr">
        <is>
          <t>Standalone / Consolidated</t>
        </is>
      </c>
      <c r="F4" s="17" t="n"/>
      <c r="G4" s="17" t="n"/>
    </row>
    <row r="5">
      <c r="A5" s="59">
        <f>IF('AAH Basic Info'!B3="","",'AAH Basic Info'!B3)</f>
        <v/>
      </c>
      <c r="B5" s="59">
        <f>IF('AAH Basic Info'!B9="","",'AAH Basic Info'!B9)</f>
        <v/>
      </c>
      <c r="C5" s="59">
        <f>IF('AAH Basic Info'!B10="","",'AAH Basic Info'!B10)</f>
        <v/>
      </c>
      <c r="D5" s="59">
        <f>IF('AAH Basic Info'!B24="","",'AAH Basic Info'!B24)</f>
        <v/>
      </c>
      <c r="E5" s="59">
        <f>IF('AAH Basic Info'!B25="","",'AAH Basic Info'!B25)</f>
        <v/>
      </c>
      <c r="F5" s="17" t="n"/>
      <c r="G5" s="17" t="n"/>
    </row>
    <row r="6">
      <c r="A6" s="71" t="inlineStr">
        <is>
          <t>Statement of Assets and Liabilities / Balance Sheet</t>
        </is>
      </c>
      <c r="B6" s="1" t="n"/>
      <c r="C6" s="1" t="n"/>
      <c r="D6" s="1" t="n"/>
      <c r="E6" s="17" t="n"/>
      <c r="F6" s="17" t="n"/>
      <c r="G6" s="17" t="n"/>
    </row>
    <row r="7">
      <c r="A7" s="14" t="inlineStr">
        <is>
          <t>Particulars</t>
        </is>
      </c>
      <c r="B7" s="14" t="inlineStr">
        <is>
          <t>Note No.</t>
        </is>
      </c>
      <c r="C7" s="14" t="inlineStr">
        <is>
          <t>Current Reporting Period</t>
        </is>
      </c>
      <c r="D7" s="14" t="inlineStr">
        <is>
          <t>Previous Reporting Period</t>
        </is>
      </c>
      <c r="E7" s="17" t="n"/>
      <c r="F7" s="17" t="n"/>
      <c r="G7" s="17" t="n"/>
    </row>
    <row r="8">
      <c r="A8" s="42" t="inlineStr">
        <is>
          <t>ASSETS</t>
        </is>
      </c>
      <c r="B8" s="42" t="str"/>
      <c r="C8" s="118" t="n"/>
      <c r="D8" s="118" t="n"/>
      <c r="E8" s="17" t="n"/>
      <c r="F8" s="17" t="n"/>
      <c r="G8" s="17" t="n"/>
    </row>
    <row r="9">
      <c r="A9" s="17" t="inlineStr">
        <is>
          <t>Investment Property / Infrastructure Assets</t>
        </is>
      </c>
      <c r="B9" s="17" t="inlineStr">
        <is>
          <t>3</t>
        </is>
      </c>
      <c r="C9" s="120">
        <f>E48</f>
        <v/>
      </c>
      <c r="D9" s="120">
        <f>F48</f>
        <v/>
      </c>
      <c r="E9" s="17" t="n"/>
      <c r="F9" s="17" t="n"/>
      <c r="G9" s="17" t="n"/>
    </row>
    <row r="10">
      <c r="A10" s="17" t="inlineStr">
        <is>
          <t>Property, Plant and Equipment</t>
        </is>
      </c>
      <c r="B10" s="17" t="inlineStr">
        <is>
          <t>4</t>
        </is>
      </c>
      <c r="C10" s="120">
        <f>E50</f>
        <v/>
      </c>
      <c r="D10" s="120">
        <f>F50</f>
        <v/>
      </c>
      <c r="E10" s="17" t="n"/>
      <c r="F10" s="17" t="n"/>
      <c r="G10" s="17" t="n"/>
    </row>
    <row r="11">
      <c r="A11" s="17" t="inlineStr">
        <is>
          <t>Investments in SPVs / HoldCos</t>
        </is>
      </c>
      <c r="B11" s="17" t="inlineStr">
        <is>
          <t>5</t>
        </is>
      </c>
      <c r="C11" s="120">
        <f>E52</f>
        <v/>
      </c>
      <c r="D11" s="120">
        <f>F52</f>
        <v/>
      </c>
      <c r="E11" s="17" t="n"/>
      <c r="F11" s="17" t="n"/>
      <c r="G11" s="17" t="n"/>
    </row>
    <row r="12">
      <c r="A12" s="17" t="inlineStr">
        <is>
          <t>Other Financial Assets</t>
        </is>
      </c>
      <c r="B12" s="17" t="inlineStr">
        <is>
          <t>6</t>
        </is>
      </c>
      <c r="C12" s="120">
        <f>E54</f>
        <v/>
      </c>
      <c r="D12" s="120">
        <f>F54</f>
        <v/>
      </c>
      <c r="E12" s="17" t="n"/>
      <c r="F12" s="17" t="n"/>
      <c r="G12" s="17" t="n"/>
    </row>
    <row r="13">
      <c r="A13" s="17" t="inlineStr">
        <is>
          <t>Cash and Bank Balances</t>
        </is>
      </c>
      <c r="B13" s="17" t="inlineStr">
        <is>
          <t>7</t>
        </is>
      </c>
      <c r="C13" s="120">
        <f>E56</f>
        <v/>
      </c>
      <c r="D13" s="120">
        <f>F56</f>
        <v/>
      </c>
      <c r="E13" s="17" t="n"/>
      <c r="F13" s="17" t="n"/>
      <c r="G13" s="17" t="n"/>
    </row>
    <row r="14">
      <c r="A14" s="17" t="inlineStr">
        <is>
          <t>Other Assets</t>
        </is>
      </c>
      <c r="B14" s="17" t="inlineStr">
        <is>
          <t>8</t>
        </is>
      </c>
      <c r="C14" s="120">
        <f>E58</f>
        <v/>
      </c>
      <c r="D14" s="120">
        <f>F58</f>
        <v/>
      </c>
      <c r="E14" s="17" t="n"/>
      <c r="F14" s="17" t="n"/>
      <c r="G14" s="17" t="n"/>
    </row>
    <row r="15">
      <c r="A15" s="65" t="inlineStr">
        <is>
          <t>TOTAL ASSETS</t>
        </is>
      </c>
      <c r="B15" s="65" t="str"/>
      <c r="C15" s="122">
        <f>SUM(C9,C10,C11,C12,C13,C14)</f>
        <v/>
      </c>
      <c r="D15" s="122">
        <f>SUM(D9,D10,D11,D12,D13,D14)</f>
        <v/>
      </c>
      <c r="E15" s="17" t="n"/>
      <c r="F15" s="17" t="n"/>
      <c r="G15" s="17" t="n"/>
    </row>
    <row r="16">
      <c r="A16" s="42" t="inlineStr">
        <is>
          <t>EQUITY AND LIABILITIES</t>
        </is>
      </c>
      <c r="B16" s="42" t="str"/>
      <c r="C16" s="118" t="n"/>
      <c r="D16" s="118" t="n"/>
      <c r="E16" s="17" t="n"/>
      <c r="F16" s="17" t="n"/>
      <c r="G16" s="17" t="n"/>
    </row>
    <row r="17">
      <c r="A17" s="17" t="inlineStr">
        <is>
          <t>Unit Capital</t>
        </is>
      </c>
      <c r="B17" s="17" t="inlineStr">
        <is>
          <t>1</t>
        </is>
      </c>
      <c r="C17" s="120">
        <f>E44</f>
        <v/>
      </c>
      <c r="D17" s="120">
        <f>F44</f>
        <v/>
      </c>
      <c r="E17" s="17" t="n"/>
      <c r="F17" s="17" t="n"/>
      <c r="G17" s="17" t="n"/>
    </row>
    <row r="18">
      <c r="A18" s="17" t="inlineStr">
        <is>
          <t>Other Equity / Reserves</t>
        </is>
      </c>
      <c r="B18" s="17" t="inlineStr">
        <is>
          <t>2</t>
        </is>
      </c>
      <c r="C18" s="120">
        <f>E46</f>
        <v/>
      </c>
      <c r="D18" s="120">
        <f>F46</f>
        <v/>
      </c>
      <c r="E18" s="17" t="n"/>
      <c r="F18" s="17" t="n"/>
      <c r="G18" s="17" t="n"/>
    </row>
    <row r="19">
      <c r="A19" s="17" t="inlineStr">
        <is>
          <t>Borrowings / Debt Securities</t>
        </is>
      </c>
      <c r="B19" s="17" t="inlineStr">
        <is>
          <t>9</t>
        </is>
      </c>
      <c r="C19" s="120">
        <f>E60</f>
        <v/>
      </c>
      <c r="D19" s="120">
        <f>F60</f>
        <v/>
      </c>
      <c r="E19" s="17" t="n"/>
      <c r="F19" s="17" t="n"/>
      <c r="G19" s="17" t="n"/>
    </row>
    <row r="20">
      <c r="A20" s="17" t="inlineStr">
        <is>
          <t>Trade and Other Payables</t>
        </is>
      </c>
      <c r="B20" s="17" t="inlineStr">
        <is>
          <t>10</t>
        </is>
      </c>
      <c r="C20" s="120">
        <f>E62</f>
        <v/>
      </c>
      <c r="D20" s="120">
        <f>F62</f>
        <v/>
      </c>
      <c r="E20" s="17" t="n"/>
      <c r="F20" s="17" t="n"/>
      <c r="G20" s="17" t="n"/>
    </row>
    <row r="21">
      <c r="A21" s="17" t="inlineStr">
        <is>
          <t>Other Financial Liabilities</t>
        </is>
      </c>
      <c r="B21" s="17" t="inlineStr">
        <is>
          <t>11</t>
        </is>
      </c>
      <c r="C21" s="120">
        <f>E64</f>
        <v/>
      </c>
      <c r="D21" s="120">
        <f>F64</f>
        <v/>
      </c>
      <c r="E21" s="17" t="n"/>
      <c r="F21" s="17" t="n"/>
      <c r="G21" s="17" t="n"/>
    </row>
    <row r="22">
      <c r="A22" s="17" t="inlineStr">
        <is>
          <t>Other Liabilities / Provisions</t>
        </is>
      </c>
      <c r="B22" s="17" t="inlineStr">
        <is>
          <t>12</t>
        </is>
      </c>
      <c r="C22" s="120">
        <f>E66</f>
        <v/>
      </c>
      <c r="D22" s="120">
        <f>F66</f>
        <v/>
      </c>
      <c r="E22" s="17" t="n"/>
      <c r="F22" s="17" t="n"/>
      <c r="G22" s="17" t="n"/>
    </row>
    <row r="23">
      <c r="A23" s="65" t="inlineStr">
        <is>
          <t>TOTAL EQUITY AND LIABILITIES</t>
        </is>
      </c>
      <c r="B23" s="65" t="str"/>
      <c r="C23" s="122">
        <f>SUM(C17,C18,C19,C20,C21,C22)</f>
        <v/>
      </c>
      <c r="D23" s="122">
        <f>SUM(D17,D18,D19,D20,D21,D22)</f>
        <v/>
      </c>
      <c r="E23" s="17" t="n"/>
      <c r="F23" s="17" t="n"/>
      <c r="G23" s="17" t="n"/>
    </row>
    <row r="24">
      <c r="A24" s="17" t="n"/>
      <c r="B24" s="17" t="n"/>
      <c r="C24" s="120" t="n"/>
      <c r="D24" s="120" t="n"/>
      <c r="E24" s="17" t="n"/>
      <c r="F24" s="17" t="n"/>
      <c r="G24" s="17" t="n"/>
    </row>
    <row r="25">
      <c r="A25" s="17" t="n"/>
      <c r="B25" s="17" t="n"/>
      <c r="C25" s="120" t="n"/>
      <c r="D25" s="120" t="n"/>
      <c r="E25" s="17" t="n"/>
      <c r="F25" s="17" t="n"/>
      <c r="G25" s="17" t="n"/>
    </row>
    <row r="26">
      <c r="A26" s="71" t="inlineStr">
        <is>
          <t>Statement of Profit and Loss</t>
        </is>
      </c>
      <c r="B26" s="1" t="n"/>
      <c r="C26" s="1" t="n"/>
      <c r="D26" s="1" t="n"/>
      <c r="E26" s="17" t="n"/>
      <c r="F26" s="17" t="n"/>
      <c r="G26" s="17" t="n"/>
    </row>
    <row r="27">
      <c r="A27" s="14" t="inlineStr">
        <is>
          <t>Particulars</t>
        </is>
      </c>
      <c r="B27" s="14" t="inlineStr">
        <is>
          <t>Note No.</t>
        </is>
      </c>
      <c r="C27" s="123" t="inlineStr">
        <is>
          <t>Current Reporting Period</t>
        </is>
      </c>
      <c r="D27" s="123" t="inlineStr">
        <is>
          <t>Previous Reporting Period</t>
        </is>
      </c>
      <c r="E27" s="17" t="n"/>
      <c r="F27" s="17" t="n"/>
      <c r="G27" s="17" t="n"/>
    </row>
    <row r="28">
      <c r="A28" s="17" t="inlineStr">
        <is>
          <t>Revenue from Operations</t>
        </is>
      </c>
      <c r="B28" s="17" t="inlineStr">
        <is>
          <t>13</t>
        </is>
      </c>
      <c r="C28" s="120">
        <f>E68</f>
        <v/>
      </c>
      <c r="D28" s="120">
        <f>F68</f>
        <v/>
      </c>
      <c r="E28" s="17" t="n"/>
      <c r="F28" s="17" t="n"/>
      <c r="G28" s="17" t="n"/>
    </row>
    <row r="29">
      <c r="A29" s="17" t="inlineStr">
        <is>
          <t>Other Income</t>
        </is>
      </c>
      <c r="B29" s="17" t="inlineStr">
        <is>
          <t>14</t>
        </is>
      </c>
      <c r="C29" s="120">
        <f>E70</f>
        <v/>
      </c>
      <c r="D29" s="120">
        <f>F70</f>
        <v/>
      </c>
      <c r="E29" s="17" t="n"/>
      <c r="F29" s="17" t="n"/>
      <c r="G29" s="17" t="n"/>
    </row>
    <row r="30">
      <c r="A30" s="65" t="inlineStr">
        <is>
          <t>TOTAL INCOME</t>
        </is>
      </c>
      <c r="B30" s="65" t="str"/>
      <c r="C30" s="122">
        <f>SUM(C28,C29)</f>
        <v/>
      </c>
      <c r="D30" s="122">
        <f>SUM(D28,D29)</f>
        <v/>
      </c>
      <c r="E30" s="17" t="n"/>
      <c r="F30" s="17" t="n"/>
      <c r="G30" s="17" t="n"/>
    </row>
    <row r="31">
      <c r="A31" s="42" t="inlineStr">
        <is>
          <t>EXPENSES</t>
        </is>
      </c>
      <c r="B31" s="42" t="str"/>
      <c r="C31" s="118" t="n"/>
      <c r="D31" s="118" t="n"/>
      <c r="E31" s="17" t="n"/>
      <c r="F31" s="17" t="n"/>
      <c r="G31" s="17" t="n"/>
    </row>
    <row r="32">
      <c r="A32" s="17" t="inlineStr">
        <is>
          <t>Finance Costs</t>
        </is>
      </c>
      <c r="B32" s="17" t="inlineStr">
        <is>
          <t>15</t>
        </is>
      </c>
      <c r="C32" s="120">
        <f>E72</f>
        <v/>
      </c>
      <c r="D32" s="120">
        <f>F72</f>
        <v/>
      </c>
      <c r="E32" s="17" t="n"/>
      <c r="F32" s="17" t="n"/>
      <c r="G32" s="17" t="n"/>
    </row>
    <row r="33">
      <c r="A33" s="17" t="inlineStr">
        <is>
          <t>Operating / Property Expenses</t>
        </is>
      </c>
      <c r="B33" s="17" t="inlineStr">
        <is>
          <t>16</t>
        </is>
      </c>
      <c r="C33" s="120">
        <f>E74</f>
        <v/>
      </c>
      <c r="D33" s="120">
        <f>F74</f>
        <v/>
      </c>
      <c r="E33" s="17" t="n"/>
      <c r="F33" s="17" t="n"/>
      <c r="G33" s="17" t="n"/>
    </row>
    <row r="34">
      <c r="A34" s="17" t="inlineStr">
        <is>
          <t>Manager / Employee Fees</t>
        </is>
      </c>
      <c r="B34" s="17" t="inlineStr">
        <is>
          <t>17</t>
        </is>
      </c>
      <c r="C34" s="120">
        <f>E76</f>
        <v/>
      </c>
      <c r="D34" s="120">
        <f>F76</f>
        <v/>
      </c>
      <c r="E34" s="17" t="n"/>
      <c r="F34" s="17" t="n"/>
      <c r="G34" s="17" t="n"/>
    </row>
    <row r="35">
      <c r="A35" s="17" t="inlineStr">
        <is>
          <t>Depreciation / Amortisation</t>
        </is>
      </c>
      <c r="B35" s="17" t="inlineStr">
        <is>
          <t>18</t>
        </is>
      </c>
      <c r="C35" s="120">
        <f>E78</f>
        <v/>
      </c>
      <c r="D35" s="120">
        <f>F78</f>
        <v/>
      </c>
      <c r="E35" s="17" t="n"/>
      <c r="F35" s="17" t="n"/>
      <c r="G35" s="17" t="n"/>
    </row>
    <row r="36">
      <c r="A36" s="17" t="inlineStr">
        <is>
          <t>Other Expenses</t>
        </is>
      </c>
      <c r="B36" s="17" t="inlineStr">
        <is>
          <t>19</t>
        </is>
      </c>
      <c r="C36" s="120">
        <f>E80</f>
        <v/>
      </c>
      <c r="D36" s="120">
        <f>F80</f>
        <v/>
      </c>
      <c r="E36" s="17" t="n"/>
      <c r="F36" s="17" t="n"/>
      <c r="G36" s="17" t="n"/>
    </row>
    <row r="37">
      <c r="A37" s="65" t="inlineStr">
        <is>
          <t>TOTAL EXPENSES</t>
        </is>
      </c>
      <c r="B37" s="65" t="str"/>
      <c r="C37" s="122">
        <f>SUM(C32,C33,C34,C35,C36)</f>
        <v/>
      </c>
      <c r="D37" s="122">
        <f>SUM(D32,D33,D34,D35,D36)</f>
        <v/>
      </c>
      <c r="E37" s="17" t="n"/>
      <c r="F37" s="17" t="n"/>
      <c r="G37" s="17" t="n"/>
    </row>
    <row r="38">
      <c r="A38" s="65" t="inlineStr">
        <is>
          <t>Profit / (Loss) for the Period</t>
        </is>
      </c>
      <c r="B38" s="65" t="str"/>
      <c r="C38" s="122">
        <f>C30-C37</f>
        <v/>
      </c>
      <c r="D38" s="122">
        <f>D30-D37</f>
        <v/>
      </c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 ht="26" customHeight="1" s="82">
      <c r="A41" s="79" t="inlineStr">
        <is>
          <t>Notes / Schedules — linked source for face statements</t>
        </is>
      </c>
      <c r="B41" s="1" t="n"/>
      <c r="C41" s="1" t="n"/>
      <c r="D41" s="1" t="n"/>
      <c r="E41" s="1" t="n"/>
      <c r="F41" s="1" t="n"/>
      <c r="G41" s="1" t="n"/>
    </row>
    <row r="42">
      <c r="A42" s="14" t="inlineStr">
        <is>
          <t>Note</t>
        </is>
      </c>
      <c r="B42" s="14" t="inlineStr">
        <is>
          <t>Note Title</t>
        </is>
      </c>
      <c r="C42" s="14" t="inlineStr">
        <is>
          <t>Statutory Line Item</t>
        </is>
      </c>
      <c r="D42" s="14" t="inlineStr">
        <is>
          <t>AAH Mapping Key</t>
        </is>
      </c>
      <c r="E42" s="14" t="inlineStr">
        <is>
          <t>Current Period</t>
        </is>
      </c>
      <c r="F42" s="14" t="inlineStr">
        <is>
          <t>Previous Period</t>
        </is>
      </c>
      <c r="G42" s="14" t="inlineStr">
        <is>
          <t>Disclosure / Remarks</t>
        </is>
      </c>
    </row>
    <row r="43">
      <c r="A43" s="17" t="inlineStr">
        <is>
          <t>1</t>
        </is>
      </c>
      <c r="B43" s="17" t="inlineStr">
        <is>
          <t>Unit Capital</t>
        </is>
      </c>
      <c r="C43" s="17" t="inlineStr">
        <is>
          <t>Unit capital</t>
        </is>
      </c>
      <c r="D43" s="17" t="inlineStr">
        <is>
          <t>UNIT_CAP</t>
        </is>
      </c>
      <c r="E43" s="121" t="n">
        <v>0</v>
      </c>
      <c r="F43" s="121" t="n">
        <v>0</v>
      </c>
      <c r="G43" s="59" t="str"/>
    </row>
    <row r="44">
      <c r="A44" s="65" t="inlineStr">
        <is>
          <t>1</t>
        </is>
      </c>
      <c r="B44" s="65" t="inlineStr">
        <is>
          <t>Unit Capital</t>
        </is>
      </c>
      <c r="C44" s="65" t="inlineStr">
        <is>
          <t>Total — Unit Capital</t>
        </is>
      </c>
      <c r="D44" s="65" t="inlineStr">
        <is>
          <t>__TOTAL__</t>
        </is>
      </c>
      <c r="E44" s="122">
        <f>SUM(E43:E43)</f>
        <v/>
      </c>
      <c r="F44" s="122">
        <f>SUM(F43:F43)</f>
        <v/>
      </c>
      <c r="G44" s="65" t="str"/>
    </row>
    <row r="45">
      <c r="A45" s="17" t="inlineStr">
        <is>
          <t>2</t>
        </is>
      </c>
      <c r="B45" s="17" t="inlineStr">
        <is>
          <t>Other Equity / Reserves</t>
        </is>
      </c>
      <c r="C45" s="17" t="inlineStr">
        <is>
          <t>Other equity / reserves</t>
        </is>
      </c>
      <c r="D45" s="17" t="inlineStr">
        <is>
          <t>OTHER_EQ</t>
        </is>
      </c>
      <c r="E45" s="121" t="n">
        <v>0</v>
      </c>
      <c r="F45" s="121" t="n">
        <v>0</v>
      </c>
      <c r="G45" s="59" t="str"/>
    </row>
    <row r="46">
      <c r="A46" s="65" t="inlineStr">
        <is>
          <t>2</t>
        </is>
      </c>
      <c r="B46" s="65" t="inlineStr">
        <is>
          <t>Other Equity / Reserves</t>
        </is>
      </c>
      <c r="C46" s="65" t="inlineStr">
        <is>
          <t>Total — Other Equity / Reserves</t>
        </is>
      </c>
      <c r="D46" s="65" t="inlineStr">
        <is>
          <t>__TOTAL__</t>
        </is>
      </c>
      <c r="E46" s="122">
        <f>SUM(E45:E45)</f>
        <v/>
      </c>
      <c r="F46" s="122">
        <f>SUM(F45:F45)</f>
        <v/>
      </c>
      <c r="G46" s="65" t="str"/>
    </row>
    <row r="47">
      <c r="A47" s="17" t="inlineStr">
        <is>
          <t>3</t>
        </is>
      </c>
      <c r="B47" s="17" t="inlineStr">
        <is>
          <t>Investment Property / Infrastructure Assets</t>
        </is>
      </c>
      <c r="C47" s="17" t="inlineStr">
        <is>
          <t>Investment property / infrastructure assets</t>
        </is>
      </c>
      <c r="D47" s="17" t="inlineStr">
        <is>
          <t>INV_ASSET</t>
        </is>
      </c>
      <c r="E47" s="121" t="n">
        <v>0</v>
      </c>
      <c r="F47" s="121" t="n">
        <v>0</v>
      </c>
      <c r="G47" s="59" t="str"/>
    </row>
    <row r="48">
      <c r="A48" s="65" t="inlineStr">
        <is>
          <t>3</t>
        </is>
      </c>
      <c r="B48" s="65" t="inlineStr">
        <is>
          <t>Investment Property / Infrastructure Assets</t>
        </is>
      </c>
      <c r="C48" s="65" t="inlineStr">
        <is>
          <t>Total — Investment Property / Infrastructure Assets</t>
        </is>
      </c>
      <c r="D48" s="65" t="inlineStr">
        <is>
          <t>__TOTAL__</t>
        </is>
      </c>
      <c r="E48" s="122">
        <f>SUM(E47:E47)</f>
        <v/>
      </c>
      <c r="F48" s="122">
        <f>SUM(F47:F47)</f>
        <v/>
      </c>
      <c r="G48" s="65" t="str"/>
    </row>
    <row r="49">
      <c r="A49" s="17" t="inlineStr">
        <is>
          <t>4</t>
        </is>
      </c>
      <c r="B49" s="17" t="inlineStr">
        <is>
          <t>Property, Plant and Equipment</t>
        </is>
      </c>
      <c r="C49" s="17" t="inlineStr">
        <is>
          <t>PPE</t>
        </is>
      </c>
      <c r="D49" s="17" t="inlineStr">
        <is>
          <t>PPE</t>
        </is>
      </c>
      <c r="E49" s="121" t="n">
        <v>0</v>
      </c>
      <c r="F49" s="121" t="n">
        <v>0</v>
      </c>
      <c r="G49" s="59" t="str"/>
    </row>
    <row r="50">
      <c r="A50" s="65" t="inlineStr">
        <is>
          <t>4</t>
        </is>
      </c>
      <c r="B50" s="65" t="inlineStr">
        <is>
          <t>Property, Plant and Equipment</t>
        </is>
      </c>
      <c r="C50" s="65" t="inlineStr">
        <is>
          <t>Total — Property, Plant and Equipment</t>
        </is>
      </c>
      <c r="D50" s="65" t="inlineStr">
        <is>
          <t>__TOTAL__</t>
        </is>
      </c>
      <c r="E50" s="122">
        <f>SUM(E49:E49)</f>
        <v/>
      </c>
      <c r="F50" s="122">
        <f>SUM(F49:F49)</f>
        <v/>
      </c>
      <c r="G50" s="65" t="str"/>
    </row>
    <row r="51">
      <c r="A51" s="17" t="inlineStr">
        <is>
          <t>5</t>
        </is>
      </c>
      <c r="B51" s="17" t="inlineStr">
        <is>
          <t>Investments in SPVs / HoldCos</t>
        </is>
      </c>
      <c r="C51" s="17" t="inlineStr">
        <is>
          <t>Investments in SPVs / HoldCos</t>
        </is>
      </c>
      <c r="D51" s="17" t="inlineStr">
        <is>
          <t>INV_SPV</t>
        </is>
      </c>
      <c r="E51" s="121" t="n">
        <v>0</v>
      </c>
      <c r="F51" s="121" t="n">
        <v>0</v>
      </c>
      <c r="G51" s="59" t="str"/>
    </row>
    <row r="52">
      <c r="A52" s="65" t="inlineStr">
        <is>
          <t>5</t>
        </is>
      </c>
      <c r="B52" s="65" t="inlineStr">
        <is>
          <t>Investments in SPVs / HoldCos</t>
        </is>
      </c>
      <c r="C52" s="65" t="inlineStr">
        <is>
          <t>Total — Investments in SPVs / HoldCos</t>
        </is>
      </c>
      <c r="D52" s="65" t="inlineStr">
        <is>
          <t>__TOTAL__</t>
        </is>
      </c>
      <c r="E52" s="122">
        <f>SUM(E51:E51)</f>
        <v/>
      </c>
      <c r="F52" s="122">
        <f>SUM(F51:F51)</f>
        <v/>
      </c>
      <c r="G52" s="65" t="str"/>
    </row>
    <row r="53">
      <c r="A53" s="17" t="inlineStr">
        <is>
          <t>6</t>
        </is>
      </c>
      <c r="B53" s="17" t="inlineStr">
        <is>
          <t>Other Financial Assets</t>
        </is>
      </c>
      <c r="C53" s="17" t="inlineStr">
        <is>
          <t>Other financial assets</t>
        </is>
      </c>
      <c r="D53" s="17" t="inlineStr">
        <is>
          <t>OFA</t>
        </is>
      </c>
      <c r="E53" s="121" t="n">
        <v>0</v>
      </c>
      <c r="F53" s="121" t="n">
        <v>0</v>
      </c>
      <c r="G53" s="59" t="str"/>
    </row>
    <row r="54">
      <c r="A54" s="65" t="inlineStr">
        <is>
          <t>6</t>
        </is>
      </c>
      <c r="B54" s="65" t="inlineStr">
        <is>
          <t>Other Financial Assets</t>
        </is>
      </c>
      <c r="C54" s="65" t="inlineStr">
        <is>
          <t>Total — Other Financial Assets</t>
        </is>
      </c>
      <c r="D54" s="65" t="inlineStr">
        <is>
          <t>__TOTAL__</t>
        </is>
      </c>
      <c r="E54" s="122">
        <f>SUM(E53:E53)</f>
        <v/>
      </c>
      <c r="F54" s="122">
        <f>SUM(F53:F53)</f>
        <v/>
      </c>
      <c r="G54" s="65" t="str"/>
    </row>
    <row r="55">
      <c r="A55" s="17" t="inlineStr">
        <is>
          <t>7</t>
        </is>
      </c>
      <c r="B55" s="17" t="inlineStr">
        <is>
          <t>Cash and Bank Balances</t>
        </is>
      </c>
      <c r="C55" s="17" t="inlineStr">
        <is>
          <t>Cash and bank balances</t>
        </is>
      </c>
      <c r="D55" s="17" t="inlineStr">
        <is>
          <t>CASH</t>
        </is>
      </c>
      <c r="E55" s="121" t="n">
        <v>0</v>
      </c>
      <c r="F55" s="121" t="n">
        <v>0</v>
      </c>
      <c r="G55" s="59" t="str"/>
    </row>
    <row r="56">
      <c r="A56" s="65" t="inlineStr">
        <is>
          <t>7</t>
        </is>
      </c>
      <c r="B56" s="65" t="inlineStr">
        <is>
          <t>Cash and Bank Balances</t>
        </is>
      </c>
      <c r="C56" s="65" t="inlineStr">
        <is>
          <t>Total — Cash and Bank Balances</t>
        </is>
      </c>
      <c r="D56" s="65" t="inlineStr">
        <is>
          <t>__TOTAL__</t>
        </is>
      </c>
      <c r="E56" s="122">
        <f>SUM(E55:E55)</f>
        <v/>
      </c>
      <c r="F56" s="122">
        <f>SUM(F55:F55)</f>
        <v/>
      </c>
      <c r="G56" s="65" t="str"/>
    </row>
    <row r="57">
      <c r="A57" s="17" t="inlineStr">
        <is>
          <t>8</t>
        </is>
      </c>
      <c r="B57" s="17" t="inlineStr">
        <is>
          <t>Other Assets</t>
        </is>
      </c>
      <c r="C57" s="17" t="inlineStr">
        <is>
          <t>Other assets</t>
        </is>
      </c>
      <c r="D57" s="17" t="inlineStr">
        <is>
          <t>OA</t>
        </is>
      </c>
      <c r="E57" s="121" t="n">
        <v>0</v>
      </c>
      <c r="F57" s="121" t="n">
        <v>0</v>
      </c>
      <c r="G57" s="59" t="str"/>
    </row>
    <row r="58">
      <c r="A58" s="65" t="inlineStr">
        <is>
          <t>8</t>
        </is>
      </c>
      <c r="B58" s="65" t="inlineStr">
        <is>
          <t>Other Assets</t>
        </is>
      </c>
      <c r="C58" s="65" t="inlineStr">
        <is>
          <t>Total — Other Assets</t>
        </is>
      </c>
      <c r="D58" s="65" t="inlineStr">
        <is>
          <t>__TOTAL__</t>
        </is>
      </c>
      <c r="E58" s="122">
        <f>SUM(E57:E57)</f>
        <v/>
      </c>
      <c r="F58" s="122">
        <f>SUM(F57:F57)</f>
        <v/>
      </c>
      <c r="G58" s="65" t="str"/>
    </row>
    <row r="59">
      <c r="A59" s="17" t="inlineStr">
        <is>
          <t>9</t>
        </is>
      </c>
      <c r="B59" s="17" t="inlineStr">
        <is>
          <t>Borrowings / Debt Securities</t>
        </is>
      </c>
      <c r="C59" s="17" t="inlineStr">
        <is>
          <t>Borrowings / debt securities</t>
        </is>
      </c>
      <c r="D59" s="17" t="inlineStr">
        <is>
          <t>BORR</t>
        </is>
      </c>
      <c r="E59" s="121" t="n">
        <v>0</v>
      </c>
      <c r="F59" s="121" t="n">
        <v>0</v>
      </c>
      <c r="G59" s="59" t="str"/>
    </row>
    <row r="60">
      <c r="A60" s="65" t="inlineStr">
        <is>
          <t>9</t>
        </is>
      </c>
      <c r="B60" s="65" t="inlineStr">
        <is>
          <t>Borrowings / Debt Securities</t>
        </is>
      </c>
      <c r="C60" s="65" t="inlineStr">
        <is>
          <t>Total — Borrowings / Debt Securities</t>
        </is>
      </c>
      <c r="D60" s="65" t="inlineStr">
        <is>
          <t>__TOTAL__</t>
        </is>
      </c>
      <c r="E60" s="122">
        <f>SUM(E59:E59)</f>
        <v/>
      </c>
      <c r="F60" s="122">
        <f>SUM(F59:F59)</f>
        <v/>
      </c>
      <c r="G60" s="65" t="str"/>
    </row>
    <row r="61">
      <c r="A61" s="17" t="inlineStr">
        <is>
          <t>10</t>
        </is>
      </c>
      <c r="B61" s="17" t="inlineStr">
        <is>
          <t>Trade and Other Payables</t>
        </is>
      </c>
      <c r="C61" s="17" t="inlineStr">
        <is>
          <t>Trade and other payables</t>
        </is>
      </c>
      <c r="D61" s="17" t="inlineStr">
        <is>
          <t>PAY</t>
        </is>
      </c>
      <c r="E61" s="121" t="n">
        <v>0</v>
      </c>
      <c r="F61" s="121" t="n">
        <v>0</v>
      </c>
      <c r="G61" s="59" t="str"/>
    </row>
    <row r="62">
      <c r="A62" s="65" t="inlineStr">
        <is>
          <t>10</t>
        </is>
      </c>
      <c r="B62" s="65" t="inlineStr">
        <is>
          <t>Trade and Other Payables</t>
        </is>
      </c>
      <c r="C62" s="65" t="inlineStr">
        <is>
          <t>Total — Trade and Other Payables</t>
        </is>
      </c>
      <c r="D62" s="65" t="inlineStr">
        <is>
          <t>__TOTAL__</t>
        </is>
      </c>
      <c r="E62" s="122">
        <f>SUM(E61:E61)</f>
        <v/>
      </c>
      <c r="F62" s="122">
        <f>SUM(F61:F61)</f>
        <v/>
      </c>
      <c r="G62" s="65" t="str"/>
    </row>
    <row r="63">
      <c r="A63" s="17" t="inlineStr">
        <is>
          <t>11</t>
        </is>
      </c>
      <c r="B63" s="17" t="inlineStr">
        <is>
          <t>Other Financial Liabilities</t>
        </is>
      </c>
      <c r="C63" s="17" t="inlineStr">
        <is>
          <t>Other financial liabilities</t>
        </is>
      </c>
      <c r="D63" s="17" t="inlineStr">
        <is>
          <t>OFL</t>
        </is>
      </c>
      <c r="E63" s="121" t="n">
        <v>0</v>
      </c>
      <c r="F63" s="121" t="n">
        <v>0</v>
      </c>
      <c r="G63" s="59" t="str"/>
    </row>
    <row r="64">
      <c r="A64" s="65" t="inlineStr">
        <is>
          <t>11</t>
        </is>
      </c>
      <c r="B64" s="65" t="inlineStr">
        <is>
          <t>Other Financial Liabilities</t>
        </is>
      </c>
      <c r="C64" s="65" t="inlineStr">
        <is>
          <t>Total — Other Financial Liabilities</t>
        </is>
      </c>
      <c r="D64" s="65" t="inlineStr">
        <is>
          <t>__TOTAL__</t>
        </is>
      </c>
      <c r="E64" s="122">
        <f>SUM(E63:E63)</f>
        <v/>
      </c>
      <c r="F64" s="122">
        <f>SUM(F63:F63)</f>
        <v/>
      </c>
      <c r="G64" s="65" t="str"/>
    </row>
    <row r="65">
      <c r="A65" s="17" t="inlineStr">
        <is>
          <t>12</t>
        </is>
      </c>
      <c r="B65" s="17" t="inlineStr">
        <is>
          <t>Other Liabilities / Provisions</t>
        </is>
      </c>
      <c r="C65" s="17" t="inlineStr">
        <is>
          <t>Other liabilities / provisions</t>
        </is>
      </c>
      <c r="D65" s="17" t="inlineStr">
        <is>
          <t>OLP</t>
        </is>
      </c>
      <c r="E65" s="121" t="n">
        <v>0</v>
      </c>
      <c r="F65" s="121" t="n">
        <v>0</v>
      </c>
      <c r="G65" s="59" t="str"/>
    </row>
    <row r="66">
      <c r="A66" s="65" t="inlineStr">
        <is>
          <t>12</t>
        </is>
      </c>
      <c r="B66" s="65" t="inlineStr">
        <is>
          <t>Other Liabilities / Provisions</t>
        </is>
      </c>
      <c r="C66" s="65" t="inlineStr">
        <is>
          <t>Total — Other Liabilities / Provisions</t>
        </is>
      </c>
      <c r="D66" s="65" t="inlineStr">
        <is>
          <t>__TOTAL__</t>
        </is>
      </c>
      <c r="E66" s="122">
        <f>SUM(E65:E65)</f>
        <v/>
      </c>
      <c r="F66" s="122">
        <f>SUM(F65:F65)</f>
        <v/>
      </c>
      <c r="G66" s="65" t="str"/>
    </row>
    <row r="67">
      <c r="A67" s="17" t="inlineStr">
        <is>
          <t>13</t>
        </is>
      </c>
      <c r="B67" s="17" t="inlineStr">
        <is>
          <t>Revenue from Operations</t>
        </is>
      </c>
      <c r="C67" s="17" t="inlineStr">
        <is>
          <t>Revenue from operations</t>
        </is>
      </c>
      <c r="D67" s="17" t="inlineStr">
        <is>
          <t>REV</t>
        </is>
      </c>
      <c r="E67" s="121" t="n">
        <v>0</v>
      </c>
      <c r="F67" s="121" t="n">
        <v>0</v>
      </c>
      <c r="G67" s="59" t="str"/>
    </row>
    <row r="68">
      <c r="A68" s="65" t="inlineStr">
        <is>
          <t>13</t>
        </is>
      </c>
      <c r="B68" s="65" t="inlineStr">
        <is>
          <t>Revenue from Operations</t>
        </is>
      </c>
      <c r="C68" s="65" t="inlineStr">
        <is>
          <t>Total — Revenue from Operations</t>
        </is>
      </c>
      <c r="D68" s="65" t="inlineStr">
        <is>
          <t>__TOTAL__</t>
        </is>
      </c>
      <c r="E68" s="122">
        <f>SUM(E67:E67)</f>
        <v/>
      </c>
      <c r="F68" s="122">
        <f>SUM(F67:F67)</f>
        <v/>
      </c>
      <c r="G68" s="65" t="str"/>
    </row>
    <row r="69">
      <c r="A69" s="17" t="inlineStr">
        <is>
          <t>14</t>
        </is>
      </c>
      <c r="B69" s="17" t="inlineStr">
        <is>
          <t>Other Income</t>
        </is>
      </c>
      <c r="C69" s="17" t="inlineStr">
        <is>
          <t>Other income</t>
        </is>
      </c>
      <c r="D69" s="17" t="inlineStr">
        <is>
          <t>OI</t>
        </is>
      </c>
      <c r="E69" s="121" t="n">
        <v>0</v>
      </c>
      <c r="F69" s="121" t="n">
        <v>0</v>
      </c>
      <c r="G69" s="59" t="str"/>
    </row>
    <row r="70">
      <c r="A70" s="65" t="inlineStr">
        <is>
          <t>14</t>
        </is>
      </c>
      <c r="B70" s="65" t="inlineStr">
        <is>
          <t>Other Income</t>
        </is>
      </c>
      <c r="C70" s="65" t="inlineStr">
        <is>
          <t>Total — Other Income</t>
        </is>
      </c>
      <c r="D70" s="65" t="inlineStr">
        <is>
          <t>__TOTAL__</t>
        </is>
      </c>
      <c r="E70" s="122">
        <f>SUM(E69:E69)</f>
        <v/>
      </c>
      <c r="F70" s="122">
        <f>SUM(F69:F69)</f>
        <v/>
      </c>
      <c r="G70" s="65" t="str"/>
    </row>
    <row r="71">
      <c r="A71" s="17" t="inlineStr">
        <is>
          <t>15</t>
        </is>
      </c>
      <c r="B71" s="17" t="inlineStr">
        <is>
          <t>Finance Costs</t>
        </is>
      </c>
      <c r="C71" s="17" t="inlineStr">
        <is>
          <t>Finance costs</t>
        </is>
      </c>
      <c r="D71" s="17" t="inlineStr">
        <is>
          <t>FIN</t>
        </is>
      </c>
      <c r="E71" s="121" t="n">
        <v>0</v>
      </c>
      <c r="F71" s="121" t="n">
        <v>0</v>
      </c>
      <c r="G71" s="59" t="str"/>
    </row>
    <row r="72">
      <c r="A72" s="65" t="inlineStr">
        <is>
          <t>15</t>
        </is>
      </c>
      <c r="B72" s="65" t="inlineStr">
        <is>
          <t>Finance Costs</t>
        </is>
      </c>
      <c r="C72" s="65" t="inlineStr">
        <is>
          <t>Total — Finance Costs</t>
        </is>
      </c>
      <c r="D72" s="65" t="inlineStr">
        <is>
          <t>__TOTAL__</t>
        </is>
      </c>
      <c r="E72" s="122">
        <f>SUM(E71:E71)</f>
        <v/>
      </c>
      <c r="F72" s="122">
        <f>SUM(F71:F71)</f>
        <v/>
      </c>
      <c r="G72" s="65" t="str"/>
    </row>
    <row r="73">
      <c r="A73" s="17" t="inlineStr">
        <is>
          <t>16</t>
        </is>
      </c>
      <c r="B73" s="17" t="inlineStr">
        <is>
          <t>Operating / Property Expenses</t>
        </is>
      </c>
      <c r="C73" s="17" t="inlineStr">
        <is>
          <t>Operating / property expenses</t>
        </is>
      </c>
      <c r="D73" s="17" t="inlineStr">
        <is>
          <t>OPEX</t>
        </is>
      </c>
      <c r="E73" s="121" t="n">
        <v>0</v>
      </c>
      <c r="F73" s="121" t="n">
        <v>0</v>
      </c>
      <c r="G73" s="59" t="str"/>
    </row>
    <row r="74">
      <c r="A74" s="65" t="inlineStr">
        <is>
          <t>16</t>
        </is>
      </c>
      <c r="B74" s="65" t="inlineStr">
        <is>
          <t>Operating / Property Expenses</t>
        </is>
      </c>
      <c r="C74" s="65" t="inlineStr">
        <is>
          <t>Total — Operating / Property Expenses</t>
        </is>
      </c>
      <c r="D74" s="65" t="inlineStr">
        <is>
          <t>__TOTAL__</t>
        </is>
      </c>
      <c r="E74" s="122">
        <f>SUM(E73:E73)</f>
        <v/>
      </c>
      <c r="F74" s="122">
        <f>SUM(F73:F73)</f>
        <v/>
      </c>
      <c r="G74" s="65" t="str"/>
    </row>
    <row r="75">
      <c r="A75" s="17" t="inlineStr">
        <is>
          <t>17</t>
        </is>
      </c>
      <c r="B75" s="17" t="inlineStr">
        <is>
          <t>Manager / Employee Fees</t>
        </is>
      </c>
      <c r="C75" s="17" t="inlineStr">
        <is>
          <t>Manager / employee fees</t>
        </is>
      </c>
      <c r="D75" s="17" t="inlineStr">
        <is>
          <t>MGMT</t>
        </is>
      </c>
      <c r="E75" s="121" t="n">
        <v>0</v>
      </c>
      <c r="F75" s="121" t="n">
        <v>0</v>
      </c>
      <c r="G75" s="59" t="str"/>
    </row>
    <row r="76">
      <c r="A76" s="65" t="inlineStr">
        <is>
          <t>17</t>
        </is>
      </c>
      <c r="B76" s="65" t="inlineStr">
        <is>
          <t>Manager / Employee Fees</t>
        </is>
      </c>
      <c r="C76" s="65" t="inlineStr">
        <is>
          <t>Total — Manager / Employee Fees</t>
        </is>
      </c>
      <c r="D76" s="65" t="inlineStr">
        <is>
          <t>__TOTAL__</t>
        </is>
      </c>
      <c r="E76" s="122">
        <f>SUM(E75:E75)</f>
        <v/>
      </c>
      <c r="F76" s="122">
        <f>SUM(F75:F75)</f>
        <v/>
      </c>
      <c r="G76" s="65" t="str"/>
    </row>
    <row r="77">
      <c r="A77" s="17" t="inlineStr">
        <is>
          <t>18</t>
        </is>
      </c>
      <c r="B77" s="17" t="inlineStr">
        <is>
          <t>Depreciation / Amortisation</t>
        </is>
      </c>
      <c r="C77" s="17" t="inlineStr">
        <is>
          <t>Depreciation / amortisation</t>
        </is>
      </c>
      <c r="D77" s="17" t="inlineStr">
        <is>
          <t>DEPAM</t>
        </is>
      </c>
      <c r="E77" s="121" t="n">
        <v>0</v>
      </c>
      <c r="F77" s="121" t="n">
        <v>0</v>
      </c>
      <c r="G77" s="59" t="str"/>
    </row>
    <row r="78">
      <c r="A78" s="65" t="inlineStr">
        <is>
          <t>18</t>
        </is>
      </c>
      <c r="B78" s="65" t="inlineStr">
        <is>
          <t>Depreciation / Amortisation</t>
        </is>
      </c>
      <c r="C78" s="65" t="inlineStr">
        <is>
          <t>Total — Depreciation / Amortisation</t>
        </is>
      </c>
      <c r="D78" s="65" t="inlineStr">
        <is>
          <t>__TOTAL__</t>
        </is>
      </c>
      <c r="E78" s="122">
        <f>SUM(E77:E77)</f>
        <v/>
      </c>
      <c r="F78" s="122">
        <f>SUM(F77:F77)</f>
        <v/>
      </c>
      <c r="G78" s="65" t="str"/>
    </row>
    <row r="79">
      <c r="A79" s="17" t="inlineStr">
        <is>
          <t>19</t>
        </is>
      </c>
      <c r="B79" s="17" t="inlineStr">
        <is>
          <t>Other Expenses</t>
        </is>
      </c>
      <c r="C79" s="17" t="inlineStr">
        <is>
          <t>Other expenses</t>
        </is>
      </c>
      <c r="D79" s="17" t="inlineStr">
        <is>
          <t>OE</t>
        </is>
      </c>
      <c r="E79" s="121" t="n">
        <v>0</v>
      </c>
      <c r="F79" s="121" t="n">
        <v>0</v>
      </c>
      <c r="G79" s="59" t="str"/>
    </row>
    <row r="80">
      <c r="A80" s="65" t="inlineStr">
        <is>
          <t>19</t>
        </is>
      </c>
      <c r="B80" s="65" t="inlineStr">
        <is>
          <t>Other Expenses</t>
        </is>
      </c>
      <c r="C80" s="65" t="inlineStr">
        <is>
          <t>Total — Other Expenses</t>
        </is>
      </c>
      <c r="D80" s="65" t="inlineStr">
        <is>
          <t>__TOTAL__</t>
        </is>
      </c>
      <c r="E80" s="122">
        <f>SUM(E79:E79)</f>
        <v/>
      </c>
      <c r="F80" s="122">
        <f>SUM(F79:F79)</f>
        <v/>
      </c>
      <c r="G80" s="65" t="str"/>
    </row>
    <row r="81">
      <c r="A81" s="17" t="inlineStr">
        <is>
          <t>20</t>
        </is>
      </c>
      <c r="B81" s="17" t="inlineStr">
        <is>
          <t>Net Assets at Fair Value</t>
        </is>
      </c>
      <c r="C81" s="17" t="inlineStr">
        <is>
          <t>Net assets at fair value</t>
        </is>
      </c>
      <c r="D81" s="17" t="inlineStr">
        <is>
          <t>NAV_FV</t>
        </is>
      </c>
      <c r="E81" s="121" t="n">
        <v>0</v>
      </c>
      <c r="F81" s="121" t="n">
        <v>0</v>
      </c>
      <c r="G81" s="59" t="str"/>
    </row>
    <row r="82">
      <c r="A82" s="65" t="inlineStr">
        <is>
          <t>20</t>
        </is>
      </c>
      <c r="B82" s="65" t="inlineStr">
        <is>
          <t>Net Assets at Fair Value</t>
        </is>
      </c>
      <c r="C82" s="65" t="inlineStr">
        <is>
          <t>Total — Net Assets at Fair Value</t>
        </is>
      </c>
      <c r="D82" s="65" t="inlineStr">
        <is>
          <t>__TOTAL__</t>
        </is>
      </c>
      <c r="E82" s="122">
        <f>SUM(E81:E81)</f>
        <v/>
      </c>
      <c r="F82" s="122">
        <f>SUM(F81:F81)</f>
        <v/>
      </c>
      <c r="G82" s="65" t="str"/>
    </row>
    <row r="83">
      <c r="A83" s="17" t="inlineStr">
        <is>
          <t>21</t>
        </is>
      </c>
      <c r="B83" s="17" t="inlineStr">
        <is>
          <t>Total Returns at Fair Value</t>
        </is>
      </c>
      <c r="C83" s="17" t="inlineStr">
        <is>
          <t>Total returns at fair value</t>
        </is>
      </c>
      <c r="D83" s="17" t="inlineStr">
        <is>
          <t>TR_FV</t>
        </is>
      </c>
      <c r="E83" s="121" t="n">
        <v>0</v>
      </c>
      <c r="F83" s="121" t="n">
        <v>0</v>
      </c>
      <c r="G83" s="59" t="str"/>
    </row>
    <row r="84">
      <c r="A84" s="65" t="inlineStr">
        <is>
          <t>21</t>
        </is>
      </c>
      <c r="B84" s="65" t="inlineStr">
        <is>
          <t>Total Returns at Fair Value</t>
        </is>
      </c>
      <c r="C84" s="65" t="inlineStr">
        <is>
          <t>Total — Total Returns at Fair Value</t>
        </is>
      </c>
      <c r="D84" s="65" t="inlineStr">
        <is>
          <t>__TOTAL__</t>
        </is>
      </c>
      <c r="E84" s="122">
        <f>SUM(E83:E83)</f>
        <v/>
      </c>
      <c r="F84" s="122">
        <f>SUM(F83:F83)</f>
        <v/>
      </c>
      <c r="G84" s="65" t="str"/>
    </row>
    <row r="85">
      <c r="A85" s="17" t="inlineStr">
        <is>
          <t>22</t>
        </is>
      </c>
      <c r="B85" s="17" t="inlineStr">
        <is>
          <t>Distributions / NDCF</t>
        </is>
      </c>
      <c r="C85" s="17" t="inlineStr">
        <is>
          <t>Distributions / NDCF</t>
        </is>
      </c>
      <c r="D85" s="17" t="inlineStr">
        <is>
          <t>NDCF</t>
        </is>
      </c>
      <c r="E85" s="121" t="n">
        <v>0</v>
      </c>
      <c r="F85" s="121" t="n">
        <v>0</v>
      </c>
      <c r="G85" s="59" t="str"/>
    </row>
    <row r="86">
      <c r="A86" s="65" t="inlineStr">
        <is>
          <t>22</t>
        </is>
      </c>
      <c r="B86" s="65" t="inlineStr">
        <is>
          <t>Distributions / NDCF</t>
        </is>
      </c>
      <c r="C86" s="65" t="inlineStr">
        <is>
          <t>Total — Distributions / NDCF</t>
        </is>
      </c>
      <c r="D86" s="65" t="inlineStr">
        <is>
          <t>__TOTAL__</t>
        </is>
      </c>
      <c r="E86" s="122">
        <f>SUM(E85:E85)</f>
        <v/>
      </c>
      <c r="F86" s="122">
        <f>SUM(F85:F85)</f>
        <v/>
      </c>
      <c r="G86" s="65" t="str"/>
    </row>
    <row r="87">
      <c r="A87" s="17" t="n"/>
      <c r="B87" s="17" t="n"/>
      <c r="C87" s="17" t="n"/>
      <c r="D87" s="17" t="n"/>
      <c r="E87" s="17" t="n"/>
      <c r="F87" s="17" t="n"/>
      <c r="G87" s="17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 ht="26" customHeight="1" s="82">
      <c r="A89" s="79" t="inlineStr">
        <is>
          <t>Cash Flow Statement</t>
        </is>
      </c>
      <c r="B89" s="1" t="n"/>
      <c r="C89" s="1" t="n"/>
      <c r="D89" s="1" t="n"/>
      <c r="E89" s="1" t="n"/>
      <c r="F89" s="1" t="n"/>
      <c r="G89" s="1" t="n"/>
    </row>
    <row r="90">
      <c r="A90" s="14" t="inlineStr">
        <is>
          <t>Line Item</t>
        </is>
      </c>
      <c r="B90" s="14" t="inlineStr">
        <is>
          <t>AAH Mapping Key</t>
        </is>
      </c>
      <c r="C90" s="14" t="inlineStr">
        <is>
          <t>Current Period</t>
        </is>
      </c>
      <c r="D90" s="14" t="inlineStr">
        <is>
          <t>Previous Period</t>
        </is>
      </c>
      <c r="E90" s="14" t="inlineStr">
        <is>
          <t>Calculation / Rule</t>
        </is>
      </c>
      <c r="F90" s="14" t="inlineStr">
        <is>
          <t>Status</t>
        </is>
      </c>
      <c r="G90" s="14" t="inlineStr">
        <is>
          <t>Remarks</t>
        </is>
      </c>
    </row>
    <row r="91">
      <c r="A91" s="17" t="inlineStr">
        <is>
          <t>Profit before tax / operating surplus</t>
        </is>
      </c>
      <c r="B91" s="17" t="inlineStr">
        <is>
          <t>CFS_PBT</t>
        </is>
      </c>
      <c r="C91" s="121" t="n">
        <v>0</v>
      </c>
      <c r="D91" s="121" t="n">
        <v>0</v>
      </c>
      <c r="E91" s="17" t="inlineStr">
        <is>
          <t>To be populated/calculated by AAH mapping engine</t>
        </is>
      </c>
      <c r="F91" s="17" t="str"/>
      <c r="G91" s="80" t="str"/>
    </row>
    <row r="92">
      <c r="A92" s="17" t="inlineStr">
        <is>
          <t>Non-cash adjustments</t>
        </is>
      </c>
      <c r="B92" s="17" t="inlineStr">
        <is>
          <t>CFS_ADJ</t>
        </is>
      </c>
      <c r="C92" s="121" t="n">
        <v>0</v>
      </c>
      <c r="D92" s="121" t="n">
        <v>0</v>
      </c>
      <c r="E92" s="17" t="inlineStr">
        <is>
          <t>To be populated/calculated by AAH mapping engine</t>
        </is>
      </c>
      <c r="F92" s="17" t="str"/>
      <c r="G92" s="80" t="str"/>
    </row>
    <row r="93">
      <c r="A93" s="17" t="inlineStr">
        <is>
          <t>Working capital changes</t>
        </is>
      </c>
      <c r="B93" s="17" t="inlineStr">
        <is>
          <t>CFS_WC</t>
        </is>
      </c>
      <c r="C93" s="121" t="n">
        <v>0</v>
      </c>
      <c r="D93" s="121" t="n">
        <v>0</v>
      </c>
      <c r="E93" s="17" t="inlineStr">
        <is>
          <t>To be populated/calculated by AAH mapping engine</t>
        </is>
      </c>
      <c r="F93" s="17" t="str"/>
      <c r="G93" s="80" t="str"/>
    </row>
    <row r="94">
      <c r="A94" s="17" t="inlineStr">
        <is>
          <t>Taxes paid</t>
        </is>
      </c>
      <c r="B94" s="17" t="inlineStr">
        <is>
          <t>CFS_TAX</t>
        </is>
      </c>
      <c r="C94" s="121" t="n">
        <v>0</v>
      </c>
      <c r="D94" s="121" t="n">
        <v>0</v>
      </c>
      <c r="E94" s="17" t="inlineStr">
        <is>
          <t>To be populated/calculated by AAH mapping engine</t>
        </is>
      </c>
      <c r="F94" s="17" t="str"/>
      <c r="G94" s="80" t="str"/>
    </row>
    <row r="95">
      <c r="A95" s="17" t="inlineStr">
        <is>
          <t>Net cash from operating activities</t>
        </is>
      </c>
      <c r="B95" s="17" t="inlineStr">
        <is>
          <t>CFS_CFO</t>
        </is>
      </c>
      <c r="C95" s="121" t="n">
        <v>0</v>
      </c>
      <c r="D95" s="121" t="n">
        <v>0</v>
      </c>
      <c r="E95" s="17" t="inlineStr">
        <is>
          <t>To be populated/calculated by AAH mapping engine</t>
        </is>
      </c>
      <c r="F95" s="17" t="str"/>
      <c r="G95" s="80" t="str"/>
    </row>
    <row r="96">
      <c r="A96" s="17" t="inlineStr">
        <is>
          <t>Net cash from investing activities</t>
        </is>
      </c>
      <c r="B96" s="17" t="inlineStr">
        <is>
          <t>CFS_CFI</t>
        </is>
      </c>
      <c r="C96" s="121" t="n">
        <v>0</v>
      </c>
      <c r="D96" s="121" t="n">
        <v>0</v>
      </c>
      <c r="E96" s="17" t="inlineStr">
        <is>
          <t>To be populated/calculated by AAH mapping engine</t>
        </is>
      </c>
      <c r="F96" s="17" t="str"/>
      <c r="G96" s="80" t="str"/>
    </row>
    <row r="97">
      <c r="A97" s="17" t="inlineStr">
        <is>
          <t>Net cash from financing activities</t>
        </is>
      </c>
      <c r="B97" s="17" t="inlineStr">
        <is>
          <t>CFS_CFF</t>
        </is>
      </c>
      <c r="C97" s="121" t="n">
        <v>0</v>
      </c>
      <c r="D97" s="121" t="n">
        <v>0</v>
      </c>
      <c r="E97" s="17" t="inlineStr">
        <is>
          <t>To be populated/calculated by AAH mapping engine</t>
        </is>
      </c>
      <c r="F97" s="17" t="str"/>
      <c r="G97" s="80" t="str"/>
    </row>
    <row r="98">
      <c r="A98" s="17" t="inlineStr">
        <is>
          <t>Net increase / (decrease) in cash</t>
        </is>
      </c>
      <c r="B98" s="17" t="inlineStr">
        <is>
          <t>CFS_NET</t>
        </is>
      </c>
      <c r="C98" s="121" t="n">
        <v>0</v>
      </c>
      <c r="D98" s="121" t="n">
        <v>0</v>
      </c>
      <c r="E98" s="17" t="inlineStr">
        <is>
          <t>To be populated/calculated by AAH mapping engine</t>
        </is>
      </c>
      <c r="F98" s="17" t="str"/>
      <c r="G98" s="80" t="str"/>
    </row>
    <row r="99">
      <c r="A99" s="17" t="inlineStr">
        <is>
          <t>Opening cash and cash equivalents</t>
        </is>
      </c>
      <c r="B99" s="17" t="inlineStr">
        <is>
          <t>CFS_OPEN</t>
        </is>
      </c>
      <c r="C99" s="121" t="n">
        <v>0</v>
      </c>
      <c r="D99" s="121" t="n">
        <v>0</v>
      </c>
      <c r="E99" s="17" t="inlineStr">
        <is>
          <t>To be populated/calculated by AAH mapping engine</t>
        </is>
      </c>
      <c r="F99" s="17" t="str"/>
      <c r="G99" s="80" t="str"/>
    </row>
    <row r="100">
      <c r="A100" s="17" t="inlineStr">
        <is>
          <t>Closing cash and cash equivalents</t>
        </is>
      </c>
      <c r="B100" s="17" t="inlineStr">
        <is>
          <t>CFS_CLOSE</t>
        </is>
      </c>
      <c r="C100" s="121" t="n">
        <v>0</v>
      </c>
      <c r="D100" s="121" t="n">
        <v>0</v>
      </c>
      <c r="E100" s="17" t="inlineStr">
        <is>
          <t>To be populated/calculated by AAH mapping engine</t>
        </is>
      </c>
      <c r="F100" s="17" t="str"/>
      <c r="G100" s="80" t="str"/>
    </row>
    <row r="101">
      <c r="A101" s="17" t="n"/>
      <c r="B101" s="17" t="n"/>
      <c r="C101" s="17" t="n"/>
      <c r="D101" s="17" t="n"/>
      <c r="E101" s="17" t="n"/>
      <c r="F101" s="17" t="n"/>
      <c r="G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 ht="26" customHeight="1" s="82">
      <c r="A103" s="79" t="inlineStr">
        <is>
          <t>Statement of Changes in Equity / Unitholders' Equity</t>
        </is>
      </c>
      <c r="B103" s="1" t="n"/>
      <c r="C103" s="1" t="n"/>
      <c r="D103" s="1" t="n"/>
      <c r="E103" s="1" t="n"/>
      <c r="F103" s="1" t="n"/>
      <c r="G103" s="1" t="n"/>
    </row>
    <row r="104">
      <c r="A104" s="14" t="inlineStr">
        <is>
          <t>Line Item</t>
        </is>
      </c>
      <c r="B104" s="14" t="inlineStr">
        <is>
          <t>AAH Mapping Key</t>
        </is>
      </c>
      <c r="C104" s="14" t="inlineStr">
        <is>
          <t>Current Period</t>
        </is>
      </c>
      <c r="D104" s="14" t="inlineStr">
        <is>
          <t>Previous Period</t>
        </is>
      </c>
      <c r="E104" s="14" t="inlineStr">
        <is>
          <t>Calculation / Rule</t>
        </is>
      </c>
      <c r="F104" s="14" t="inlineStr">
        <is>
          <t>Status</t>
        </is>
      </c>
      <c r="G104" s="14" t="inlineStr">
        <is>
          <t>Remarks</t>
        </is>
      </c>
    </row>
    <row r="105">
      <c r="A105" s="17" t="inlineStr">
        <is>
          <t>Opening equity / unit capital</t>
        </is>
      </c>
      <c r="B105" s="17" t="inlineStr">
        <is>
          <t>SOE_OPEN</t>
        </is>
      </c>
      <c r="C105" s="121" t="n">
        <v>0</v>
      </c>
      <c r="D105" s="121" t="n">
        <v>0</v>
      </c>
      <c r="E105" s="17" t="inlineStr">
        <is>
          <t>To be populated/calculated by AAH mapping engine</t>
        </is>
      </c>
      <c r="F105" s="17" t="str"/>
      <c r="G105" s="80" t="str"/>
    </row>
    <row r="106">
      <c r="A106" s="17" t="inlineStr">
        <is>
          <t>Changes in capital / units</t>
        </is>
      </c>
      <c r="B106" s="17" t="inlineStr">
        <is>
          <t>SOE_CAPCHG</t>
        </is>
      </c>
      <c r="C106" s="121" t="n">
        <v>0</v>
      </c>
      <c r="D106" s="121" t="n">
        <v>0</v>
      </c>
      <c r="E106" s="17" t="inlineStr">
        <is>
          <t>To be populated/calculated by AAH mapping engine</t>
        </is>
      </c>
      <c r="F106" s="17" t="str"/>
      <c r="G106" s="80" t="str"/>
    </row>
    <row r="107">
      <c r="A107" s="17" t="inlineStr">
        <is>
          <t>Profit / loss for period</t>
        </is>
      </c>
      <c r="B107" s="17" t="inlineStr">
        <is>
          <t>SOE_PL</t>
        </is>
      </c>
      <c r="C107" s="121" t="n">
        <v>0</v>
      </c>
      <c r="D107" s="121" t="n">
        <v>0</v>
      </c>
      <c r="E107" s="17" t="inlineStr">
        <is>
          <t>To be populated/calculated by AAH mapping engine</t>
        </is>
      </c>
      <c r="F107" s="17" t="str"/>
      <c r="G107" s="80" t="str"/>
    </row>
    <row r="108">
      <c r="A108" s="17" t="inlineStr">
        <is>
          <t>Other comprehensive income / fair value movement</t>
        </is>
      </c>
      <c r="B108" s="17" t="inlineStr">
        <is>
          <t>SOE_OCI</t>
        </is>
      </c>
      <c r="C108" s="121" t="n">
        <v>0</v>
      </c>
      <c r="D108" s="121" t="n">
        <v>0</v>
      </c>
      <c r="E108" s="17" t="inlineStr">
        <is>
          <t>To be populated/calculated by AAH mapping engine</t>
        </is>
      </c>
      <c r="F108" s="17" t="str"/>
      <c r="G108" s="80" t="str"/>
    </row>
    <row r="109">
      <c r="A109" s="17" t="inlineStr">
        <is>
          <t>Distributions / drawings</t>
        </is>
      </c>
      <c r="B109" s="17" t="inlineStr">
        <is>
          <t>SOE_DIST</t>
        </is>
      </c>
      <c r="C109" s="121" t="n">
        <v>0</v>
      </c>
      <c r="D109" s="121" t="n">
        <v>0</v>
      </c>
      <c r="E109" s="17" t="inlineStr">
        <is>
          <t>To be populated/calculated by AAH mapping engine</t>
        </is>
      </c>
      <c r="F109" s="17" t="str"/>
      <c r="G109" s="80" t="str"/>
    </row>
    <row r="110">
      <c r="A110" s="17" t="inlineStr">
        <is>
          <t>Other movements</t>
        </is>
      </c>
      <c r="B110" s="17" t="inlineStr">
        <is>
          <t>SOE_OTHER</t>
        </is>
      </c>
      <c r="C110" s="121" t="n">
        <v>0</v>
      </c>
      <c r="D110" s="121" t="n">
        <v>0</v>
      </c>
      <c r="E110" s="17" t="inlineStr">
        <is>
          <t>To be populated/calculated by AAH mapping engine</t>
        </is>
      </c>
      <c r="F110" s="17" t="str"/>
      <c r="G110" s="80" t="str"/>
    </row>
    <row r="111">
      <c r="A111" s="17" t="inlineStr">
        <is>
          <t>Closing equity / unit capital</t>
        </is>
      </c>
      <c r="B111" s="17" t="inlineStr">
        <is>
          <t>SOE_CLOSE</t>
        </is>
      </c>
      <c r="C111" s="121" t="n">
        <v>0</v>
      </c>
      <c r="D111" s="121" t="n">
        <v>0</v>
      </c>
      <c r="E111" s="17" t="inlineStr">
        <is>
          <t>To be populated/calculated by AAH mapping engine</t>
        </is>
      </c>
      <c r="F111" s="17" t="str"/>
      <c r="G111" s="80" t="str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</row>
    <row r="114" ht="26" customHeight="1" s="82">
      <c r="A114" s="79" t="inlineStr">
        <is>
          <t>Statement of Net Assets at Fair Value</t>
        </is>
      </c>
      <c r="B114" s="1" t="n"/>
      <c r="C114" s="1" t="n"/>
      <c r="D114" s="1" t="n"/>
      <c r="E114" s="1" t="n"/>
      <c r="F114" s="1" t="n"/>
      <c r="G114" s="1" t="n"/>
    </row>
    <row r="115">
      <c r="A115" s="14" t="inlineStr">
        <is>
          <t>Line Item</t>
        </is>
      </c>
      <c r="B115" s="14" t="inlineStr">
        <is>
          <t>AAH Mapping Key</t>
        </is>
      </c>
      <c r="C115" s="14" t="inlineStr">
        <is>
          <t>Current Period</t>
        </is>
      </c>
      <c r="D115" s="14" t="inlineStr">
        <is>
          <t>Previous Period</t>
        </is>
      </c>
      <c r="E115" s="14" t="inlineStr">
        <is>
          <t>Calculation / Rule</t>
        </is>
      </c>
      <c r="F115" s="14" t="inlineStr">
        <is>
          <t>Status</t>
        </is>
      </c>
      <c r="G115" s="14" t="inlineStr">
        <is>
          <t>Remarks</t>
        </is>
      </c>
    </row>
    <row r="116">
      <c r="A116" s="17" t="inlineStr">
        <is>
          <t>Fair value of assets</t>
        </is>
      </c>
      <c r="B116" s="17" t="inlineStr">
        <is>
          <t>FV_ASSETS</t>
        </is>
      </c>
      <c r="C116" s="121" t="n">
        <v>0</v>
      </c>
      <c r="D116" s="121" t="n">
        <v>0</v>
      </c>
      <c r="E116" s="17" t="inlineStr">
        <is>
          <t>To be populated/calculated by AAH mapping engine</t>
        </is>
      </c>
      <c r="F116" s="17" t="str"/>
      <c r="G116" s="80" t="str"/>
    </row>
    <row r="117">
      <c r="A117" s="17" t="inlineStr">
        <is>
          <t>Fair value of liabilities</t>
        </is>
      </c>
      <c r="B117" s="17" t="inlineStr">
        <is>
          <t>FV_LIAB</t>
        </is>
      </c>
      <c r="C117" s="121" t="n">
        <v>0</v>
      </c>
      <c r="D117" s="121" t="n">
        <v>0</v>
      </c>
      <c r="E117" s="17" t="inlineStr">
        <is>
          <t>To be populated/calculated by AAH mapping engine</t>
        </is>
      </c>
      <c r="F117" s="17" t="str"/>
      <c r="G117" s="80" t="str"/>
    </row>
    <row r="118">
      <c r="A118" s="17" t="inlineStr">
        <is>
          <t>Net assets at fair value</t>
        </is>
      </c>
      <c r="B118" s="17" t="inlineStr">
        <is>
          <t>FV_NET</t>
        </is>
      </c>
      <c r="C118" s="121" t="n">
        <v>0</v>
      </c>
      <c r="D118" s="121" t="n">
        <v>0</v>
      </c>
      <c r="E118" s="17" t="inlineStr">
        <is>
          <t>To be populated/calculated by AAH mapping engine</t>
        </is>
      </c>
      <c r="F118" s="17" t="str"/>
      <c r="G118" s="80" t="str"/>
    </row>
    <row r="119">
      <c r="A119" s="17" t="inlineStr">
        <is>
          <t>Units outstanding</t>
        </is>
      </c>
      <c r="B119" s="17" t="inlineStr">
        <is>
          <t>FV_UNITS</t>
        </is>
      </c>
      <c r="C119" s="121" t="n">
        <v>0</v>
      </c>
      <c r="D119" s="121" t="n">
        <v>0</v>
      </c>
      <c r="E119" s="17" t="inlineStr">
        <is>
          <t>To be populated/calculated by AAH mapping engine</t>
        </is>
      </c>
      <c r="F119" s="17" t="str"/>
      <c r="G119" s="80" t="str"/>
    </row>
    <row r="120">
      <c r="A120" s="17" t="inlineStr">
        <is>
          <t>NAV per unit</t>
        </is>
      </c>
      <c r="B120" s="17" t="inlineStr">
        <is>
          <t>FV_NAVPU</t>
        </is>
      </c>
      <c r="C120" s="121" t="n">
        <v>0</v>
      </c>
      <c r="D120" s="121" t="n">
        <v>0</v>
      </c>
      <c r="E120" s="17" t="inlineStr">
        <is>
          <t>To be populated/calculated by AAH mapping engine</t>
        </is>
      </c>
      <c r="F120" s="17" t="str"/>
      <c r="G120" s="80" t="str"/>
    </row>
    <row r="121">
      <c r="A121" s="17" t="n"/>
      <c r="B121" s="17" t="n"/>
      <c r="C121" s="17" t="n"/>
      <c r="D121" s="17" t="n"/>
      <c r="E121" s="17" t="n"/>
      <c r="F121" s="17" t="n"/>
      <c r="G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 ht="26" customHeight="1" s="82">
      <c r="A123" s="79" t="inlineStr">
        <is>
          <t>Statement of Total Returns at Fair Value</t>
        </is>
      </c>
      <c r="B123" s="1" t="n"/>
      <c r="C123" s="1" t="n"/>
      <c r="D123" s="1" t="n"/>
      <c r="E123" s="1" t="n"/>
      <c r="F123" s="1" t="n"/>
      <c r="G123" s="1" t="n"/>
    </row>
    <row r="124">
      <c r="A124" s="14" t="inlineStr">
        <is>
          <t>Line Item</t>
        </is>
      </c>
      <c r="B124" s="14" t="inlineStr">
        <is>
          <t>AAH Mapping Key</t>
        </is>
      </c>
      <c r="C124" s="14" t="inlineStr">
        <is>
          <t>Current Period</t>
        </is>
      </c>
      <c r="D124" s="14" t="inlineStr">
        <is>
          <t>Previous Period</t>
        </is>
      </c>
      <c r="E124" s="14" t="inlineStr">
        <is>
          <t>Calculation / Rule</t>
        </is>
      </c>
      <c r="F124" s="14" t="inlineStr">
        <is>
          <t>Status</t>
        </is>
      </c>
      <c r="G124" s="14" t="inlineStr">
        <is>
          <t>Remarks</t>
        </is>
      </c>
    </row>
    <row r="125">
      <c r="A125" s="17" t="inlineStr">
        <is>
          <t>Total comprehensive income / profit</t>
        </is>
      </c>
      <c r="B125" s="17" t="inlineStr">
        <is>
          <t>TR_PROFIT</t>
        </is>
      </c>
      <c r="C125" s="121" t="n">
        <v>0</v>
      </c>
      <c r="D125" s="121" t="n">
        <v>0</v>
      </c>
      <c r="E125" s="17" t="inlineStr">
        <is>
          <t>To be populated/calculated by AAH mapping engine</t>
        </is>
      </c>
      <c r="F125" s="17" t="str"/>
      <c r="G125" s="80" t="str"/>
    </row>
    <row r="126">
      <c r="A126" s="17" t="inlineStr">
        <is>
          <t>Fair value movement not in P&amp;L</t>
        </is>
      </c>
      <c r="B126" s="17" t="inlineStr">
        <is>
          <t>TR_FV</t>
        </is>
      </c>
      <c r="C126" s="121" t="n">
        <v>0</v>
      </c>
      <c r="D126" s="121" t="n">
        <v>0</v>
      </c>
      <c r="E126" s="17" t="inlineStr">
        <is>
          <t>To be populated/calculated by AAH mapping engine</t>
        </is>
      </c>
      <c r="F126" s="17" t="str"/>
      <c r="G126" s="80" t="str"/>
    </row>
    <row r="127">
      <c r="A127" s="17" t="inlineStr">
        <is>
          <t>Distributions</t>
        </is>
      </c>
      <c r="B127" s="17" t="inlineStr">
        <is>
          <t>TR_DIST</t>
        </is>
      </c>
      <c r="C127" s="121" t="n">
        <v>0</v>
      </c>
      <c r="D127" s="121" t="n">
        <v>0</v>
      </c>
      <c r="E127" s="17" t="inlineStr">
        <is>
          <t>To be populated/calculated by AAH mapping engine</t>
        </is>
      </c>
      <c r="F127" s="17" t="str"/>
      <c r="G127" s="80" t="str"/>
    </row>
    <row r="128">
      <c r="A128" s="17" t="inlineStr">
        <is>
          <t>Total return at fair value</t>
        </is>
      </c>
      <c r="B128" s="17" t="inlineStr">
        <is>
          <t>TR_TOTAL</t>
        </is>
      </c>
      <c r="C128" s="121" t="n">
        <v>0</v>
      </c>
      <c r="D128" s="121" t="n">
        <v>0</v>
      </c>
      <c r="E128" s="17" t="inlineStr">
        <is>
          <t>To be populated/calculated by AAH mapping engine</t>
        </is>
      </c>
      <c r="F128" s="17" t="str"/>
      <c r="G128" s="80" t="str"/>
    </row>
    <row r="129">
      <c r="A129" s="17" t="n"/>
      <c r="B129" s="17" t="n"/>
      <c r="C129" s="17" t="n"/>
      <c r="D129" s="17" t="n"/>
      <c r="E129" s="17" t="n"/>
      <c r="F129" s="17" t="n"/>
      <c r="G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 ht="26" customHeight="1" s="82">
      <c r="A131" s="79" t="inlineStr">
        <is>
          <t>NDCF / Distribution Statement</t>
        </is>
      </c>
      <c r="B131" s="1" t="n"/>
      <c r="C131" s="1" t="n"/>
      <c r="D131" s="1" t="n"/>
      <c r="E131" s="1" t="n"/>
      <c r="F131" s="1" t="n"/>
      <c r="G131" s="1" t="n"/>
    </row>
    <row r="132">
      <c r="A132" s="14" t="inlineStr">
        <is>
          <t>Line Item</t>
        </is>
      </c>
      <c r="B132" s="14" t="inlineStr">
        <is>
          <t>AAH Mapping Key</t>
        </is>
      </c>
      <c r="C132" s="14" t="inlineStr">
        <is>
          <t>Current Period</t>
        </is>
      </c>
      <c r="D132" s="14" t="inlineStr">
        <is>
          <t>Previous Period</t>
        </is>
      </c>
      <c r="E132" s="14" t="inlineStr">
        <is>
          <t>Calculation / Rule</t>
        </is>
      </c>
      <c r="F132" s="14" t="inlineStr">
        <is>
          <t>Status</t>
        </is>
      </c>
      <c r="G132" s="14" t="inlineStr">
        <is>
          <t>Remarks</t>
        </is>
      </c>
    </row>
    <row r="133">
      <c r="A133" s="17" t="inlineStr">
        <is>
          <t>Cash flows from operating assets / SPVs</t>
        </is>
      </c>
      <c r="B133" s="17" t="inlineStr">
        <is>
          <t>NDCF_OP</t>
        </is>
      </c>
      <c r="C133" s="121" t="n">
        <v>0</v>
      </c>
      <c r="D133" s="121" t="n">
        <v>0</v>
      </c>
      <c r="E133" s="17" t="inlineStr">
        <is>
          <t>To be populated/calculated by AAH mapping engine</t>
        </is>
      </c>
      <c r="F133" s="17" t="str"/>
      <c r="G133" s="80" t="str"/>
    </row>
    <row r="134">
      <c r="A134" s="17" t="inlineStr">
        <is>
          <t>Finance costs / debt service adjustments</t>
        </is>
      </c>
      <c r="B134" s="17" t="inlineStr">
        <is>
          <t>NDCF_DEBT</t>
        </is>
      </c>
      <c r="C134" s="121" t="n">
        <v>0</v>
      </c>
      <c r="D134" s="121" t="n">
        <v>0</v>
      </c>
      <c r="E134" s="17" t="inlineStr">
        <is>
          <t>To be populated/calculated by AAH mapping engine</t>
        </is>
      </c>
      <c r="F134" s="17" t="str"/>
      <c r="G134" s="80" t="str"/>
    </row>
    <row r="135">
      <c r="A135" s="17" t="inlineStr">
        <is>
          <t>Capex / reserve adjustments</t>
        </is>
      </c>
      <c r="B135" s="17" t="inlineStr">
        <is>
          <t>NDCF_CAPEX</t>
        </is>
      </c>
      <c r="C135" s="121" t="n">
        <v>0</v>
      </c>
      <c r="D135" s="121" t="n">
        <v>0</v>
      </c>
      <c r="E135" s="17" t="inlineStr">
        <is>
          <t>To be populated/calculated by AAH mapping engine</t>
        </is>
      </c>
      <c r="F135" s="17" t="str"/>
      <c r="G135" s="80" t="str"/>
    </row>
    <row r="136">
      <c r="A136" s="17" t="inlineStr">
        <is>
          <t>Other permitted adjustments</t>
        </is>
      </c>
      <c r="B136" s="17" t="inlineStr">
        <is>
          <t>NDCF_OTHER</t>
        </is>
      </c>
      <c r="C136" s="121" t="n">
        <v>0</v>
      </c>
      <c r="D136" s="121" t="n">
        <v>0</v>
      </c>
      <c r="E136" s="17" t="inlineStr">
        <is>
          <t>To be populated/calculated by AAH mapping engine</t>
        </is>
      </c>
      <c r="F136" s="17" t="str"/>
      <c r="G136" s="80" t="str"/>
    </row>
    <row r="137">
      <c r="A137" s="17" t="inlineStr">
        <is>
          <t>Net distributable cash flow</t>
        </is>
      </c>
      <c r="B137" s="17" t="inlineStr">
        <is>
          <t>NDCF_NET</t>
        </is>
      </c>
      <c r="C137" s="121" t="n">
        <v>0</v>
      </c>
      <c r="D137" s="121" t="n">
        <v>0</v>
      </c>
      <c r="E137" s="17" t="inlineStr">
        <is>
          <t>To be populated/calculated by AAH mapping engine</t>
        </is>
      </c>
      <c r="F137" s="17" t="str"/>
      <c r="G137" s="80" t="str"/>
    </row>
    <row r="138">
      <c r="A138" s="17" t="inlineStr">
        <is>
          <t>Distribution declared</t>
        </is>
      </c>
      <c r="B138" s="17" t="inlineStr">
        <is>
          <t>NDCF_DIST</t>
        </is>
      </c>
      <c r="C138" s="121" t="n">
        <v>0</v>
      </c>
      <c r="D138" s="121" t="n">
        <v>0</v>
      </c>
      <c r="E138" s="17" t="inlineStr">
        <is>
          <t>To be populated/calculated by AAH mapping engine</t>
        </is>
      </c>
      <c r="F138" s="17" t="str"/>
      <c r="G138" s="80" t="str"/>
    </row>
    <row r="139">
      <c r="A139" s="17" t="inlineStr">
        <is>
          <t>Balance carried forward</t>
        </is>
      </c>
      <c r="B139" s="17" t="inlineStr">
        <is>
          <t>NDCF_BAL</t>
        </is>
      </c>
      <c r="C139" s="121" t="n">
        <v>0</v>
      </c>
      <c r="D139" s="121" t="n">
        <v>0</v>
      </c>
      <c r="E139" s="17" t="inlineStr">
        <is>
          <t>To be populated/calculated by AAH mapping engine</t>
        </is>
      </c>
      <c r="F139" s="17" t="str"/>
      <c r="G139" s="80" t="str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</row>
    <row r="142" ht="26" customHeight="1" s="82">
      <c r="A142" s="79" t="inlineStr">
        <is>
          <t>Validation</t>
        </is>
      </c>
      <c r="B142" s="1" t="n"/>
      <c r="C142" s="1" t="n"/>
      <c r="D142" s="1" t="n"/>
      <c r="E142" s="17" t="n"/>
      <c r="F142" s="17" t="n"/>
      <c r="G142" s="17" t="n"/>
    </row>
    <row r="143">
      <c r="A143" s="14" t="inlineStr">
        <is>
          <t>Check</t>
        </is>
      </c>
      <c r="B143" s="14" t="inlineStr">
        <is>
          <t>Current Period</t>
        </is>
      </c>
      <c r="C143" s="14" t="inlineStr">
        <is>
          <t>Previous Period</t>
        </is>
      </c>
      <c r="D143" s="14" t="inlineStr">
        <is>
          <t>Result</t>
        </is>
      </c>
      <c r="E143" s="17" t="n"/>
      <c r="F143" s="17" t="n"/>
      <c r="G143" s="17" t="n"/>
    </row>
    <row r="144">
      <c r="A144" s="17" t="inlineStr">
        <is>
          <t>Balance Sheet difference</t>
        </is>
      </c>
      <c r="B144" s="17">
        <f>C15-C23</f>
        <v/>
      </c>
      <c r="C144" s="17">
        <f>D15-D23</f>
        <v/>
      </c>
      <c r="D144" s="17">
        <f>IF(AND(ABS(B144)&lt;1,ABS(C144)&lt;1),"PASS","CHECK")</f>
        <v/>
      </c>
      <c r="E144" s="17" t="n"/>
      <c r="F144" s="17" t="n"/>
      <c r="G144" s="17" t="n"/>
    </row>
    <row r="145">
      <c r="A145" s="17" t="inlineStr">
        <is>
          <t>Notes / disclosures</t>
        </is>
      </c>
      <c r="B145" s="17" t="inlineStr">
        <is>
          <t>Review</t>
        </is>
      </c>
      <c r="C145" s="17" t="inlineStr">
        <is>
          <t>Review</t>
        </is>
      </c>
      <c r="D145" s="17" t="inlineStr">
        <is>
          <t>Review</t>
        </is>
      </c>
      <c r="E145" s="17" t="n"/>
      <c r="F145" s="17" t="n"/>
      <c r="G145" s="17" t="n"/>
    </row>
    <row r="146">
      <c r="A146" s="17" t="inlineStr">
        <is>
          <t>Profile readiness</t>
        </is>
      </c>
      <c r="B146" s="17" t="str"/>
      <c r="C146" s="17" t="str"/>
      <c r="D146" s="17">
        <f>IF(D144="PASS","READY FOR REVIEW","NOT READY")</f>
        <v/>
      </c>
      <c r="E146" s="17" t="n"/>
      <c r="F146" s="17" t="n"/>
      <c r="G146" s="17" t="n"/>
    </row>
    <row r="147"/>
    <row r="148"/>
    <row r="149"/>
    <row r="150">
      <c r="A150" s="101" t="inlineStr">
        <is>
          <t>Signatures / Certification</t>
        </is>
      </c>
      <c r="B150" s="101" t="str"/>
      <c r="C150" s="101" t="str"/>
      <c r="D150" s="101" t="str"/>
      <c r="E150" s="101" t="str"/>
      <c r="F150" s="101" t="str"/>
    </row>
    <row r="151">
      <c r="A151" s="112" t="inlineStr">
        <is>
          <t>Entity Signatory</t>
        </is>
      </c>
      <c r="B151" s="104">
        <f>'AAH Basic Info'!B13</f>
        <v/>
      </c>
      <c r="C151" s="115" t="inlineStr">
        <is>
          <t>Designation</t>
        </is>
      </c>
      <c r="D151" s="104">
        <f>'AAH Basic Info'!B14</f>
        <v/>
      </c>
      <c r="E151" s="115" t="inlineStr">
        <is>
          <t>DIN</t>
        </is>
      </c>
      <c r="F151" s="105">
        <f>'AAH Basic Info'!B15</f>
        <v/>
      </c>
    </row>
    <row r="152">
      <c r="A152" s="113" t="inlineStr">
        <is>
          <t>Signing Date</t>
        </is>
      </c>
      <c r="B152" s="107">
        <f>'AAH Basic Info'!B16</f>
        <v/>
      </c>
      <c r="C152" s="116" t="inlineStr">
        <is>
          <t>Place</t>
        </is>
      </c>
      <c r="D152" s="107">
        <f>'AAH Basic Info'!B17</f>
        <v/>
      </c>
      <c r="E152" s="116" t="str"/>
      <c r="F152" s="108" t="str"/>
    </row>
    <row r="153">
      <c r="A153" s="113" t="inlineStr">
        <is>
          <t>Audit Firm</t>
        </is>
      </c>
      <c r="B153" s="107">
        <f>'AAH Basic Info'!B18</f>
        <v/>
      </c>
      <c r="C153" s="116" t="inlineStr">
        <is>
          <t>FRN</t>
        </is>
      </c>
      <c r="D153" s="107">
        <f>'AAH Basic Info'!B19</f>
        <v/>
      </c>
      <c r="E153" s="116" t="str"/>
      <c r="F153" s="108" t="str"/>
    </row>
    <row r="154">
      <c r="A154" s="113" t="inlineStr">
        <is>
          <t>Signing CA</t>
        </is>
      </c>
      <c r="B154" s="107">
        <f>'AAH Basic Info'!B20</f>
        <v/>
      </c>
      <c r="C154" s="116" t="inlineStr">
        <is>
          <t>Designation</t>
        </is>
      </c>
      <c r="D154" s="107">
        <f>'AAH Basic Info'!B21</f>
        <v/>
      </c>
      <c r="E154" s="116" t="inlineStr">
        <is>
          <t>Membership No.</t>
        </is>
      </c>
      <c r="F154" s="108">
        <f>'AAH Basic Info'!B22</f>
        <v/>
      </c>
    </row>
    <row r="155">
      <c r="A155" s="114" t="inlineStr">
        <is>
          <t>Audit Place</t>
        </is>
      </c>
      <c r="B155" s="110">
        <f>'AAH Basic Info'!B23</f>
        <v/>
      </c>
      <c r="C155" s="117" t="inlineStr">
        <is>
          <t>Signing Date</t>
        </is>
      </c>
      <c r="D155" s="110">
        <f>'AAH Basic Info'!B30</f>
        <v/>
      </c>
      <c r="E155" s="117" t="str"/>
      <c r="F155" s="111" t="str"/>
    </row>
  </sheetData>
  <mergeCells count="11">
    <mergeCell ref="A123:G123"/>
    <mergeCell ref="A89:G89"/>
    <mergeCell ref="A1:G1"/>
    <mergeCell ref="A6:D6"/>
    <mergeCell ref="A114:G114"/>
    <mergeCell ref="A26:D26"/>
    <mergeCell ref="A131:G131"/>
    <mergeCell ref="A2:G2"/>
    <mergeCell ref="A142:D142"/>
    <mergeCell ref="A41:G41"/>
    <mergeCell ref="A103:G10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style="82" min="1" max="1"/>
    <col width="38" customWidth="1" style="82" min="2" max="2"/>
    <col width="18" customWidth="1" style="82" min="3" max="3"/>
    <col width="50" customWidth="1" style="82" min="4" max="4"/>
    <col width="42" customWidth="1" style="82" min="5" max="5"/>
    <col width="14" customWidth="1" style="82" min="6" max="6"/>
  </cols>
  <sheetData>
    <row r="1">
      <c r="A1" s="88" t="inlineStr">
        <is>
          <t>AAH Financial Statement Library — QA Status</t>
        </is>
      </c>
      <c r="B1" s="88" t="str"/>
      <c r="C1" s="88" t="str"/>
      <c r="D1" s="88" t="str"/>
      <c r="E1" s="88" t="str"/>
      <c r="F1" s="88" t="str"/>
    </row>
    <row r="2">
      <c r="A2" s="17" t="n"/>
      <c r="B2" s="17" t="n"/>
      <c r="C2" s="17" t="n"/>
      <c r="D2" s="17" t="n"/>
      <c r="E2" s="17" t="n"/>
      <c r="F2" s="17" t="n"/>
    </row>
    <row r="3">
      <c r="A3" s="87" t="inlineStr">
        <is>
          <t>Check</t>
        </is>
      </c>
      <c r="B3" s="87" t="inlineStr">
        <is>
          <t>Scope</t>
        </is>
      </c>
      <c r="C3" s="87" t="inlineStr">
        <is>
          <t>Result</t>
        </is>
      </c>
      <c r="D3" s="87" t="inlineStr">
        <is>
          <t>Evidence</t>
        </is>
      </c>
      <c r="E3" s="87" t="inlineStr">
        <is>
          <t>Action</t>
        </is>
      </c>
      <c r="F3" s="87" t="inlineStr">
        <is>
          <t>Status</t>
        </is>
      </c>
    </row>
    <row r="4">
      <c r="A4" s="17" t="inlineStr">
        <is>
          <t>Profile coverage</t>
        </is>
      </c>
      <c r="B4" s="17" t="inlineStr">
        <is>
          <t>16 statutory/regulatory profiles</t>
        </is>
      </c>
      <c r="C4" s="17" t="inlineStr">
        <is>
          <t>16/16 present</t>
        </is>
      </c>
      <c r="D4" s="17" t="inlineStr">
        <is>
          <t>Index + profile sheets</t>
        </is>
      </c>
      <c r="E4" s="17" t="inlineStr">
        <is>
          <t>None</t>
        </is>
      </c>
      <c r="F4" s="17" t="inlineStr">
        <is>
          <t>PASS</t>
        </is>
      </c>
    </row>
    <row r="5">
      <c r="A5" s="17" t="inlineStr">
        <is>
          <t>Face statements</t>
        </is>
      </c>
      <c r="B5" s="17" t="inlineStr">
        <is>
          <t>Balance Sheet + P&amp;L/equivalent</t>
        </is>
      </c>
      <c r="C5" s="17" t="inlineStr">
        <is>
          <t>Present</t>
        </is>
      </c>
      <c r="D5" s="17" t="inlineStr">
        <is>
          <t>Each profile top section</t>
        </is>
      </c>
      <c r="E5" s="17" t="inlineStr">
        <is>
          <t>Review with real client data</t>
        </is>
      </c>
      <c r="F5" s="17" t="inlineStr">
        <is>
          <t>PASS</t>
        </is>
      </c>
    </row>
    <row r="6">
      <c r="A6" s="17" t="inlineStr">
        <is>
          <t>Linked notes</t>
        </is>
      </c>
      <c r="B6" s="17" t="inlineStr">
        <is>
          <t>Face statements linked to note totals</t>
        </is>
      </c>
      <c r="C6" s="17" t="inlineStr">
        <is>
          <t>Present</t>
        </is>
      </c>
      <c r="D6" s="17" t="inlineStr">
        <is>
          <t>Formula links within profile sheet</t>
        </is>
      </c>
      <c r="E6" s="17" t="inlineStr">
        <is>
          <t>Populate mapping keys / disclosures</t>
        </is>
      </c>
      <c r="F6" s="17" t="inlineStr">
        <is>
          <t>PASS</t>
        </is>
      </c>
    </row>
    <row r="7">
      <c r="A7" s="17" t="inlineStr">
        <is>
          <t>Comparatives</t>
        </is>
      </c>
      <c r="B7" s="17" t="inlineStr">
        <is>
          <t>Current + previous period columns</t>
        </is>
      </c>
      <c r="C7" s="17" t="inlineStr">
        <is>
          <t>Present</t>
        </is>
      </c>
      <c r="D7" s="17" t="inlineStr">
        <is>
          <t>All face statements and notes</t>
        </is>
      </c>
      <c r="E7" s="17" t="inlineStr">
        <is>
          <t>None</t>
        </is>
      </c>
      <c r="F7" s="17" t="inlineStr">
        <is>
          <t>PASS</t>
        </is>
      </c>
    </row>
    <row r="8">
      <c r="A8" s="17" t="inlineStr">
        <is>
          <t>Special statements</t>
        </is>
      </c>
      <c r="B8" s="17" t="inlineStr">
        <is>
          <t>CFS/SOCE/NAV/NDCF where profile requires</t>
        </is>
      </c>
      <c r="C8" s="17" t="inlineStr">
        <is>
          <t>Present as structured blocks</t>
        </is>
      </c>
      <c r="D8" s="17" t="inlineStr">
        <is>
          <t>Profile special sections</t>
        </is>
      </c>
      <c r="E8" s="17" t="inlineStr">
        <is>
          <t>AAH calculation engine to populate</t>
        </is>
      </c>
      <c r="F8" s="17" t="inlineStr">
        <is>
          <t>PASS</t>
        </is>
      </c>
    </row>
    <row r="9">
      <c r="A9" s="17" t="inlineStr">
        <is>
          <t>Formula integrity</t>
        </is>
      </c>
      <c r="B9" s="17" t="inlineStr">
        <is>
          <t>Workbook formula error scan</t>
        </is>
      </c>
      <c r="C9" s="17" t="inlineStr">
        <is>
          <t>No #REF/#DIV0/#VALUE/#NAME/#N/A</t>
        </is>
      </c>
      <c r="D9" s="17" t="inlineStr">
        <is>
          <t>Fresh import verification</t>
        </is>
      </c>
      <c r="E9" s="17" t="inlineStr">
        <is>
          <t>None</t>
        </is>
      </c>
      <c r="F9" s="17" t="inlineStr">
        <is>
          <t>PASS</t>
        </is>
      </c>
    </row>
    <row r="10">
      <c r="A10" s="17" t="inlineStr">
        <is>
          <t>Visual presentation</t>
        </is>
      </c>
      <c r="B10" s="17" t="inlineStr">
        <is>
          <t>Company AS / NCE / Bank / REIT sampled</t>
        </is>
      </c>
      <c r="C10" s="17" t="inlineStr">
        <is>
          <t>Clean professional hierarchy</t>
        </is>
      </c>
      <c r="D10" s="17" t="inlineStr">
        <is>
          <t>Rendered previews</t>
        </is>
      </c>
      <c r="E10" s="17" t="inlineStr">
        <is>
          <t>Final print-area setup can be applied inside AAH export</t>
        </is>
      </c>
      <c r="F10" s="17" t="inlineStr">
        <is>
          <t>PASS</t>
        </is>
      </c>
    </row>
    <row r="11">
      <c r="A11" s="17" t="inlineStr">
        <is>
          <t>AAH readiness</t>
        </is>
      </c>
      <c r="B11" s="17" t="inlineStr">
        <is>
          <t>Mapping keys embedded in note lines</t>
        </is>
      </c>
      <c r="C11" s="17" t="inlineStr">
        <is>
          <t>Ready for ledger mapping design</t>
        </is>
      </c>
      <c r="D11" s="17" t="inlineStr">
        <is>
          <t>AAH Mapping Key column</t>
        </is>
      </c>
      <c r="E11" s="17" t="inlineStr">
        <is>
          <t>Next phase: persistent ledger-to-key mapping</t>
        </is>
      </c>
      <c r="F11" s="17" t="inlineStr">
        <is>
          <t>PASS</t>
        </is>
      </c>
    </row>
    <row r="12">
      <c r="A12" s="17" t="n"/>
      <c r="B12" s="17" t="n"/>
      <c r="C12" s="17" t="n"/>
      <c r="D12" s="17" t="n"/>
      <c r="E12" s="17" t="n"/>
      <c r="F12" s="17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style="82" min="1" max="1"/>
    <col width="55" customWidth="1" style="82" min="2" max="2"/>
  </cols>
  <sheetData>
    <row r="1">
      <c r="A1" s="97" t="inlineStr">
        <is>
          <t>AAH Financial Statements - Basic Information</t>
        </is>
      </c>
      <c r="B1" s="97" t="str"/>
    </row>
    <row r="2">
      <c r="A2" s="17" t="n"/>
      <c r="B2" s="17" t="n"/>
    </row>
    <row r="3">
      <c r="A3" s="98" t="inlineStr">
        <is>
          <t>Entity Name</t>
        </is>
      </c>
      <c r="B3" s="99" t="str"/>
    </row>
    <row r="4">
      <c r="A4" s="98" t="inlineStr">
        <is>
          <t>Mailing Name</t>
        </is>
      </c>
      <c r="B4" s="99" t="str"/>
    </row>
    <row r="5">
      <c r="A5" s="98" t="inlineStr">
        <is>
          <t>Address</t>
        </is>
      </c>
      <c r="B5" s="99" t="str"/>
    </row>
    <row r="6">
      <c r="A6" s="98" t="inlineStr">
        <is>
          <t>PAN</t>
        </is>
      </c>
      <c r="B6" s="99" t="str"/>
    </row>
    <row r="7">
      <c r="A7" s="98" t="inlineStr">
        <is>
          <t>GSTIN</t>
        </is>
      </c>
      <c r="B7" s="99" t="str"/>
    </row>
    <row r="8">
      <c r="A8" s="98" t="inlineStr">
        <is>
          <t>Entity Type</t>
        </is>
      </c>
      <c r="B8" s="99" t="str"/>
    </row>
    <row r="9">
      <c r="A9" s="98" t="inlineStr">
        <is>
          <t>Current Year End</t>
        </is>
      </c>
      <c r="B9" s="99" t="str"/>
    </row>
    <row r="10">
      <c r="A10" s="98" t="inlineStr">
        <is>
          <t>Previous Year End</t>
        </is>
      </c>
      <c r="B10" s="99" t="str"/>
    </row>
    <row r="11">
      <c r="A11" s="98" t="inlineStr">
        <is>
          <t>Rounding</t>
        </is>
      </c>
      <c r="B11" s="99" t="str"/>
    </row>
    <row r="12">
      <c r="A12" s="98" t="inlineStr">
        <is>
          <t>PPE / FA Block</t>
        </is>
      </c>
      <c r="B12" s="99" t="str"/>
    </row>
    <row r="13">
      <c r="A13" s="98" t="inlineStr">
        <is>
          <t>Entity Signatory</t>
        </is>
      </c>
      <c r="B13" s="99" t="str"/>
    </row>
    <row r="14">
      <c r="A14" s="98" t="inlineStr">
        <is>
          <t>Designation</t>
        </is>
      </c>
      <c r="B14" s="99" t="str"/>
    </row>
    <row r="15">
      <c r="A15" s="98" t="inlineStr">
        <is>
          <t>DIN</t>
        </is>
      </c>
      <c r="B15" s="99" t="str"/>
    </row>
    <row r="16">
      <c r="A16" s="98" t="inlineStr">
        <is>
          <t>Signing Date</t>
        </is>
      </c>
      <c r="B16" s="99" t="str"/>
    </row>
    <row r="17">
      <c r="A17" s="98" t="inlineStr">
        <is>
          <t>Signing Place</t>
        </is>
      </c>
      <c r="B17" s="99" t="str"/>
    </row>
    <row r="18">
      <c r="A18" s="98" t="inlineStr">
        <is>
          <t>Audit Firm</t>
        </is>
      </c>
      <c r="B18" s="99" t="str"/>
    </row>
    <row r="19">
      <c r="A19" s="98" t="inlineStr">
        <is>
          <t>FRN</t>
        </is>
      </c>
      <c r="B19" s="99" t="str"/>
    </row>
    <row r="20">
      <c r="A20" s="98" t="inlineStr">
        <is>
          <t>Signing CA</t>
        </is>
      </c>
      <c r="B20" s="99" t="str"/>
    </row>
    <row r="21">
      <c r="A21" s="98" t="inlineStr">
        <is>
          <t>CA Designation</t>
        </is>
      </c>
      <c r="B21" s="99" t="str"/>
    </row>
    <row r="22">
      <c r="A22" s="98" t="inlineStr">
        <is>
          <t>Membership No.</t>
        </is>
      </c>
      <c r="B22" s="99" t="str"/>
    </row>
    <row r="23">
      <c r="A23" s="98" t="inlineStr">
        <is>
          <t>Audit Place</t>
        </is>
      </c>
      <c r="B23" s="99" t="str"/>
    </row>
    <row r="24">
      <c r="A24" s="98" t="inlineStr">
        <is>
          <t>Presentation Unit</t>
        </is>
      </c>
      <c r="B24" s="99" t="str"/>
    </row>
    <row r="25">
      <c r="A25" s="98" t="inlineStr">
        <is>
          <t>Standalone / Consolidated</t>
        </is>
      </c>
      <c r="B25" s="99" t="str"/>
    </row>
    <row r="26">
      <c r="A26" s="98" t="inlineStr">
        <is>
          <t>Previous Year Tally Company</t>
        </is>
      </c>
      <c r="B26" s="99" t="str"/>
    </row>
    <row r="27">
      <c r="A27" s="98" t="inlineStr">
        <is>
          <t>LLPIN / Registration ID</t>
        </is>
      </c>
      <c r="B27" s="99" t="str"/>
    </row>
    <row r="28">
      <c r="A28" t="inlineStr">
        <is>
          <t>Current Year Company Name</t>
        </is>
      </c>
    </row>
    <row r="29">
      <c r="A29" t="inlineStr">
        <is>
          <t>Previous Year Company Name</t>
        </is>
      </c>
    </row>
    <row r="30">
      <c r="A30" t="inlineStr">
        <is>
          <t>CA Signing 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2026-09-18T03:59:35Z</dcterms:created>
  <dcterms:modified xmlns:dcterms="http://purl.org/dc/terms/" xmlns:xsi="http://www.w3.org/2001/XMLSchema-instance" xsi:type="dcterms:W3CDTF">2026-09-18T03:59:35Z</dcterms:modified>
</cp:coreProperties>
</file>