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fbd5740419480b" /></Relationships>
</file>

<file path=xl/workbook.xml><?xml version="1.0" encoding="utf-8"?>
<x:workbook xmlns:x="http://schemas.openxmlformats.org/spreadsheetml/2006/main">
  <x:sheets>
    <x:sheet xmlns:r="http://schemas.openxmlformats.org/officeDocument/2006/relationships" name="Basic Info" sheetId="1" r:id="R100e1ddb28334677"/>
    <x:sheet xmlns:r="http://schemas.openxmlformats.org/officeDocument/2006/relationships" name="NCE Balance Sheet" sheetId="2" r:id="R598b9f00f1774588"/>
    <x:sheet xmlns:r="http://schemas.openxmlformats.org/officeDocument/2006/relationships" name="NCE Notes 1-3" sheetId="3" r:id="R5b0450f678fe4732"/>
    <x:sheet xmlns:r="http://schemas.openxmlformats.org/officeDocument/2006/relationships" name="NCE Notes 4-6" sheetId="4" r:id="R2e94bd3b5a9944ee"/>
    <x:sheet xmlns:r="http://schemas.openxmlformats.org/officeDocument/2006/relationships" name="NCE Notes 7-10" sheetId="5" r:id="R638976ffd9bd48bc"/>
    <x:sheet xmlns:r="http://schemas.openxmlformats.org/officeDocument/2006/relationships" name="NCE Note 11" sheetId="6" r:id="R3f7adc4838974091"/>
    <x:sheet xmlns:r="http://schemas.openxmlformats.org/officeDocument/2006/relationships" name="NCE Notes 12-18" sheetId="7" r:id="R46c89006307d4692"/>
    <x:sheet xmlns:r="http://schemas.openxmlformats.org/officeDocument/2006/relationships" name="LLP Balance Sheet" sheetId="8" r:id="R4356117c00c247d3"/>
    <x:sheet xmlns:r="http://schemas.openxmlformats.org/officeDocument/2006/relationships" name="LLP Note 3" sheetId="9" r:id="R71638cf5202c419e"/>
    <x:sheet xmlns:r="http://schemas.openxmlformats.org/officeDocument/2006/relationships" name="LLP Notes 4-6" sheetId="10" r:id="R3b6b4b386dff4c0a"/>
    <x:sheet xmlns:r="http://schemas.openxmlformats.org/officeDocument/2006/relationships" name="LLP Notes 7-10" sheetId="11" r:id="Ra687587ec633471b"/>
    <x:sheet xmlns:r="http://schemas.openxmlformats.org/officeDocument/2006/relationships" name="LLP Note 11" sheetId="12" r:id="Rdeb57cf763844f5c"/>
    <x:sheet xmlns:r="http://schemas.openxmlformats.org/officeDocument/2006/relationships" name="LLP Notes 12-18" sheetId="13" r:id="R4a4ee9a016624cda"/>
    <x:sheet xmlns:r="http://schemas.openxmlformats.org/officeDocument/2006/relationships" name="Div I Balance Sheet" sheetId="14" r:id="R3df6465302844d9b"/>
    <x:sheet xmlns:r="http://schemas.openxmlformats.org/officeDocument/2006/relationships" name="Div II Balance Sheet" sheetId="15" r:id="Rbe70606edf404414"/>
    <x:sheet xmlns:r="http://schemas.openxmlformats.org/officeDocument/2006/relationships" name="Div III Balance Sheet" sheetId="16" r:id="R14bd3e7d662f4d16"/>
    <x:sheet xmlns:r="http://schemas.openxmlformats.org/officeDocument/2006/relationships" name="Div I Notes" sheetId="17" r:id="R0f0cba06e5634fe1"/>
    <x:sheet xmlns:r="http://schemas.openxmlformats.org/officeDocument/2006/relationships" name="Div II Notes" sheetId="18" r:id="Rcf73f596d3144d53"/>
    <x:sheet xmlns:r="http://schemas.openxmlformats.org/officeDocument/2006/relationships" name="Div III Notes" sheetId="19" r:id="R3050d6f2adbb43b6"/>
    <x:sheet xmlns:r="http://schemas.openxmlformats.org/officeDocument/2006/relationships" name="_System_1" sheetId="20" r:id="R748b283224284be3"/>
    <x:sheet xmlns:r="http://schemas.openxmlformats.org/officeDocument/2006/relationships" name="_System_2" sheetId="21" r:id="R5fb612f7635843ac"/>
    <x:sheet xmlns:r="http://schemas.openxmlformats.org/officeDocument/2006/relationships" name="_System_3" sheetId="22" r:id="Racf8b902884b4f3b"/>
    <x:sheet xmlns:r="http://schemas.openxmlformats.org/officeDocument/2006/relationships" name="_System_4" sheetId="23" r:id="R6c56f7b79abb4427"/>
    <x:sheet xmlns:r="http://schemas.openxmlformats.org/officeDocument/2006/relationships" name="_System_5" sheetId="24" r:id="R5655a654d7b449db"/>
    <x:sheet xmlns:r="http://schemas.openxmlformats.org/officeDocument/2006/relationships" name="_System_6" sheetId="25" r:id="R45a4b7559353434a"/>
    <x:sheet xmlns:r="http://schemas.openxmlformats.org/officeDocument/2006/relationships" name="_System_7" sheetId="26" r:id="Re1345d2c21e24f19"/>
    <x:sheet xmlns:r="http://schemas.openxmlformats.org/officeDocument/2006/relationships" name="_System_8" sheetId="27" r:id="Rb4f6a824ca5f437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dd-mmm-yyyy"/>
    <x:numFmt numFmtId="201" formatCode="dddd, mmmm d, yyyy"/>
    <x:numFmt numFmtId="202" formatCode="0%"/>
    <x:numFmt numFmtId="203" formatCode="#,##0.00;[Red](#,##0.00);-"/>
    <x:numFmt numFmtId="204" formatCode="0"/>
    <x:numFmt numFmtId="205" formatCode="0.00%"/>
  </x:numFmts>
  <x:fonts count="39">
    <x:font>
      <x:sz val="11"/>
      <x:name val="Carlito"/>
    </x:font>
    <x:font>
      <x:sz val="10"/>
      <x:color rgb="FF000000"/>
      <x:name val="Arial"/>
    </x:font>
    <x:font>
      <x:b/>
      <x:sz val="16"/>
      <x:color rgb="FFFFFFFF"/>
      <x:name val="Arial"/>
    </x:font>
    <x:font>
      <x:b/>
      <x:sz val="12"/>
      <x:color rgb="FFFFFFFF"/>
      <x:name val="Arial"/>
    </x:font>
    <x:font>
      <x:sz val="11"/>
      <x:color rgb="FF000000"/>
      <x:name val="Arial"/>
    </x:font>
    <x:font>
      <x:b/>
      <x:sz val="11"/>
      <x:color rgb="FFFFFFFF"/>
      <x:name val="Arial"/>
    </x:font>
    <x:font>
      <x:b/>
      <x:sz val="11"/>
      <x:color rgb="FF000000"/>
      <x:name val="Arial"/>
    </x:font>
    <x:font>
      <x:b/>
      <x:sz val="10"/>
      <x:color rgb="FF000000"/>
      <x:name val="Arial"/>
    </x:font>
    <x:font>
      <x:i/>
      <x:sz val="8"/>
      <x:color rgb="FF666666"/>
      <x:name val="Arial"/>
    </x:font>
    <x:font>
      <x:b/>
      <x:sz val="10"/>
      <x:color rgb="FF2A67B2"/>
      <x:name val="Arial"/>
    </x:font>
    <x:font>
      <x:b/>
      <x:sz val="15"/>
      <x:color rgb="FFFFFFFF"/>
      <x:name val="Arial"/>
    </x:font>
    <x:font>
      <x:b/>
      <x:sz val="12"/>
      <x:color rgb="FF008000"/>
      <x:name val="Arial"/>
    </x:font>
    <x:font>
      <x:i/>
      <x:sz val="10"/>
      <x:color rgb="FF008000"/>
      <x:name val="Arial"/>
    </x:font>
    <x:font>
      <x:b/>
      <x:sz val="11"/>
      <x:color rgb="FF2A67B2"/>
      <x:name val="Arial"/>
    </x:font>
    <x:font>
      <x:sz val="10"/>
      <x:color rgb="FF0000FF"/>
      <x:name val="Arial"/>
    </x:font>
    <x:font>
      <x:b/>
      <x:sz val="11"/>
      <x:color rgb="FF008000"/>
      <x:name val="Arial"/>
    </x:font>
    <x:font>
      <x:b/>
      <x:sz val="10"/>
      <x:color rgb="FF008000"/>
      <x:name val="Arial"/>
    </x:font>
    <x:font>
      <x:b/>
      <x:sz val="10"/>
      <x:color rgb="FF0000FF"/>
      <x:name val="Arial"/>
    </x:font>
    <x:font>
      <x:b/>
      <x:sz val="10"/>
      <x:color rgb="FFFFFFFF"/>
      <x:name val="Arial"/>
    </x:font>
    <x:font>
      <x:b/>
      <x:sz val="10"/>
      <x:color rgb="FF0563C1"/>
      <x:name val="Arial"/>
    </x:font>
    <x:font>
      <x:b/>
      <x:sz val="9"/>
      <x:color rgb="FF404040"/>
      <x:name val="Arial"/>
    </x:font>
    <x:font>
      <x:i/>
      <x:sz val="10"/>
      <x:color rgb="FF000000"/>
      <x:name val="Arial"/>
    </x:font>
    <x:font>
      <x:b/>
      <x:sz val="13"/>
      <x:color rgb="FFFFFFFF"/>
      <x:name val="Arial"/>
    </x:font>
    <x:font>
      <x:b/>
      <x:i/>
      <x:sz val="10"/>
      <x:color rgb="FF008000"/>
      <x:name val="Arial"/>
    </x:font>
    <x:font>
      <x:sz val="9"/>
      <x:color rgb="FF000000"/>
      <x:name val="Arial"/>
    </x:font>
    <x:font>
      <x:b/>
      <x:sz val="11"/>
      <x:color rgb="FF1F4E78"/>
      <x:name val="Arial"/>
    </x:font>
    <x:font>
      <x:b/>
      <x:sz val="9"/>
      <x:color rgb="FF000000"/>
      <x:name val="Arial"/>
    </x:font>
    <x:font>
      <x:sz val="9"/>
      <x:color rgb="FF0000FF"/>
      <x:name val="Arial"/>
    </x:font>
    <x:font>
      <x:b/>
      <x:sz val="9"/>
      <x:color rgb="FF0000FF"/>
      <x:name val="Arial"/>
    </x:font>
    <x:font>
      <x:i/>
      <x:sz val="9"/>
      <x:color rgb="FF0000FF"/>
      <x:name val="Arial"/>
    </x:font>
    <x:font>
      <x:i/>
      <x:sz val="9"/>
      <x:color rgb="FF000000"/>
      <x:name val="Arial"/>
    </x:font>
    <x:font>
      <x:b/>
      <x:sz val="10"/>
      <x:color rgb="FF00B050"/>
      <x:name val="Arial"/>
    </x:font>
    <x:font>
      <x:b/>
      <x:i/>
      <x:sz val="10"/>
      <x:color rgb="FF000000"/>
      <x:name val="Arial"/>
    </x:font>
    <x:font>
      <x:sz val="10"/>
      <x:color rgb="FF000000"/>
      <x:name val="Arial"/>
    </x:font>
    <x:font>
      <x:sz val="9"/>
      <x:color rgb="FF0070C0"/>
      <x:name val="Arial"/>
    </x:font>
    <x:font>
      <x:b/>
      <x:sz val="9"/>
      <x:color rgb="FF0070C0"/>
      <x:name val="Arial"/>
    </x:font>
    <x:font>
      <x:i/>
      <x:sz val="9"/>
      <x:color rgb="FF0070C0"/>
      <x:name val="Arial"/>
    </x:font>
    <x:font>
      <x:b/>
      <x:sz val="14"/>
      <x:color rgb="FFFFFFFF"/>
      <x:name val="Arial"/>
    </x:font>
    <x:font>
      <x:b/>
      <x:sz val="10"/>
      <x:color rgb="FF404040"/>
      <x:name val="Arial"/>
    </x:font>
  </x:fonts>
  <x:fills count="43">
    <x:fill>
      <x:patternFill patternType="none"/>
    </x:fill>
    <x:fill>
      <x:patternFill patternType="gray125"/>
    </x:fill>
    <x:fill>
      <x:patternFill patternType="solid">
        <x:fgColor rgb="FF2A67B2"/>
      </x:patternFill>
    </x:fill>
    <x:fill>
      <x:patternFill patternType="solid">
        <x:fgColor rgb="FFFFFFFF"/>
      </x:patternFill>
    </x:fill>
    <x:fill>
      <x:patternFill patternType="solid">
        <x:fgColor rgb="FF2F75B5"/>
      </x:patternFill>
    </x:fill>
    <x:fill>
      <x:patternFill patternType="solid">
        <x:fgColor rgb="FFFFECA9"/>
      </x:patternFill>
    </x:fill>
    <x:fill>
      <x:patternFill patternType="solid">
        <x:fgColor rgb="FFA2DADB"/>
      </x:patternFill>
    </x:fill>
    <x:fill>
      <x:patternFill patternType="solid">
        <x:fgColor rgb="FFFFFFFF"/>
      </x:patternFill>
    </x:fill>
    <x:fill>
      <x:patternFill patternType="solid">
        <x:fgColor rgb="FFFFECA9"/>
      </x:patternFill>
    </x:fill>
    <x:fill>
      <x:patternFill patternType="solid">
        <x:fgColor rgb="FF2A67B2"/>
      </x:patternFill>
    </x:fill>
    <x:fill>
      <x:patternFill patternType="solid">
        <x:fgColor rgb="FFA2DADB"/>
      </x:patternFill>
    </x:fill>
    <x:fill>
      <x:patternFill patternType="solid">
        <x:fgColor rgb="FFD9EAF7"/>
      </x:patternFill>
    </x:fill>
    <x:fill>
      <x:patternFill patternType="solid">
        <x:fgColor rgb="FFFFECA9"/>
      </x:patternFill>
    </x:fill>
    <x:fill>
      <x:patternFill patternType="solid">
        <x:fgColor rgb="FFFFFFFF"/>
      </x:patternFill>
    </x:fill>
    <x:fill>
      <x:patternFill patternType="solid">
        <x:fgColor rgb="FFF2F2F2"/>
      </x:patternFill>
    </x:fill>
    <x:fill>
      <x:patternFill patternType="solid">
        <x:fgColor rgb="FF2A67B2"/>
      </x:patternFill>
    </x:fill>
    <x:fill>
      <x:patternFill patternType="solid">
        <x:fgColor rgb="FFD9EAF7"/>
      </x:patternFill>
    </x:fill>
    <x:fill>
      <x:patternFill patternType="solid">
        <x:fgColor rgb="FFFFECA9"/>
      </x:patternFill>
    </x:fill>
    <x:fill>
      <x:patternFill patternType="solid">
        <x:fgColor rgb="FFE7E6E6"/>
      </x:patternFill>
    </x:fill>
    <x:fill>
      <x:patternFill patternType="solid">
        <x:fgColor rgb="FFFFFFFF"/>
      </x:patternFill>
    </x:fill>
    <x:fill>
      <x:patternFill patternType="solid">
        <x:fgColor rgb="FF1F4E78"/>
      </x:patternFill>
    </x:fill>
    <x:fill>
      <x:patternFill patternType="solid">
        <x:fgColor rgb="FFD9EAF7"/>
      </x:patternFill>
    </x:fill>
    <x:fill>
      <x:patternFill patternType="solid">
        <x:fgColor rgb="FFA2DADB"/>
      </x:patternFill>
    </x:fill>
    <x:fill>
      <x:patternFill patternType="solid">
        <x:fgColor rgb="FFFFF2CC"/>
      </x:patternFill>
    </x:fill>
    <x:fill>
      <x:patternFill patternType="solid">
        <x:fgColor rgb="FFE7E6E6"/>
      </x:patternFill>
    </x:fill>
    <x:fill>
      <x:patternFill patternType="solid">
        <x:fgColor rgb="FFFFFFFF"/>
      </x:patternFill>
    </x:fill>
    <x:fill>
      <x:patternFill patternType="solid">
        <x:fgColor rgb="FFF2F2F2"/>
      </x:patternFill>
    </x:fill>
    <x:fill>
      <x:patternFill patternType="solid">
        <x:fgColor rgb="FFD9EAF7"/>
      </x:patternFill>
    </x:fill>
    <x:fill>
      <x:patternFill patternType="solid">
        <x:fgColor rgb="FFFFECA9"/>
      </x:patternFill>
    </x:fill>
    <x:fill>
      <x:patternFill patternType="solid">
        <x:fgColor rgb="FFFFFFFF"/>
      </x:patternFill>
    </x:fill>
    <x:fill>
      <x:patternFill patternType="solid">
        <x:fgColor rgb="FFFFE699"/>
      </x:patternFill>
    </x:fill>
    <x:fill>
      <x:patternFill patternType="solid">
        <x:fgColor rgb="FF1F4E78"/>
      </x:patternFill>
    </x:fill>
    <x:fill>
      <x:patternFill patternType="solid">
        <x:fgColor rgb="FFFFFFFF"/>
      </x:patternFill>
    </x:fill>
    <x:fill>
      <x:patternFill patternType="solid">
        <x:fgColor rgb="FFEAF2F8"/>
      </x:patternFill>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FAFAFA"/>
      </x:patternFill>
    </x:fill>
    <x:fill>
      <x:patternFill patternType="solid">
        <x:fgColor rgb="FF1F4E78"/>
      </x:patternFill>
    </x:fill>
    <x:fill>
      <x:patternFill patternType="solid">
        <x:fgColor rgb="FFFFFFFF"/>
      </x:patternFill>
    </x:fill>
    <x:fill>
      <x:patternFill patternType="solid">
        <x:fgColor rgb="FFD9EAF7"/>
      </x:patternFill>
    </x:fill>
    <x:fill>
      <x:patternFill patternType="solid">
        <x:fgColor rgb="FFFFF2CC"/>
      </x:patternFill>
    </x:fill>
    <x:fill>
      <x:patternFill patternType="solid">
        <x:fgColor rgb="FFF2F2F2"/>
      </x:patternFill>
    </x:fill>
  </x:fills>
  <x:borders count="125">
    <x:border/>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border>
    <x:border>
      <x:right style="thin">
        <x:color rgb="FF000000"/>
      </x:right>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right style="thin"/>
      <x:top style="thin">
        <x:color rgb="FF000000"/>
      </x:top>
    </x:border>
    <x:border>
      <x:left style="thin"/>
      <x:right style="thin"/>
      <x:top style="thin">
        <x:color rgb="FF000000"/>
      </x:top>
    </x:border>
    <x:border>
      <x:left style="thin"/>
      <x:right style="thin">
        <x:color rgb="FF000000"/>
      </x:right>
      <x:top style="thin">
        <x:color rgb="FF000000"/>
      </x:top>
    </x:border>
    <x:border>
      <x:left style="thin">
        <x:color rgb="FF000000"/>
      </x:left>
      <x:right style="thin"/>
    </x:border>
    <x:border>
      <x:left style="thin"/>
      <x:right style="thin"/>
    </x:border>
    <x:border>
      <x:left style="thin"/>
      <x:right style="thin">
        <x:color rgb="FF000000"/>
      </x:right>
    </x:border>
    <x:border>
      <x:left style="thin">
        <x:color rgb="FF000000"/>
      </x:left>
      <x:right style="thin"/>
      <x:bottom style="thin">
        <x:color rgb="FF000000"/>
      </x:bottom>
    </x:border>
    <x:border>
      <x:left style="thin"/>
      <x:right style="thin"/>
      <x:bottom style="thin">
        <x:color rgb="FF000000"/>
      </x:bottom>
    </x:border>
    <x:border>
      <x:left style="thin"/>
      <x:right style="thin">
        <x:color rgb="FF000000"/>
      </x:right>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top style="thin">
        <x:color rgb="FF000000"/>
      </x:top>
      <x:bottom style="thin">
        <x:color rgb="FF000000"/>
      </x:bottom>
    </x:border>
    <x:border>
      <x:left style="thin"/>
      <x:right style="thin"/>
      <x:top style="thin">
        <x:color rgb="FF000000"/>
      </x:top>
      <x:bottom style="thin">
        <x:color rgb="FF000000"/>
      </x:bottom>
    </x:border>
    <x:border>
      <x:left style="thin"/>
      <x:right style="thin">
        <x:color rgb="FF000000"/>
      </x:right>
      <x:top style="thin">
        <x:color rgb="FF000000"/>
      </x:top>
      <x:bottom style="thin">
        <x:color rgb="FF000000"/>
      </x:bottom>
    </x:border>
    <x:border>
      <x:left style="thin">
        <x:color rgb="FF000000"/>
      </x:left>
      <x:right style="thin">
        <x:color rgb="FF000000"/>
      </x:right>
      <x:bottom style="thin"/>
    </x:border>
    <x:border>
      <x:left style="thin">
        <x:color rgb="FF000000"/>
      </x:left>
      <x:right style="thin">
        <x:color rgb="FF000000"/>
      </x:right>
      <x:top style="thin"/>
      <x:bottom style="thin"/>
    </x:border>
    <x:border>
      <x:left style="thin">
        <x:color rgb="FF000000"/>
      </x:left>
      <x:right style="thin">
        <x:color rgb="FF000000"/>
      </x:right>
      <x:top style="thin"/>
      <x:bottom style="thin">
        <x:color rgb="FF000000"/>
      </x:bottom>
    </x:border>
    <x:border>
      <x:left style="thin">
        <x:color rgb="FF000000"/>
      </x:left>
      <x:right style="thin">
        <x:color rgb="FF000000"/>
      </x:right>
      <x:top style="thin"/>
    </x:border>
    <x:border>
      <x:left style="thin">
        <x:color rgb="FF000000"/>
      </x:left>
      <x:right style="thin">
        <x:color rgb="FF000000"/>
      </x:right>
      <x:top style="thin">
        <x:color rgb="FF000000"/>
      </x:top>
      <x:bottom style="thin"/>
    </x:border>
    <x:border>
      <x:left style="thin">
        <x:color rgb="FF000000"/>
      </x:left>
      <x:right style="thin">
        <x:color rgb="FF000000"/>
      </x:right>
      <x:top style="thin">
        <x:color rgb="FF000000"/>
      </x:top>
      <x:bottom style="double"/>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thin">
        <x:color rgb="FF000000"/>
      </x:top>
      <x:bottom style="thin">
        <x:color rgb="FFBFBFBF"/>
      </x:bottom>
    </x:border>
    <x:border>
      <x:left style="thin">
        <x:color rgb="FF000000"/>
      </x:left>
      <x:right style="thin">
        <x:color rgb="FF000000"/>
      </x:right>
      <x:top style="thin">
        <x:color rgb="FFBFBFBF"/>
      </x:top>
      <x:bottom style="thin">
        <x:color rgb="FFBFBFBF"/>
      </x:bottom>
    </x:border>
    <x:border>
      <x:left style="thin">
        <x:color rgb="FF000000"/>
      </x:left>
      <x:right style="thin">
        <x:color rgb="FF000000"/>
      </x:right>
      <x:top style="thin">
        <x:color rgb="FFBFBFBF"/>
      </x:top>
      <x:bottom style="thin">
        <x:color rgb="FF000000"/>
      </x:bottom>
    </x:border>
    <x:border>
      <x:left style="thin">
        <x:color rgb="FF000000"/>
      </x:left>
      <x:right style="thin"/>
      <x:top style="thin">
        <x:color rgb="FF000000"/>
      </x:top>
      <x:bottom style="thin">
        <x:color rgb="FFBFBFBF"/>
      </x:bottom>
    </x:border>
    <x:border>
      <x:left style="thin"/>
      <x:right style="thin"/>
      <x:top style="thin">
        <x:color rgb="FF000000"/>
      </x:top>
      <x:bottom style="thin">
        <x:color rgb="FFBFBFBF"/>
      </x:bottom>
    </x:border>
    <x:border>
      <x:left style="thin"/>
      <x:right style="thin">
        <x:color rgb="FF000000"/>
      </x:right>
      <x:top style="thin">
        <x:color rgb="FF000000"/>
      </x:top>
      <x:bottom style="thin">
        <x:color rgb="FFBFBFBF"/>
      </x:bottom>
    </x:border>
    <x:border>
      <x:left style="thin">
        <x:color rgb="FF000000"/>
      </x:left>
      <x:right style="thin"/>
      <x:top style="thin">
        <x:color rgb="FFBFBFBF"/>
      </x:top>
      <x:bottom style="thin">
        <x:color rgb="FFBFBFBF"/>
      </x:bottom>
    </x:border>
    <x:border>
      <x:left style="thin"/>
      <x:right style="thin"/>
      <x:top style="thin">
        <x:color rgb="FFBFBFBF"/>
      </x:top>
      <x:bottom style="thin">
        <x:color rgb="FFBFBFBF"/>
      </x:bottom>
    </x:border>
    <x:border>
      <x:left style="thin"/>
      <x:right style="thin">
        <x:color rgb="FF000000"/>
      </x:right>
      <x:top style="thin">
        <x:color rgb="FFBFBFBF"/>
      </x:top>
      <x:bottom style="thin">
        <x:color rgb="FFBFBFBF"/>
      </x:bottom>
    </x:border>
    <x:border>
      <x:left style="thin">
        <x:color rgb="FF000000"/>
      </x:left>
      <x:right style="thin"/>
      <x:top style="thin">
        <x:color rgb="FFBFBFBF"/>
      </x:top>
      <x:bottom style="thin">
        <x:color rgb="FF000000"/>
      </x:bottom>
    </x:border>
    <x:border>
      <x:left style="thin"/>
      <x:right style="thin"/>
      <x:top style="thin">
        <x:color rgb="FFBFBFBF"/>
      </x:top>
      <x:bottom style="thin">
        <x:color rgb="FF000000"/>
      </x:bottom>
    </x:border>
    <x:border>
      <x:left style="thin"/>
      <x:right style="thin">
        <x:color rgb="FF000000"/>
      </x:right>
      <x:top style="thin">
        <x:color rgb="FFBFBFBF"/>
      </x:top>
      <x:bottom style="thin">
        <x:color rgb="FF000000"/>
      </x:bottom>
    </x:border>
    <x:border>
      <x:left style="thin">
        <x:color rgb="FF000000"/>
      </x:left>
      <x:right style="thin">
        <x:color rgb="FFBFBFBF"/>
      </x:right>
      <x:top style="thin">
        <x:color rgb="FF000000"/>
      </x:top>
      <x:bottom style="thin">
        <x:color rgb="FFBFBFBF"/>
      </x:bottom>
    </x:border>
    <x:border>
      <x:left style="thin">
        <x:color rgb="FFBFBFBF"/>
      </x:left>
      <x:right style="thin">
        <x:color rgb="FFBFBFBF"/>
      </x:right>
      <x:top style="thin">
        <x:color rgb="FF000000"/>
      </x:top>
      <x:bottom style="thin">
        <x:color rgb="FFBFBFBF"/>
      </x:bottom>
    </x:border>
    <x:border>
      <x:left style="thin">
        <x:color rgb="FFBFBFBF"/>
      </x:left>
      <x:right style="thin">
        <x:color rgb="FF000000"/>
      </x:right>
      <x:top style="thin">
        <x:color rgb="FF000000"/>
      </x:top>
      <x:bottom style="thin">
        <x:color rgb="FFBFBFBF"/>
      </x:bottom>
    </x:border>
    <x:border>
      <x:left style="thin">
        <x:color rgb="FF000000"/>
      </x:left>
      <x:right style="thin">
        <x:color rgb="FFBFBFBF"/>
      </x:right>
      <x:top style="thin">
        <x:color rgb="FFBFBFBF"/>
      </x:top>
      <x:bottom style="thin">
        <x:color rgb="FFBFBFBF"/>
      </x:bottom>
    </x:border>
    <x:border>
      <x:left style="thin">
        <x:color rgb="FFBFBFBF"/>
      </x:left>
      <x:right style="thin">
        <x:color rgb="FFBFBFBF"/>
      </x:right>
      <x:top style="thin">
        <x:color rgb="FFBFBFBF"/>
      </x:top>
      <x:bottom style="thin">
        <x:color rgb="FFBFBFBF"/>
      </x:bottom>
    </x:border>
    <x:border>
      <x:left style="thin">
        <x:color rgb="FFBFBFBF"/>
      </x:left>
      <x:right style="thin">
        <x:color rgb="FF000000"/>
      </x:right>
      <x:top style="thin">
        <x:color rgb="FFBFBFBF"/>
      </x:top>
      <x:bottom style="thin">
        <x:color rgb="FFBFBFBF"/>
      </x:bottom>
    </x:border>
    <x:border>
      <x:left style="thin">
        <x:color rgb="FF000000"/>
      </x:left>
      <x:right style="thin">
        <x:color rgb="FFBFBFBF"/>
      </x:right>
      <x:top style="thin">
        <x:color rgb="FFBFBFBF"/>
      </x:top>
      <x:bottom style="thin">
        <x:color rgb="FF000000"/>
      </x:bottom>
    </x:border>
    <x:border>
      <x:left style="thin">
        <x:color rgb="FFBFBFBF"/>
      </x:left>
      <x:right style="thin">
        <x:color rgb="FFBFBFBF"/>
      </x:right>
      <x:top style="thin">
        <x:color rgb="FFBFBFBF"/>
      </x:top>
      <x:bottom style="thin">
        <x:color rgb="FF000000"/>
      </x:bottom>
    </x:border>
    <x:border>
      <x:left style="thin">
        <x:color rgb="FFBFBFBF"/>
      </x:left>
      <x:right style="thin">
        <x:color rgb="FF000000"/>
      </x:right>
      <x:top style="thin">
        <x:color rgb="FFBFBFBF"/>
      </x:top>
      <x:bottom style="thin">
        <x:color rgb="FF000000"/>
      </x:bottom>
    </x:border>
    <x:border>
      <x:left style="thin">
        <x:color rgb="FF000000"/>
      </x:left>
      <x:right style="thin">
        <x:color rgb="FFBFBFBF"/>
      </x:right>
      <x:top style="double">
        <x:color rgb="FFBFBFBF"/>
      </x:top>
      <x:bottom style="thin">
        <x:color rgb="FFBFBFBF"/>
      </x:bottom>
    </x:border>
    <x:border>
      <x:left style="thin">
        <x:color rgb="FFBFBFBF"/>
      </x:left>
      <x:right style="thin">
        <x:color rgb="FFBFBFBF"/>
      </x:right>
      <x:top style="double">
        <x:color rgb="FFBFBFBF"/>
      </x:top>
      <x:bottom style="thin">
        <x:color rgb="FFBFBFBF"/>
      </x:bottom>
    </x:border>
    <x:border>
      <x:left style="thin">
        <x:color rgb="FF000000"/>
      </x:left>
      <x:right style="thin">
        <x:color rgb="FFBFBFBF"/>
      </x:right>
      <x:top style="double">
        <x:color rgb="FF000000"/>
      </x:top>
      <x:bottom style="thin">
        <x:color rgb="FFBFBFBF"/>
      </x:bottom>
    </x:border>
    <x:border>
      <x:left style="thin">
        <x:color rgb="FFBFBFBF"/>
      </x:left>
      <x:right style="thin">
        <x:color rgb="FFBFBFBF"/>
      </x:right>
      <x:top style="double">
        <x:color rgb="FF000000"/>
      </x:top>
      <x:bottom style="thin">
        <x:color rgb="FFBFBFBF"/>
      </x:bottom>
    </x:border>
    <x:border>
      <x:left style="thin">
        <x:color rgb="FF000000"/>
      </x:left>
      <x:right style="thin">
        <x:color rgb="FFBFBFBF"/>
      </x:right>
      <x:top style="double">
        <x:color rgb="FF000000"/>
      </x:top>
      <x:bottom style="double">
        <x:color rgb="FFBFBFBF"/>
      </x:bottom>
    </x:border>
    <x:border>
      <x:left style="thin">
        <x:color rgb="FFBFBFBF"/>
      </x:left>
      <x:right style="thin">
        <x:color rgb="FFBFBFBF"/>
      </x:right>
      <x:top style="double">
        <x:color rgb="FF000000"/>
      </x:top>
      <x:bottom style="double">
        <x:color rgb="FFBFBFBF"/>
      </x:bottom>
    </x:border>
    <x:border>
      <x:left style="thin">
        <x:color rgb="FF000000"/>
      </x:left>
      <x:right style="thin">
        <x:color rgb="FFBFBFBF"/>
      </x:right>
      <x:top style="double">
        <x:color rgb="FF000000"/>
      </x:top>
      <x:bottom style="double">
        <x:color rgb="FF000000"/>
      </x:bottom>
    </x:border>
    <x:border>
      <x:left style="thin">
        <x:color rgb="FFBFBFBF"/>
      </x:left>
      <x:right style="thin">
        <x:color rgb="FFBFBFBF"/>
      </x:right>
      <x:top style="double">
        <x:color rgb="FF000000"/>
      </x:top>
      <x:bottom style="double">
        <x:color rgb="FF000000"/>
      </x:bottom>
    </x:border>
    <x:border>
      <x:left style="thin">
        <x:color rgb="FF000000"/>
      </x:left>
      <x:right style="thin">
        <x:color rgb="FFBFBFBF"/>
      </x:right>
      <x:top style="double">
        <x:color rgb="FFBFBFBF"/>
      </x:top>
      <x:bottom style="thin">
        <x:color rgb="FF000000"/>
      </x:bottom>
    </x:border>
    <x:border>
      <x:left style="thin">
        <x:color rgb="FFBFBFBF"/>
      </x:left>
      <x:right style="thin">
        <x:color rgb="FFBFBFBF"/>
      </x:right>
      <x:top style="double">
        <x:color rgb="FFBFBFBF"/>
      </x:top>
      <x:bottom style="thin">
        <x:color rgb="FF000000"/>
      </x:bottom>
    </x:border>
    <x:border>
      <x:left style="thin">
        <x:color rgb="FF000000"/>
      </x:left>
      <x:right style="thin">
        <x:color rgb="FFBFBFBF"/>
      </x:right>
      <x:top style="double">
        <x:color rgb="FF000000"/>
      </x:top>
      <x:bottom style="thin">
        <x:color rgb="FF000000"/>
      </x:bottom>
    </x:border>
    <x:border>
      <x:left style="thin">
        <x:color rgb="FFBFBFBF"/>
      </x:left>
      <x:right style="thin">
        <x:color rgb="FFBFBFBF"/>
      </x:right>
      <x:top style="double">
        <x:color rgb="FF000000"/>
      </x:top>
      <x:bottom style="thin">
        <x:color rgb="FF000000"/>
      </x:bottom>
    </x:border>
    <x:border>
      <x:top style="thin">
        <x:color rgb="FF000000"/>
      </x:top>
      <x:bottom style="thin"/>
    </x:border>
    <x:border>
      <x:right style="thin">
        <x:color rgb="FF000000"/>
      </x:right>
      <x:top style="thin">
        <x:color rgb="FF000000"/>
      </x:top>
      <x:bottom style="thin"/>
    </x:border>
    <x:border>
      <x:top style="thin"/>
      <x:bottom style="thin"/>
    </x:border>
    <x:border>
      <x:right style="thin">
        <x:color rgb="FF000000"/>
      </x:right>
      <x:top style="thin"/>
      <x:bottom style="thin"/>
    </x:border>
    <x:border>
      <x:top style="thin"/>
      <x:bottom style="thin">
        <x:color rgb="FF000000"/>
      </x:bottom>
    </x:border>
    <x:border>
      <x:right style="thin">
        <x:color rgb="FF000000"/>
      </x:right>
      <x:top style="thin"/>
      <x:bottom style="thin">
        <x:color rgb="FF000000"/>
      </x:bottom>
    </x:border>
    <x:border>
      <x:left style="thin">
        <x:color rgb="FF000000"/>
      </x:left>
      <x:right style="thin">
        <x:color rgb="FF000000"/>
      </x:right>
      <x:top style="thin">
        <x:color rgb="FF000000"/>
      </x:top>
      <x:bottom style="thin">
        <x:color rgb="FFD9D9D9"/>
      </x:bottom>
    </x:border>
    <x:border>
      <x:top style="thin">
        <x:color rgb="FF000000"/>
      </x:top>
      <x:bottom style="thin">
        <x:color rgb="FFD9D9D9"/>
      </x:bottom>
    </x:border>
    <x:border>
      <x:right style="thin">
        <x:color rgb="FF000000"/>
      </x:right>
      <x:top style="thin">
        <x:color rgb="FF000000"/>
      </x:top>
      <x:bottom style="thin">
        <x:color rgb="FFD9D9D9"/>
      </x:bottom>
    </x:border>
    <x:border>
      <x:left style="thin">
        <x:color rgb="FF000000"/>
      </x:left>
      <x:right style="thin">
        <x:color rgb="FF000000"/>
      </x:right>
      <x:top style="thin">
        <x:color rgb="FFD9D9D9"/>
      </x:top>
      <x:bottom style="thin">
        <x:color rgb="FFD9D9D9"/>
      </x:bottom>
    </x:border>
    <x:border>
      <x:top style="thin">
        <x:color rgb="FFD9D9D9"/>
      </x:top>
      <x:bottom style="thin">
        <x:color rgb="FFD9D9D9"/>
      </x:bottom>
    </x:border>
    <x:border>
      <x:right style="thin">
        <x:color rgb="FF000000"/>
      </x:right>
      <x:top style="thin">
        <x:color rgb="FFD9D9D9"/>
      </x:top>
      <x:bottom style="thin">
        <x:color rgb="FFD9D9D9"/>
      </x:bottom>
    </x:border>
    <x:border>
      <x:left style="thin">
        <x:color rgb="FF000000"/>
      </x:left>
      <x:right style="thin">
        <x:color rgb="FF000000"/>
      </x:right>
      <x:top style="thin">
        <x:color rgb="FFD9D9D9"/>
      </x:top>
      <x:bottom style="thin">
        <x:color rgb="FF000000"/>
      </x:bottom>
    </x:border>
    <x:border>
      <x:top style="thin">
        <x:color rgb="FFD9D9D9"/>
      </x:top>
      <x:bottom style="thin">
        <x:color rgb="FF000000"/>
      </x:bottom>
    </x:border>
    <x:border>
      <x:right style="thin">
        <x:color rgb="FF000000"/>
      </x:right>
      <x:top style="thin">
        <x:color rgb="FFD9D9D9"/>
      </x:top>
      <x:bottom style="thin">
        <x:color rgb="FF000000"/>
      </x:bottom>
    </x:border>
    <x:border>
      <x:left style="thin">
        <x:color rgb="FF000000"/>
      </x:left>
      <x:right style="thin"/>
      <x:top style="thin">
        <x:color rgb="FF000000"/>
      </x:top>
      <x:bottom style="thin">
        <x:color rgb="FFD9D9D9"/>
      </x:bottom>
    </x:border>
    <x:border>
      <x:left style="thin"/>
      <x:right style="thin"/>
      <x:top style="thin">
        <x:color rgb="FF000000"/>
      </x:top>
      <x:bottom style="thin">
        <x:color rgb="FFD9D9D9"/>
      </x:bottom>
    </x:border>
    <x:border>
      <x:left style="thin"/>
      <x:right style="thin">
        <x:color rgb="FF000000"/>
      </x:right>
      <x:top style="thin">
        <x:color rgb="FF000000"/>
      </x:top>
      <x:bottom style="thin">
        <x:color rgb="FFD9D9D9"/>
      </x:bottom>
    </x:border>
    <x:border>
      <x:left style="thin">
        <x:color rgb="FF000000"/>
      </x:left>
      <x:right style="thin"/>
      <x:top style="thin">
        <x:color rgb="FFD9D9D9"/>
      </x:top>
      <x:bottom style="thin">
        <x:color rgb="FFD9D9D9"/>
      </x:bottom>
    </x:border>
    <x:border>
      <x:left style="thin"/>
      <x:right style="thin"/>
      <x:top style="thin">
        <x:color rgb="FFD9D9D9"/>
      </x:top>
      <x:bottom style="thin">
        <x:color rgb="FFD9D9D9"/>
      </x:bottom>
    </x:border>
    <x:border>
      <x:left style="thin"/>
      <x:right style="thin">
        <x:color rgb="FF000000"/>
      </x:right>
      <x:top style="thin">
        <x:color rgb="FFD9D9D9"/>
      </x:top>
      <x:bottom style="thin">
        <x:color rgb="FFD9D9D9"/>
      </x:bottom>
    </x:border>
    <x:border>
      <x:left style="thin">
        <x:color rgb="FF000000"/>
      </x:left>
      <x:right style="thin"/>
      <x:top style="thin">
        <x:color rgb="FFD9D9D9"/>
      </x:top>
      <x:bottom style="thin">
        <x:color rgb="FF000000"/>
      </x:bottom>
    </x:border>
    <x:border>
      <x:left style="thin"/>
      <x:right style="thin"/>
      <x:top style="thin">
        <x:color rgb="FFD9D9D9"/>
      </x:top>
      <x:bottom style="thin">
        <x:color rgb="FF000000"/>
      </x:bottom>
    </x:border>
    <x:border>
      <x:left style="thin"/>
      <x:right style="thin">
        <x:color rgb="FF000000"/>
      </x:right>
      <x:top style="thin">
        <x:color rgb="FFD9D9D9"/>
      </x:top>
      <x:bottom style="thin">
        <x:color rgb="FF000000"/>
      </x:bottom>
    </x:border>
    <x:border>
      <x:left style="thin">
        <x:color rgb="FF000000"/>
      </x:left>
      <x:right style="thin">
        <x:color rgb="FFD9D9D9"/>
      </x:right>
      <x:top style="thin">
        <x:color rgb="FF000000"/>
      </x:top>
      <x:bottom style="thin">
        <x:color rgb="FFD9D9D9"/>
      </x:bottom>
    </x:border>
    <x:border>
      <x:left style="thin">
        <x:color rgb="FFD9D9D9"/>
      </x:left>
      <x:right style="thin">
        <x:color rgb="FFD9D9D9"/>
      </x:right>
      <x:top style="thin">
        <x:color rgb="FF000000"/>
      </x:top>
      <x:bottom style="thin">
        <x:color rgb="FFD9D9D9"/>
      </x:bottom>
    </x:border>
    <x:border>
      <x:left style="thin">
        <x:color rgb="FFD9D9D9"/>
      </x:left>
      <x:right style="thin">
        <x:color rgb="FF000000"/>
      </x:right>
      <x:top style="thin">
        <x:color rgb="FF000000"/>
      </x:top>
      <x:bottom style="thin">
        <x:color rgb="FFD9D9D9"/>
      </x:bottom>
    </x:border>
    <x:border>
      <x:left style="thin">
        <x:color rgb="FF000000"/>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000000"/>
      </x:right>
      <x:top style="thin">
        <x:color rgb="FFD9D9D9"/>
      </x:top>
      <x:bottom style="thin">
        <x:color rgb="FFD9D9D9"/>
      </x:bottom>
    </x:border>
    <x:border>
      <x:left style="thin">
        <x:color rgb="FF000000"/>
      </x:left>
      <x:right style="thin">
        <x:color rgb="FFD9D9D9"/>
      </x:right>
      <x:top style="thin">
        <x:color rgb="FFD9D9D9"/>
      </x:top>
      <x:bottom style="thin">
        <x:color rgb="FF000000"/>
      </x:bottom>
    </x:border>
    <x:border>
      <x:left style="thin">
        <x:color rgb="FFD9D9D9"/>
      </x:left>
      <x:right style="thin">
        <x:color rgb="FFD9D9D9"/>
      </x:right>
      <x:top style="thin">
        <x:color rgb="FFD9D9D9"/>
      </x:top>
      <x:bottom style="thin">
        <x:color rgb="FF000000"/>
      </x:bottom>
    </x:border>
    <x:border>
      <x:left style="thin">
        <x:color rgb="FFD9D9D9"/>
      </x:left>
      <x:right style="thin">
        <x:color rgb="FF000000"/>
      </x:right>
      <x:top style="thin">
        <x:color rgb="FFD9D9D9"/>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D9D9D9"/>
      </x:right>
      <x:top style="thin">
        <x:color rgb="FF000000"/>
      </x:top>
      <x:bottom style="thin">
        <x:color rgb="FF000000"/>
      </x:bottom>
    </x:border>
    <x:border>
      <x:left style="thin">
        <x:color rgb="FFD9D9D9"/>
      </x:left>
      <x:right style="thin">
        <x:color rgb="FFD9D9D9"/>
      </x:right>
      <x:top style="thin">
        <x:color rgb="FF000000"/>
      </x:top>
      <x:bottom style="thin">
        <x:color rgb="FF000000"/>
      </x:bottom>
    </x:border>
    <x:border>
      <x:left style="thin">
        <x:color rgb="FFD9D9D9"/>
      </x:left>
      <x:right style="thin">
        <x:color rgb="FF000000"/>
      </x:right>
      <x:top style="thin">
        <x:color rgb="FF000000"/>
      </x:top>
      <x:bottom style="thin">
        <x:color rgb="FF000000"/>
      </x:bottom>
    </x:border>
    <x:border>
      <x:left style="thin">
        <x:color rgb="FF000000"/>
      </x:left>
      <x:right style="thin">
        <x:color rgb="FFD9D9D9"/>
      </x:right>
      <x:top style="thin">
        <x:color rgb="FFD9D9D9"/>
      </x:top>
      <x:bottom style="double">
        <x:color rgb="FF000000"/>
      </x:bottom>
    </x:border>
    <x:border>
      <x:left style="thin">
        <x:color rgb="FFD9D9D9"/>
      </x:left>
      <x:right style="thin">
        <x:color rgb="FFD9D9D9"/>
      </x:right>
      <x:top style="thin">
        <x:color rgb="FFD9D9D9"/>
      </x:top>
      <x:bottom style="double">
        <x:color rgb="FF000000"/>
      </x:bottom>
    </x:border>
    <x:border>
      <x:left style="thin">
        <x:color rgb="FF000000"/>
      </x:left>
      <x:top style="thin"/>
      <x:bottom style="thin"/>
    </x:border>
    <x:border>
      <x:left style="thin">
        <x:color rgb="FF000000"/>
      </x:left>
      <x:top style="thin"/>
      <x:bottom style="thin">
        <x:color rgb="FF000000"/>
      </x:bottom>
    </x:border>
    <x:border>
      <x:left style="thin">
        <x:color rgb="FF000000"/>
      </x:left>
      <x:top style="thin">
        <x:color rgb="FFD9D9D9"/>
      </x:top>
      <x:bottom style="thin">
        <x:color rgb="FFD9D9D9"/>
      </x:bottom>
    </x:border>
    <x:border>
      <x:left style="thin">
        <x:color rgb="FF000000"/>
      </x:left>
      <x:top style="thin">
        <x:color rgb="FFD9D9D9"/>
      </x:top>
      <x:bottom style="thin">
        <x:color rgb="FF000000"/>
      </x:bottom>
    </x:border>
    <x:border>
      <x:left style="thin">
        <x:color rgb="FF000000"/>
      </x:left>
      <x:right style="thin">
        <x:color rgb="FFD9D9D9"/>
      </x:right>
      <x:top style="thin">
        <x:color rgb="FF000000"/>
      </x:top>
      <x:bottom style="double">
        <x:color rgb="FF000000"/>
      </x:bottom>
    </x:border>
    <x:border>
      <x:left style="thin">
        <x:color rgb="FFD9D9D9"/>
      </x:left>
      <x:right style="thin">
        <x:color rgb="FFD9D9D9"/>
      </x:right>
      <x:top style="thin">
        <x:color rgb="FF000000"/>
      </x:top>
      <x:bottom style="double">
        <x:color rgb="FF000000"/>
      </x:bottom>
    </x:border>
    <x:border>
      <x:left style="thin">
        <x:color rgb="FF000000"/>
      </x:left>
      <x:top style="thin">
        <x:color rgb="FF000000"/>
      </x:top>
      <x:bottom style="thin"/>
    </x:border>
    <x:border>
      <x:left style="thin">
        <x:color rgb="FF000000"/>
      </x:left>
      <x:top style="thin">
        <x:color rgb="FF000000"/>
      </x:top>
      <x:bottom style="thin">
        <x:color rgb="FFD9D9D9"/>
      </x:bottom>
    </x:border>
    <x:border>
      <x:left style="thin">
        <x:color rgb="FF000000"/>
      </x:left>
      <x:right style="thin">
        <x:color rgb="FFD9D9D9"/>
      </x:right>
      <x:top style="thin">
        <x:color rgb="FFD9D9D9"/>
      </x:top>
      <x:bottom style="double">
        <x:color rgb="FFD9D9D9"/>
      </x:bottom>
    </x:border>
    <x:border>
      <x:left style="thin">
        <x:color rgb="FFD9D9D9"/>
      </x:left>
      <x:right style="thin">
        <x:color rgb="FFD9D9D9"/>
      </x:right>
      <x:top style="thin">
        <x:color rgb="FFD9D9D9"/>
      </x:top>
      <x:bottom style="double">
        <x:color rgb="FFD9D9D9"/>
      </x:bottom>
    </x:border>
    <x:border>
      <x:left style="thin">
        <x:color rgb="FF000000"/>
      </x:left>
      <x:right style="thin">
        <x:color rgb="FFD9D9D9"/>
      </x:right>
      <x:top style="thin">
        <x:color rgb="FF000000"/>
      </x:top>
      <x:bottom style="thin"/>
    </x:border>
    <x:border>
      <x:left style="thin">
        <x:color rgb="FFD9D9D9"/>
      </x:left>
      <x:right style="thin">
        <x:color rgb="FFD9D9D9"/>
      </x:right>
      <x:top style="thin">
        <x:color rgb="FF000000"/>
      </x:top>
      <x:bottom style="thin"/>
    </x:border>
    <x:border>
      <x:left style="thin">
        <x:color rgb="FFD9D9D9"/>
      </x:left>
      <x:right style="thin">
        <x:color rgb="FF000000"/>
      </x:right>
      <x:top style="thin">
        <x:color rgb="FF000000"/>
      </x:top>
      <x:bottom style="thin"/>
    </x:border>
    <x:border>
      <x:left style="thin">
        <x:color rgb="FF000000"/>
      </x:left>
      <x:right style="thin">
        <x:color rgb="FFD9D9D9"/>
      </x:right>
      <x:top style="thin"/>
      <x:bottom style="thin"/>
    </x:border>
    <x:border>
      <x:left style="thin">
        <x:color rgb="FFD9D9D9"/>
      </x:left>
      <x:right style="thin">
        <x:color rgb="FFD9D9D9"/>
      </x:right>
      <x:top style="thin"/>
      <x:bottom style="thin"/>
    </x:border>
    <x:border>
      <x:left style="thin">
        <x:color rgb="FFD9D9D9"/>
      </x:left>
      <x:right style="thin">
        <x:color rgb="FF000000"/>
      </x:right>
      <x:top style="thin"/>
      <x:bottom style="thin"/>
    </x:border>
    <x:border>
      <x:left style="thin">
        <x:color rgb="FF000000"/>
      </x:left>
      <x:right style="thin">
        <x:color rgb="FFD9D9D9"/>
      </x:right>
      <x:top style="thin"/>
      <x:bottom style="thin">
        <x:color rgb="FF000000"/>
      </x:bottom>
    </x:border>
    <x:border>
      <x:left style="thin">
        <x:color rgb="FFD9D9D9"/>
      </x:left>
      <x:right style="thin">
        <x:color rgb="FFD9D9D9"/>
      </x:right>
      <x:top style="thin"/>
      <x:bottom style="thin">
        <x:color rgb="FF000000"/>
      </x:bottom>
    </x:border>
    <x:border>
      <x:left style="thin">
        <x:color rgb="FFD9D9D9"/>
      </x:left>
      <x:right style="thin">
        <x:color rgb="FF000000"/>
      </x:right>
      <x:top style="thin"/>
      <x:bottom style="thin">
        <x:color rgb="FF000000"/>
      </x:bottom>
    </x:border>
  </x:borders>
  <x:cellStyleXfs count="1">
    <x:xf numFmtId="0" fontId="0" fillId="0" borderId="0"/>
  </x:cellStyleXfs>
  <x:cellXfs count="241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lef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horizontal="lef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vertical="center"/>
    </x:xf>
    <x:xf numFmtId="0" fontId="3" fillId="2" borderId="1"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4" fillId="3" borderId="1" xfId="0" applyNumberFormat="1" applyFont="1" applyFill="1" applyBorder="1" applyAlignment="1">
      <x:alignment vertical="center"/>
    </x:xf>
    <x:xf numFmtId="200" fontId="4" fillId="3" borderId="0" xfId="0" applyNumberFormat="1" applyFont="1" applyFill="1" applyBorder="1" applyAlignment="1">
      <x:alignment vertical="center"/>
    </x:xf>
    <x:xf numFmtId="200" fontId="4" fillId="3" borderId="1" xfId="0" applyNumberFormat="1" applyFont="1" applyFill="1" applyBorder="1" applyAlignment="1">
      <x:alignment vertical="center"/>
    </x:xf>
    <x:xf numFmtId="0" fontId="4" fillId="4"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horizontal="center" vertical="center"/>
    </x:xf>
    <x:xf numFmtId="0" fontId="4" fillId="4" borderId="1" xfId="0" applyNumberFormat="1" applyFont="1" applyFill="1" applyBorder="1" applyAlignment="1">
      <x:alignment vertical="center"/>
    </x:xf>
    <x:xf numFmtId="0" fontId="1" fillId="4" borderId="1" xfId="0" applyNumberFormat="1" applyFont="1" applyFill="1" applyBorder="1" applyAlignment="1">
      <x:alignment vertical="center"/>
    </x:xf>
    <x:xf numFmtId="0" fontId="5" fillId="4" borderId="1" xfId="0" applyNumberFormat="1" applyFont="1" applyFill="1" applyBorder="1" applyAlignment="1">
      <x:alignment vertical="center"/>
    </x:xf>
    <x:xf numFmtId="0" fontId="5" fillId="4" borderId="1" xfId="0" applyNumberFormat="1" applyFont="1" applyFill="1" applyBorder="1" applyAlignment="1">
      <x:alignment horizontal="center" vertical="center"/>
    </x:xf>
    <x:xf numFmtId="0" fontId="1" fillId="5" borderId="0" xfId="0" applyNumberFormat="1" applyFont="1" applyFill="1" applyBorder="1" applyAlignment="1">
      <x:alignment vertical="center"/>
    </x:xf>
    <x:xf numFmtId="0" fontId="1" fillId="5" borderId="1" xfId="0" applyNumberFormat="1" applyFont="1" applyFill="1" applyBorder="1" applyAlignment="1">
      <x:alignment vertical="center"/>
    </x:xf>
    <x:xf numFmtId="0" fontId="1" fillId="6" borderId="0" xfId="0" applyNumberFormat="1" applyFont="1" applyFill="1" applyBorder="1" applyAlignment="1">
      <x:alignment vertical="center"/>
    </x:xf>
    <x:xf numFmtId="0" fontId="6" fillId="6" borderId="0" xfId="0" applyNumberFormat="1" applyFont="1" applyFill="1" applyBorder="1" applyAlignment="1">
      <x:alignment vertical="center"/>
    </x:xf>
    <x:xf numFmtId="0" fontId="6" fillId="6" borderId="0" xfId="0" applyNumberFormat="1" applyFont="1" applyFill="1" applyBorder="1" applyAlignment="1">
      <x:alignment vertical="center" wrapText="1"/>
    </x:xf>
    <x:xf numFmtId="0" fontId="1" fillId="6" borderId="1" xfId="0" applyNumberFormat="1" applyFont="1" applyFill="1" applyBorder="1" applyAlignment="1">
      <x:alignment vertical="center"/>
    </x:xf>
    <x:xf numFmtId="0" fontId="6" fillId="6" borderId="1" xfId="0" applyNumberFormat="1" applyFont="1" applyFill="1" applyBorder="1" applyAlignment="1">
      <x:alignment vertical="center"/>
    </x:xf>
    <x:xf numFmtId="0" fontId="6" fillId="6" borderId="1" xfId="0" applyNumberFormat="1" applyFont="1" applyFill="1" applyBorder="1" applyAlignment="1">
      <x:alignment vertical="center" wrapText="1"/>
    </x:xf>
    <x:xf numFmtId="0" fontId="4" fillId="5" borderId="0" xfId="0" applyNumberFormat="1" applyFont="1" applyFill="1" applyBorder="1" applyAlignment="1">
      <x:alignment vertical="center"/>
    </x:xf>
    <x:xf numFmtId="0" fontId="4" fillId="5" borderId="1" xfId="0" applyNumberFormat="1" applyFont="1" applyFill="1" applyBorder="1" applyAlignment="1">
      <x:alignment vertical="center"/>
    </x:xf>
    <x:xf numFmtId="200" fontId="4" fillId="5" borderId="0" xfId="0" applyNumberFormat="1" applyFont="1" applyFill="1" applyBorder="1" applyAlignment="1">
      <x:alignment vertical="center"/>
    </x:xf>
    <x:xf numFmtId="200" fontId="4" fillId="5" borderId="1" xfId="0" applyNumberFormat="1" applyFont="1" applyFill="1" applyBorder="1" applyAlignment="1">
      <x:alignment vertical="center"/>
    </x:xf>
    <x:xf numFmtId="201" fontId="4" fillId="5" borderId="0" xfId="0" applyNumberFormat="1" applyFont="1" applyFill="1" applyBorder="1" applyAlignment="1">
      <x:alignment vertical="center"/>
    </x:xf>
    <x:xf numFmtId="201" fontId="4" fillId="5" borderId="1" xfId="0" applyNumberFormat="1" applyFont="1" applyFill="1" applyBorder="1" applyAlignment="1">
      <x:alignment vertical="center"/>
    </x:xf>
    <x:xf numFmtId="202" fontId="4" fillId="5" borderId="0" xfId="0" applyNumberFormat="1" applyFont="1" applyFill="1" applyBorder="1" applyAlignment="1">
      <x:alignment vertical="center"/>
    </x:xf>
    <x:xf numFmtId="202" fontId="4" fillId="5" borderId="1" xfId="0" applyNumberFormat="1" applyFont="1" applyFill="1" applyBorder="1" applyAlignment="1">
      <x:alignment vertical="center"/>
    </x:xf>
    <x:xf numFmtId="0" fontId="0" fillId="0" borderId="0" xfId="0" applyNumberFormat="1" applyFont="1" applyFill="1" applyBorder="1"/>
    <x:xf numFmtId="0" fontId="1" fillId="7" borderId="0" xfId="0" applyNumberFormat="1" applyFont="1" applyFill="1" applyBorder="1" applyAlignment="1">
      <x:alignment vertical="center"/>
    </x:xf>
    <x:xf numFmtId="0" fontId="4" fillId="7" borderId="0" xfId="0" applyNumberFormat="1" applyFont="1" applyFill="1" applyBorder="1" applyAlignment="1">
      <x:alignment vertical="center"/>
    </x:xf>
    <x:xf numFmtId="0" fontId="4" fillId="7" borderId="0" xfId="0" applyNumberFormat="1" applyFont="1" applyFill="1" applyBorder="1" applyAlignment="1">
      <x:alignment vertical="center" wrapText="1"/>
    </x:xf>
    <x:xf numFmtId="0" fontId="4" fillId="7" borderId="0" xfId="0" applyNumberFormat="1" applyFont="1" applyFill="1" applyBorder="1" applyAlignment="1">
      <x:alignment horizontal="left" vertical="center" wrapText="1"/>
    </x:xf>
    <x:xf numFmtId="0" fontId="1" fillId="8" borderId="0" xfId="0" applyNumberFormat="1" applyFont="1" applyFill="1" applyBorder="1" applyAlignment="1">
      <x:alignment vertical="center"/>
    </x:xf>
    <x:xf numFmtId="0" fontId="1" fillId="8" borderId="0" xfId="0" applyNumberFormat="1" applyFont="1" applyFill="1" applyBorder="1" applyAlignment="1">
      <x:alignment horizontal="left" vertical="center"/>
    </x:xf>
    <x:xf numFmtId="0" fontId="4" fillId="7" xfId="0" applyNumberFormat="1" applyFont="1" applyFill="1" applyBorder="0" applyAlignment="1">
      <x:alignment horizontal="left" vertical="center" wrapText="1"/>
    </x:xf>
    <x:xf numFmtId="0" fontId="1" fillId="8" xfId="0" applyNumberFormat="1" applyFont="1" applyFill="1" applyBorder="0" applyAlignment="1">
      <x:alignment horizontal="lef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left" vertical="center" wrapText="1"/>
    </x:xf>
    <x:xf numFmtId="0" fontId="1" fillId="5" borderId="0" xfId="0" applyNumberFormat="1" applyFont="1" applyFill="1" applyBorder="1" applyAlignment="1">
      <x:alignment horizontal="left" vertical="center"/>
    </x:xf>
    <x:xf numFmtId="0" fontId="4" fillId="3" xfId="0" applyNumberFormat="1" applyFont="1" applyFill="1" applyBorder="0" applyAlignment="1">
      <x:alignment horizontal="left" vertical="center" wrapText="1"/>
    </x:xf>
    <x:xf numFmtId="0" fontId="1" fillId="5" xfId="0" applyNumberFormat="1" applyFont="1" applyFill="1" applyBorder="0" applyAlignment="1">
      <x:alignment horizontal="left" vertical="center"/>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9" borderId="0" xfId="0" applyNumberFormat="1" applyFont="1" applyFill="1" applyBorder="1" applyAlignment="1">
      <x:alignment vertical="center" wrapText="1"/>
    </x:xf>
    <x:xf numFmtId="0" fontId="3" fillId="9" borderId="0" xfId="0" applyNumberFormat="1" applyFont="1" applyFill="1" applyBorder="1" applyAlignment="1">
      <x:alignment vertical="center" wrapText="1"/>
    </x:xf>
    <x:xf numFmtId="0" fontId="3" fillId="9" borderId="0" xfId="0" applyNumberFormat="1" applyFont="1" applyFill="1" applyBorder="1" applyAlignment="1">
      <x:alignment horizontal="left" vertical="center" wrapText="1"/>
    </x:xf>
    <x:xf numFmtId="0" fontId="1" fillId="10" borderId="0" xfId="0" applyNumberFormat="1" applyFont="1" applyFill="1" applyBorder="1" applyAlignment="1">
      <x:alignment vertical="center" wrapText="1"/>
    </x:xf>
    <x:xf numFmtId="0" fontId="7" fillId="10" borderId="0" xfId="0" applyNumberFormat="1" applyFont="1" applyFill="1" applyBorder="1" applyAlignment="1">
      <x:alignment vertical="center" wrapText="1"/>
    </x:xf>
    <x:xf numFmtId="0" fontId="7" fillId="10" borderId="0"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0" fontId="3" fillId="9" xfId="0" applyNumberFormat="1" applyFont="1" applyFill="1" applyBorder="0" applyAlignment="1">
      <x:alignment horizontal="left" vertical="center" wrapText="1"/>
    </x:xf>
    <x:xf numFmtId="0" fontId="7" fillId="10" xfId="0" applyNumberFormat="1" applyFont="1" applyFill="1" applyBorder="0" applyAlignment="1">
      <x:alignment horizontal="center" vertical="center" wrapText="1"/>
    </x:xf>
    <x:xf numFmtId="0" fontId="1" fillId="0" xfId="0" applyNumberFormat="1" applyFont="1" applyFill="1" applyBorder="0" applyAlignment="1">
      <x:alignment vertical="center" wrapText="1"/>
    </x:xf>
    <x:xf numFmtId="0" fontId="7" fillId="0" xfId="0" applyNumberFormat="1" applyFont="1" applyFill="1" applyBorder="0" applyAlignment="1">
      <x:alignment vertical="center" wrapText="1"/>
    </x:xf>
    <x:xf numFmtId="203" fontId="3" fillId="9" xfId="0" applyNumberFormat="1" applyFont="1" applyFill="1" applyBorder="0" applyAlignment="1">
      <x:alignment horizontal="left" vertical="center" wrapText="1"/>
    </x:xf>
    <x:xf numFmtId="203" fontId="7" fillId="10" xfId="0" applyNumberFormat="1" applyFont="1" applyFill="1" applyBorder="0" applyAlignment="1">
      <x:alignment horizontal="center" vertical="center" wrapText="1"/>
    </x:xf>
    <x:xf numFmtId="203" fontId="1" fillId="0" xfId="0" applyNumberFormat="1" applyFont="1" applyFill="1" applyBorder="0" applyAlignment="1">
      <x:alignment vertical="center" wrapText="1"/>
    </x:xf>
    <x:xf numFmtId="203" fontId="7" fillId="0" xfId="0" applyNumberFormat="1" applyFont="1" applyFill="1" applyBorder="0"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horizontal="left" wrapText="1"/>
    </x:xf>
    <x:xf numFmtId="0" fontId="1" fillId="11" borderId="0" xfId="0" applyNumberFormat="1" applyFont="1" applyFill="1" applyBorder="1" applyAlignment="1">
      <x:alignment vertical="center" wrapText="1"/>
    </x:xf>
    <x:xf numFmtId="0" fontId="9" fillId="11" borderId="0" xfId="0" applyNumberFormat="1" applyFont="1" applyFill="1" applyBorder="1" applyAlignment="1">
      <x:alignment vertical="center" wrapText="1"/>
    </x:xf>
    <x:xf numFmtId="0" fontId="9" fillId="11" xfId="0" applyNumberFormat="1" applyFont="1" applyFill="1" applyBorder="0" applyAlignment="1">
      <x:alignment vertical="center" wrapText="1"/>
    </x:xf>
    <x:xf numFmtId="203" fontId="9" fillId="11" xfId="0" applyNumberFormat="1" applyFont="1" applyFill="1" applyBorder="0" applyAlignment="1">
      <x:alignment vertical="center" wrapText="1"/>
    </x:xf>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horizontal="center"/>
    </x:xf>
    <x:xf numFmtId="0" fontId="10" fillId="9" borderId="0" xfId="0" applyNumberFormat="1" applyFont="1" applyFill="1" applyBorder="1" applyAlignment="1">
      <x:alignment horizontal="center" vertical="center"/>
    </x:xf>
    <x:xf numFmtId="0" fontId="11" fillId="0" borderId="0" xfId="0" applyNumberFormat="1" applyFont="1" applyFill="1" applyBorder="1"/>
    <x:xf numFmtId="0" fontId="11" fillId="0" borderId="0" xfId="0" applyNumberFormat="1" applyFont="1" applyFill="1" applyBorder="1" applyAlignment="1">
      <x:alignment horizontal="center"/>
    </x:xf>
    <x:xf numFmtId="0" fontId="12" fillId="0" borderId="0" xfId="0" applyNumberFormat="1" applyFont="1" applyFill="1" applyBorder="1"/>
    <x:xf numFmtId="0" fontId="12" fillId="0" borderId="0" xfId="0" applyNumberFormat="1" applyFont="1" applyFill="1" applyBorder="1" applyAlignment="1">
      <x:alignment horizont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horizontal="center" wrapText="1"/>
    </x:xf>
    <x:xf numFmtId="0" fontId="7" fillId="10" xfId="0" applyNumberFormat="1" applyFont="1" applyFill="1" applyBorder="0" applyAlignment="1">
      <x:alignment horizontal="center" wrapText="1"/>
    </x:xf>
    <x:xf numFmtId="0" fontId="0" fillId="0" xfId="0" applyNumberFormat="1" applyFont="1" applyFill="1" applyBorder="0"/>
    <x:xf numFmtId="0" fontId="0" fillId="11" borderId="0" xfId="0" applyNumberFormat="1" applyFont="1" applyFill="1" applyBorder="1"/>
    <x:xf numFmtId="0" fontId="13" fillId="11" borderId="0" xfId="0" applyNumberFormat="1" applyFont="1" applyFill="1" applyBorder="1"/>
    <x:xf numFmtId="0" fontId="13" fillId="11" borderId="0" xfId="0" applyNumberFormat="1" applyFont="1" applyFill="1" applyBorder="1" applyAlignment="1">
      <x:alignment horizontal="left"/>
    </x:xf>
    <x:xf numFmtId="0" fontId="0" fillId="12" borderId="0" xfId="0" applyNumberFormat="1" applyFont="1" applyFill="1" applyBorder="1"/>
    <x:xf numFmtId="0" fontId="14"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0" fillId="14" borderId="0" xfId="0" applyNumberFormat="1" applyFont="1" applyFill="1" applyBorder="1"/>
    <x:xf numFmtId="0" fontId="7" fillId="14" borderId="0" xfId="0" applyNumberFormat="1" applyFont="1" applyFill="1" applyBorder="1"/>
    <x:xf numFmtId="0" fontId="1" fillId="13" xfId="0" applyNumberFormat="1" applyFont="1" applyFill="1" applyBorder="0"/>
    <x:xf numFmtId="0" fontId="14" fillId="12" xfId="0" applyNumberFormat="1" applyFont="1" applyFill="1" applyBorder="0"/>
    <x:xf numFmtId="0" fontId="7" fillId="14" xfId="0" applyNumberFormat="1" applyFont="1" applyFill="1" applyBorder="0"/>
    <x:xf numFmtId="203" fontId="14" fillId="12" xfId="0" applyNumberFormat="1" applyFont="1" applyFill="1" applyBorder="0"/>
    <x:xf numFmtId="203" fontId="7" fillId="14" xfId="0" applyNumberFormat="1" applyFont="1" applyFill="1" applyBorder="0"/>
    <x:xf numFmtId="0" fontId="3" fillId="9" borderId="0" xfId="0" applyNumberFormat="1" applyFont="1" applyFill="1" applyBorder="1"/>
    <x:xf numFmtId="200" fontId="7" fillId="10" xfId="0" applyNumberFormat="1" applyFont="1" applyFill="1" applyBorder="0" applyAlignment="1">
      <x:alignment horizontal="center" vertical="center" wrapText="1"/>
    </x:xf>
    <x:xf numFmtId="0" fontId="15" fillId="9" xfId="0" applyNumberFormat="1" applyFont="1" applyFill="1" applyBorder="0" applyAlignment="1">
      <x:alignment horizontal="left" vertical="center" wrapText="1"/>
    </x:xf>
    <x:xf numFmtId="0" fontId="16" fillId="9" xfId="0" applyNumberFormat="1" applyFont="1" applyFill="1" applyBorder="0" applyAlignment="1">
      <x:alignment horizontal="left" vertical="center" wrapText="1"/>
    </x:xf>
    <x:xf numFmtId="203" fontId="1" fillId="12" xfId="0" applyNumberFormat="1" applyFont="1" applyFill="1" applyBorder="0" applyAlignment="1">
      <x:alignment vertical="center" wrapText="1"/>
    </x:xf>
    <x:xf numFmtId="203" fontId="7" fillId="12" xfId="0" applyNumberFormat="1" applyFont="1" applyFill="1" applyBorder="0" applyAlignment="1">
      <x:alignment vertical="center" wrapText="1"/>
    </x:xf>
    <x:xf numFmtId="203" fontId="14" fillId="12" xfId="0" applyNumberFormat="1" applyFont="1" applyFill="1" applyBorder="0" applyAlignment="1">
      <x:alignment vertical="center" wrapText="1"/>
    </x:xf>
    <x:xf numFmtId="203" fontId="17" fillId="12" xfId="0" applyNumberFormat="1" applyFont="1" applyFill="1" applyBorder="0" applyAlignment="1">
      <x:alignment vertical="center" wrapText="1"/>
    </x:xf>
    <x:xf numFmtId="0" fontId="1" fillId="11" xfId="0" applyNumberFormat="1" applyFont="1" applyFill="1" applyBorder="0" applyAlignment="1">
      <x:alignment vertical="center" wrapText="1"/>
    </x:xf>
    <x:xf numFmtId="203" fontId="14" fillId="11" xfId="0" applyNumberFormat="1" applyFont="1" applyFill="1" applyBorder="0" applyAlignment="1">
      <x:alignment vertical="center" wrapText="1"/>
    </x:xf>
    <x:xf numFmtId="203" fontId="1" fillId="11" xfId="0" applyNumberFormat="1" applyFont="1" applyFill="1" applyBorder="0" applyAlignment="1">
      <x:alignment vertical="center" wrapText="1"/>
    </x:xf>
    <x:xf numFmtId="203" fontId="9" fillId="12" xfId="0" applyNumberFormat="1" applyFont="1" applyFill="1" applyBorder="0" applyAlignment="1">
      <x:alignment vertical="center" wrapText="1"/>
    </x:xf>
    <x:xf numFmtId="0" fontId="9" fillId="9" xfId="0" applyNumberFormat="1" applyFont="1" applyFill="1" applyBorder="0" applyAlignment="1">
      <x:alignment vertical="center" wrapText="1"/>
    </x:xf>
    <x:xf numFmtId="203" fontId="17" fillId="9" xfId="0" applyNumberFormat="1" applyFont="1" applyFill="1" applyBorder="0" applyAlignment="1">
      <x:alignment vertical="center" wrapText="1"/>
    </x:xf>
    <x:xf numFmtId="0" fontId="18" fillId="9" xfId="0" applyNumberFormat="1" applyFont="1" applyFill="1" applyBorder="0" applyAlignment="1">
      <x:alignment vertical="center" wrapText="1"/>
    </x:xf>
    <x:xf numFmtId="203" fontId="18" fillId="9" xfId="0" applyNumberFormat="1" applyFont="1" applyFill="1" applyBorder="0" applyAlignment="1">
      <x:alignment vertical="center" wrapText="1"/>
    </x:xf>
    <x:xf numFmtId="0" fontId="7" fillId="11" xfId="0" applyNumberFormat="1" applyFont="1" applyFill="1" applyBorder="0" applyAlignment="1">
      <x:alignment vertical="center" wrapText="1"/>
    </x:xf>
    <x:xf numFmtId="203" fontId="17" fillId="11" xfId="0" applyNumberFormat="1" applyFont="1" applyFill="1" applyBorder="0"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left" vertical="center" wrapText="1"/>
    </x:xf>
    <x:xf numFmtId="0" fontId="1" fillId="6" borderId="0"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7" fillId="6" borderId="0" xfId="0" applyNumberFormat="1" applyFont="1" applyFill="1" applyBorder="1" applyAlignment="1">
      <x:alignment horizontal="center" vertical="center" wrapText="1"/>
    </x:xf>
    <x:xf numFmtId="0" fontId="3" fillId="2" xfId="0" applyNumberFormat="1" applyFont="1" applyFill="1" applyBorder="0" applyAlignment="1">
      <x:alignment horizontal="left" vertical="center" wrapText="1"/>
    </x:xf>
    <x:xf numFmtId="0" fontId="7" fillId="6" xfId="0" applyNumberFormat="1" applyFont="1" applyFill="1" applyBorder="0" applyAlignment="1">
      <x:alignment horizontal="center" vertical="center" wrapText="1"/>
    </x:xf>
    <x:xf numFmtId="203" fontId="3" fillId="2" xfId="0" applyNumberFormat="1" applyFont="1" applyFill="1" applyBorder="0" applyAlignment="1">
      <x:alignment horizontal="left" vertical="center" wrapText="1"/>
    </x:xf>
    <x:xf numFmtId="203" fontId="7" fillId="6" xfId="0" applyNumberFormat="1" applyFont="1" applyFill="1" applyBorder="0" applyAlignment="1">
      <x:alignment horizontal="center" vertical="center" wrapText="1"/>
    </x:xf>
    <x:xf numFmtId="0" fontId="0" fillId="2" borderId="0" xfId="0" applyNumberFormat="1" applyFont="1" applyFill="1" applyBorder="1"/>
    <x:xf numFmtId="0" fontId="10" fillId="2" borderId="0" xfId="0" applyNumberFormat="1" applyFont="1" applyFill="1" applyBorder="1"/>
    <x:xf numFmtId="0" fontId="10" fillId="2" borderId="0" xfId="0" applyNumberFormat="1" applyFont="1" applyFill="1" applyBorder="1" applyAlignment="1">
      <x:alignment horizontal="center"/>
    </x:xf>
    <x:xf numFmtId="0" fontId="10" fillId="2" borderId="0" xfId="0" applyNumberFormat="1" applyFont="1" applyFill="1" applyBorder="1" applyAlignment="1">
      <x:alignment horizontal="center"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7" fillId="6" xfId="0" applyNumberFormat="1" applyFont="1" applyFill="1" applyBorder="0" applyAlignment="1">
      <x:alignment horizontal="center" wrapText="1"/>
    </x:xf>
    <x:xf numFmtId="0" fontId="0" fillId="5" borderId="0" xfId="0" applyNumberFormat="1" applyFont="1" applyFill="1" applyBorder="1"/>
    <x:xf numFmtId="0" fontId="14" fillId="5"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xfId="0" applyNumberFormat="1" applyFont="1" applyFill="1" applyBorder="0"/>
    <x:xf numFmtId="0" fontId="14" fillId="5" xfId="0" applyNumberFormat="1" applyFont="1" applyFill="1" applyBorder="0"/>
    <x:xf numFmtId="203" fontId="14" fillId="5" xfId="0" applyNumberFormat="1" applyFont="1" applyFill="1" applyBorder="0"/>
    <x:xf numFmtId="0" fontId="3" fillId="2" borderId="0" xfId="0" applyNumberFormat="1" applyFont="1" applyFill="1" applyBorder="1"/>
    <x:xf numFmtId="200" fontId="7" fillId="6" xfId="0" applyNumberFormat="1" applyFont="1" applyFill="1" applyBorder="0" applyAlignment="1">
      <x:alignment horizontal="center" vertical="center" wrapText="1"/>
    </x:xf>
    <x:xf numFmtId="0" fontId="15" fillId="2" xfId="0" applyNumberFormat="1" applyFont="1" applyFill="1" applyBorder="0" applyAlignment="1">
      <x:alignment horizontal="left" vertical="center" wrapText="1"/>
    </x:xf>
    <x:xf numFmtId="0" fontId="16" fillId="2" xfId="0" applyNumberFormat="1" applyFont="1" applyFill="1" applyBorder="0" applyAlignment="1">
      <x:alignment horizontal="left" vertical="center" wrapText="1"/>
    </x:xf>
    <x:xf numFmtId="203" fontId="1" fillId="5" xfId="0" applyNumberFormat="1" applyFont="1" applyFill="1" applyBorder="0" applyAlignment="1">
      <x:alignment vertical="center" wrapText="1"/>
    </x:xf>
    <x:xf numFmtId="203" fontId="7" fillId="5" xfId="0" applyNumberFormat="1" applyFont="1" applyFill="1" applyBorder="0" applyAlignment="1">
      <x:alignment vertical="center" wrapText="1"/>
    </x:xf>
    <x:xf numFmtId="203" fontId="14" fillId="5" xfId="0" applyNumberFormat="1" applyFont="1" applyFill="1" applyBorder="0" applyAlignment="1">
      <x:alignment vertical="center" wrapText="1"/>
    </x:xf>
    <x:xf numFmtId="203" fontId="17" fillId="5" xfId="0" applyNumberFormat="1" applyFont="1" applyFill="1" applyBorder="0" applyAlignment="1">
      <x:alignment vertical="center" wrapText="1"/>
    </x:xf>
    <x:xf numFmtId="203" fontId="9" fillId="5" xfId="0" applyNumberFormat="1" applyFont="1" applyFill="1" applyBorder="0" applyAlignment="1">
      <x:alignment vertical="center" wrapText="1"/>
    </x:xf>
    <x:xf numFmtId="0" fontId="9" fillId="2" xfId="0" applyNumberFormat="1" applyFont="1" applyFill="1" applyBorder="0" applyAlignment="1">
      <x:alignment vertical="center" wrapText="1"/>
    </x:xf>
    <x:xf numFmtId="203" fontId="17" fillId="2" xfId="0" applyNumberFormat="1" applyFont="1" applyFill="1" applyBorder="0" applyAlignment="1">
      <x:alignment vertical="center" wrapText="1"/>
    </x:xf>
    <x:xf numFmtId="0" fontId="18" fillId="2" xfId="0" applyNumberFormat="1" applyFont="1" applyFill="1" applyBorder="0" applyAlignment="1">
      <x:alignment vertical="center" wrapText="1"/>
    </x:xf>
    <x:xf numFmtId="203" fontId="18" fillId="2" xfId="0" applyNumberFormat="1" applyFont="1" applyFill="1" applyBorder="0" applyAlignment="1">
      <x:alignment vertical="center" wrapText="1"/>
    </x:xf>
    <x:xf numFmtId="0" fontId="1" fillId="15" borderId="0" xfId="0" applyNumberFormat="1" applyFont="1" applyFill="1" applyBorder="1" applyAlignment="1">
      <x:alignment vertical="center"/>
    </x:xf>
    <x:xf numFmtId="0" fontId="5" fillId="15" borderId="0" xfId="0" applyNumberFormat="1" applyFont="1" applyFill="1" applyBorder="1" applyAlignment="1">
      <x:alignment vertical="center"/>
    </x:xf>
    <x:xf numFmtId="0" fontId="5" fillId="15" xfId="0" applyNumberFormat="1" applyFont="1" applyFill="1" applyBorder="0" applyAlignment="1">
      <x:alignment vertical="center"/>
    </x:xf>
    <x:xf numFmtId="0" fontId="5" fillId="15" xfId="0" applyNumberFormat="1" applyFont="1" applyFill="1" applyBorder="0" applyAlignment="1">
      <x:alignment horizontal="center" vertical="center"/>
    </x:xf>
    <x:xf numFmtId="0" fontId="1" fillId="16" borderId="0" xfId="0" applyNumberFormat="1" applyFont="1" applyFill="1" applyBorder="1" applyAlignment="1">
      <x:alignment vertical="center"/>
    </x:xf>
    <x:xf numFmtId="0" fontId="7" fillId="16" borderId="0" xfId="0" applyNumberFormat="1" applyFont="1" applyFill="1" applyBorder="1" applyAlignment="1">
      <x:alignment vertical="center"/>
    </x:xf>
    <x:xf numFmtId="0" fontId="1" fillId="17" borderId="0" xfId="0" applyNumberFormat="1" applyFont="1" applyFill="1" applyBorder="1" applyAlignment="1">
      <x:alignment vertical="center"/>
    </x:xf>
    <x:xf numFmtId="0" fontId="14" fillId="17" borderId="0" xfId="0" applyNumberFormat="1" applyFont="1" applyFill="1" applyBorder="1" applyAlignment="1">
      <x:alignment vertical="center"/>
    </x:xf>
    <x:xf numFmtId="0" fontId="14" fillId="17" borderId="0" xfId="0" applyNumberFormat="1" applyFont="1" applyFill="1" applyBorder="1" applyAlignment="1">
      <x:alignment vertical="center" wrapText="1"/>
    </x:xf>
    <x:xf numFmtId="0" fontId="19" fillId="17" borderId="0" xfId="0" applyNumberFormat="1" applyFont="1" applyFill="1" applyBorder="1" applyAlignment="1">
      <x:alignment vertical="center" wrapText="1"/>
    </x:xf>
    <x:xf numFmtId="0" fontId="7" fillId="16" xfId="0" applyNumberFormat="1" applyFont="1" applyFill="1" applyBorder="0" applyAlignment="1">
      <x:alignment vertical="center"/>
    </x:xf>
    <x:xf numFmtId="0" fontId="14" fillId="17" xfId="0" applyNumberFormat="1" applyFont="1" applyFill="1" applyBorder="0" applyAlignment="1">
      <x:alignment vertical="center" wrapText="1"/>
    </x:xf>
    <x:xf numFmtId="0" fontId="19" fillId="17" xfId="0" applyNumberFormat="1" applyFont="1" applyFill="1" applyBorder="0" applyAlignment="1">
      <x:alignment vertical="center" wrapText="1"/>
    </x:xf>
    <x:xf numFmtId="0" fontId="0" fillId="18" borderId="0" xfId="0" applyNumberFormat="1" applyFont="1" applyFill="1" applyBorder="1"/>
    <x:xf numFmtId="0" fontId="20" fillId="18" borderId="0" xfId="0" applyNumberFormat="1" applyFont="1" applyFill="1" applyBorder="1"/>
    <x:xf numFmtId="0" fontId="20" fillId="18" borderId="0" xfId="0" applyNumberFormat="1" applyFont="1" applyFill="1" applyBorder="1" applyAlignment="1">
      <x:alignment horizontal="center"/>
    </x:xf>
    <x:xf numFmtId="0" fontId="5" fillId="2" borderId="0" xfId="0" applyNumberFormat="1" applyFont="1" applyFill="1" applyBorder="1" applyAlignment="1">
      <x:alignment vertical="center"/>
    </x:xf>
    <x:xf numFmtId="0" fontId="5" fillId="2" xfId="0" applyNumberFormat="1" applyFont="1" applyFill="1" applyBorder="0" applyAlignment="1">
      <x:alignment vertical="center"/>
    </x:xf>
    <x:xf numFmtId="0" fontId="5" fillId="2" xfId="0" applyNumberFormat="1" applyFont="1" applyFill="1" applyBorder="0" applyAlignment="1">
      <x:alignment horizontal="center" vertical="center"/>
    </x:xf>
    <x:xf numFmtId="0" fontId="1" fillId="11" borderId="0" xfId="0" applyNumberFormat="1" applyFont="1" applyFill="1" applyBorder="1" applyAlignment="1">
      <x:alignment vertical="center"/>
    </x:xf>
    <x:xf numFmtId="0" fontId="7" fillId="11" borderId="0" xfId="0" applyNumberFormat="1" applyFont="1" applyFill="1" applyBorder="1" applyAlignment="1">
      <x:alignment vertical="center"/>
    </x:xf>
    <x:xf numFmtId="0" fontId="14" fillId="5" borderId="0" xfId="0" applyNumberFormat="1" applyFont="1" applyFill="1" applyBorder="1" applyAlignment="1">
      <x:alignment vertical="center"/>
    </x:xf>
    <x:xf numFmtId="0" fontId="14" fillId="5" borderId="0" xfId="0" applyNumberFormat="1" applyFont="1" applyFill="1" applyBorder="1" applyAlignment="1">
      <x:alignment vertical="center" wrapText="1"/>
    </x:xf>
    <x:xf numFmtId="0" fontId="19" fillId="5" borderId="0" xfId="0" applyNumberFormat="1" applyFont="1" applyFill="1" applyBorder="1" applyAlignment="1">
      <x:alignment vertical="center" wrapText="1"/>
    </x:xf>
    <x:xf numFmtId="0" fontId="7" fillId="11" xfId="0" applyNumberFormat="1" applyFont="1" applyFill="1" applyBorder="0" applyAlignment="1">
      <x:alignment vertical="center"/>
    </x:xf>
    <x:xf numFmtId="0" fontId="14" fillId="5" xfId="0" applyNumberFormat="1" applyFont="1" applyFill="1" applyBorder="0" applyAlignment="1">
      <x:alignment vertical="center" wrapText="1"/>
    </x:xf>
    <x:xf numFmtId="0" fontId="19" fillId="5" xfId="0" applyNumberFormat="1" applyFont="1" applyFill="1" applyBorder="0" applyAlignment="1">
      <x:alignment vertical="center" wrapText="1"/>
    </x:xf>
    <x:xf numFmtId="203" fontId="0" fillId="0" borderId="0" xfId="0" applyNumberFormat="1" applyFont="1" applyFill="1" applyBorder="1"/>
    <x:xf numFmtId="203" fontId="8" fillId="0" borderId="0" xfId="0" applyNumberFormat="1" applyFont="1" applyFill="1" applyBorder="1" applyAlignment="1">
      <x:alignment horizontal="left" wrapText="1"/>
    </x:xf>
    <x:xf numFmtId="0" fontId="10" fillId="19" borderId="0" xfId="0" applyNumberFormat="1" applyFont="1" applyFill="1" applyBorder="1" applyAlignment="1">
      <x:alignment horizontal="center" vertical="center"/>
    </x:xf>
    <x:xf numFmtId="0" fontId="20" fillId="19" borderId="0" xfId="0" applyNumberFormat="1" applyFont="1" applyFill="1" applyBorder="1" applyAlignment="1">
      <x:alignment horizontal="center"/>
    </x:xf>
    <x:xf numFmtId="0" fontId="11" fillId="19" borderId="0" xfId="0" applyNumberFormat="1" applyFont="1" applyFill="1" applyBorder="1" applyAlignment="1">
      <x:alignment horizontal="center"/>
    </x:xf>
    <x:xf numFmtId="0" fontId="0" fillId="19" borderId="0" xfId="0" applyNumberFormat="1" applyFont="1" applyFill="1" applyBorder="1"/>
    <x:xf numFmtId="0" fontId="12" fillId="19" borderId="0" xfId="0" applyNumberFormat="1" applyFont="1" applyFill="1" applyBorder="1" applyAlignment="1">
      <x:alignment horizontal="center"/>
    </x:xf>
    <x:xf numFmtId="0" fontId="7" fillId="19" xfId="0" applyNumberFormat="1" applyFont="1" applyFill="1" applyBorder="0" applyAlignment="1">
      <x:alignment horizontal="center" wrapText="1"/>
    </x:xf>
    <x:xf numFmtId="0" fontId="0" fillId="19" xfId="0" applyNumberFormat="1" applyFont="1" applyFill="1" applyBorder="0"/>
    <x:xf numFmtId="0" fontId="13" fillId="19" borderId="0" xfId="0" applyNumberFormat="1" applyFont="1" applyFill="1" applyBorder="1" applyAlignment="1">
      <x:alignment horizontal="left"/>
    </x:xf>
    <x:xf numFmtId="0" fontId="1" fillId="19" xfId="0" applyNumberFormat="1" applyFont="1" applyFill="1" applyBorder="0"/>
    <x:xf numFmtId="203" fontId="14" fillId="19" xfId="0" applyNumberFormat="1" applyFont="1" applyFill="1" applyBorder="0"/>
    <x:xf numFmtId="0" fontId="14" fillId="19" xfId="0" applyNumberFormat="1" applyFont="1" applyFill="1" applyBorder="0"/>
    <x:xf numFmtId="0" fontId="7" fillId="19" xfId="0" applyNumberFormat="1" applyFont="1" applyFill="1" applyBorder="0"/>
    <x:xf numFmtId="203" fontId="7" fillId="19" xfId="0" applyNumberFormat="1" applyFont="1" applyFill="1" applyBorder="0"/>
    <x:xf numFmtId="0" fontId="3" fillId="19" borderId="0" xfId="0" applyNumberFormat="1" applyFont="1" applyFill="1" applyBorder="1"/>
    <x:xf numFmtId="0" fontId="8" fillId="19" borderId="0" xfId="0" applyNumberFormat="1" applyFont="1" applyFill="1" applyBorder="1" applyAlignment="1">
      <x:alignment horizontal="left" wrapText="1"/>
    </x:xf>
    <x:xf numFmtId="0" fontId="7" fillId="19" borderId="0" xfId="0" applyNumberFormat="1" applyFont="1" applyFill="1" applyBorder="1" applyAlignment="1">
      <x:alignment horizontal="center" vertical="center"/>
    </x:xf>
    <x:xf numFmtId="0" fontId="7" fillId="19" borderId="0" xfId="0" applyNumberFormat="1" applyFont="1" applyFill="1" applyBorder="1" applyAlignment="1">
      <x:alignment horizontal="center"/>
    </x:xf>
    <x:xf numFmtId="0" fontId="1" fillId="19" borderId="0" xfId="0" applyNumberFormat="1" applyFont="1" applyFill="1" applyBorder="1"/>
    <x:xf numFmtId="0" fontId="21" fillId="19" borderId="0" xfId="0" applyNumberFormat="1" applyFont="1" applyFill="1" applyBorder="1" applyAlignment="1">
      <x:alignment horizontal="center"/>
    </x:xf>
    <x:xf numFmtId="0" fontId="7" fillId="19" borderId="0" xfId="0" applyNumberFormat="1" applyFont="1" applyFill="1" applyBorder="1" applyAlignment="1">
      <x:alignment horizontal="left"/>
    </x:xf>
    <x:xf numFmtId="203" fontId="1" fillId="19" xfId="0" applyNumberFormat="1" applyFont="1" applyFill="1" applyBorder="0"/>
    <x:xf numFmtId="0" fontId="7" fillId="19" borderId="0" xfId="0" applyNumberFormat="1" applyFont="1" applyFill="1" applyBorder="1"/>
    <x:xf numFmtId="0" fontId="21" fillId="19" borderId="0" xfId="0" applyNumberFormat="1" applyFont="1" applyFill="1" applyBorder="1" applyAlignment="1">
      <x:alignment horizontal="left" wrapText="1"/>
    </x:xf>
    <x:xf numFmtId="0" fontId="7" fillId="19" borderId="0" xfId="0" applyNumberFormat="1" applyFont="1" applyFill="1" applyBorder="1" applyAlignment="1">
      <x:alignment horizontal="center" vertical="center" wrapText="1"/>
    </x:xf>
    <x:xf numFmtId="0" fontId="7" fillId="19" borderId="0" xfId="0" applyNumberFormat="1" applyFont="1" applyFill="1" applyBorder="1" applyAlignment="1">
      <x:alignment horizontal="center" wrapText="1"/>
    </x:xf>
    <x:xf numFmtId="0" fontId="1" fillId="19" borderId="0" xfId="0" applyNumberFormat="1" applyFont="1" applyFill="1" applyBorder="1" applyAlignment="1">
      <x:alignment wrapText="1"/>
    </x:xf>
    <x:xf numFmtId="0" fontId="21" fillId="19" borderId="0" xfId="0" applyNumberFormat="1" applyFont="1" applyFill="1" applyBorder="1" applyAlignment="1">
      <x:alignment horizontal="center" wrapText="1"/>
    </x:xf>
    <x:xf numFmtId="0" fontId="1" fillId="19" xfId="0" applyNumberFormat="1" applyFont="1" applyFill="1" applyBorder="0" applyAlignment="1">
      <x:alignment wrapText="1"/>
    </x:xf>
    <x:xf numFmtId="0" fontId="7" fillId="19" borderId="0" xfId="0" applyNumberFormat="1" applyFont="1" applyFill="1" applyBorder="1" applyAlignment="1">
      <x:alignment horizontal="left" wrapText="1"/>
    </x:xf>
    <x:xf numFmtId="203" fontId="1" fillId="19" xfId="0" applyNumberFormat="1" applyFont="1" applyFill="1" applyBorder="0" applyAlignment="1">
      <x:alignment wrapText="1"/>
    </x:xf>
    <x:xf numFmtId="0" fontId="7" fillId="19" xfId="0" applyNumberFormat="1" applyFont="1" applyFill="1" applyBorder="0" applyAlignment="1">
      <x:alignment wrapText="1"/>
    </x:xf>
    <x:xf numFmtId="203" fontId="7" fillId="19" xfId="0" applyNumberFormat="1" applyFont="1" applyFill="1" applyBorder="0" applyAlignment="1">
      <x:alignment wrapText="1"/>
    </x:xf>
    <x:xf numFmtId="0" fontId="7" fillId="19" borderId="0" xfId="0" applyNumberFormat="1" applyFont="1" applyFill="1" applyBorder="1" applyAlignment="1">
      <x:alignment wrapText="1"/>
    </x:xf>
    <x:xf numFmtId="0" fontId="1" fillId="19" borderId="0" xfId="0" applyNumberFormat="1" applyFont="1" applyFill="1" applyBorder="1" applyAlignment="1">
      <x:alignment vertical="center" wrapText="1"/>
    </x:xf>
    <x:xf numFmtId="0" fontId="21" fillId="19" borderId="0" xfId="0" applyNumberFormat="1" applyFont="1" applyFill="1" applyBorder="1" applyAlignment="1">
      <x:alignment horizontal="center" vertical="center" wrapText="1"/>
    </x:xf>
    <x:xf numFmtId="0" fontId="7" fillId="19" xfId="0" applyNumberFormat="1" applyFont="1" applyFill="1" applyBorder="0" applyAlignment="1">
      <x:alignment horizontal="center" vertical="center" wrapText="1"/>
    </x:xf>
    <x:xf numFmtId="0" fontId="1" fillId="19" xfId="0" applyNumberFormat="1" applyFont="1" applyFill="1" applyBorder="0" applyAlignment="1">
      <x:alignment vertical="center" wrapText="1"/>
    </x:xf>
    <x:xf numFmtId="0" fontId="7" fillId="19" borderId="0" xfId="0" applyNumberFormat="1" applyFont="1" applyFill="1" applyBorder="1" applyAlignment="1">
      <x:alignment horizontal="left" vertical="center" wrapText="1"/>
    </x:xf>
    <x:xf numFmtId="203" fontId="1" fillId="19" xfId="0" applyNumberFormat="1" applyFont="1" applyFill="1" applyBorder="0" applyAlignment="1">
      <x:alignment vertical="center" wrapText="1"/>
    </x:xf>
    <x:xf numFmtId="0" fontId="7" fillId="19" xfId="0" applyNumberFormat="1" applyFont="1" applyFill="1" applyBorder="0" applyAlignment="1">
      <x:alignment vertical="center" wrapText="1"/>
    </x:xf>
    <x:xf numFmtId="203" fontId="7" fillId="19" xfId="0" applyNumberFormat="1" applyFont="1" applyFill="1" applyBorder="0" applyAlignment="1">
      <x:alignment vertical="center" wrapText="1"/>
    </x:xf>
    <x:xf numFmtId="0" fontId="7" fillId="19" borderId="0" xfId="0" applyNumberFormat="1" applyFont="1" applyFill="1" applyBorder="1" applyAlignment="1">
      <x:alignment vertical="center" wrapText="1"/>
    </x:xf>
    <x:xf numFmtId="0" fontId="21" fillId="19" borderId="0" xfId="0" applyNumberFormat="1" applyFont="1" applyFill="1" applyBorder="1" applyAlignment="1">
      <x:alignment horizontal="left" vertical="center" wrapText="1"/>
    </x:xf>
    <x:xf numFmtId="0" fontId="7" fillId="20" borderId="0" xfId="0" applyNumberFormat="1" applyFont="1" applyFill="1" applyBorder="1" applyAlignment="1">
      <x:alignment horizontal="center" vertical="center" wrapText="1"/>
    </x:xf>
    <x:xf numFmtId="0" fontId="22" fillId="20" borderId="0" xfId="0" applyNumberFormat="1" applyFont="1" applyFill="1" applyBorder="1" applyAlignment="1">
      <x:alignment horizontal="center" vertical="center" wrapText="1"/>
    </x:xf>
    <x:xf numFmtId="0" fontId="16" fillId="19" borderId="0" xfId="0" applyNumberFormat="1" applyFont="1" applyFill="1" applyBorder="1" applyAlignment="1">
      <x:alignment horizontal="center" vertical="center" wrapText="1"/>
    </x:xf>
    <x:xf numFmtId="0" fontId="16" fillId="19" borderId="0" xfId="0" applyNumberFormat="1" applyFont="1" applyFill="1" applyBorder="1" applyAlignment="1">
      <x:alignment vertical="center" wrapText="1"/>
    </x:xf>
    <x:xf numFmtId="0" fontId="23" fillId="19" borderId="0" xfId="0" applyNumberFormat="1" applyFont="1" applyFill="1" applyBorder="1" applyAlignment="1">
      <x:alignment horizontal="center" vertical="center" wrapText="1"/>
    </x:xf>
    <x:xf numFmtId="0" fontId="7" fillId="20" xfId="0" applyNumberFormat="1" applyFont="1" applyFill="1" applyBorder="0" applyAlignment="1">
      <x:alignment horizontal="center" vertical="center" wrapText="1"/>
    </x:xf>
    <x:xf numFmtId="0" fontId="18" fillId="20" xfId="0" applyNumberFormat="1" applyFont="1" applyFill="1" applyBorder="0" applyAlignment="1">
      <x:alignment horizontal="center" vertical="center" wrapText="1"/>
    </x:xf>
    <x:xf numFmtId="0" fontId="24" fillId="19" xfId="0" applyNumberFormat="1" applyFont="1" applyFill="1" applyBorder="0" applyAlignment="1">
      <x:alignment vertical="center" wrapText="1"/>
    </x:xf>
    <x:xf numFmtId="0" fontId="7" fillId="21" borderId="0" xfId="0" applyNumberFormat="1" applyFont="1" applyFill="1" applyBorder="1" applyAlignment="1">
      <x:alignment horizontal="left" vertical="center" wrapText="1"/>
    </x:xf>
    <x:xf numFmtId="0" fontId="1" fillId="21" borderId="0" xfId="0" applyNumberFormat="1" applyFont="1" applyFill="1" applyBorder="1" applyAlignment="1">
      <x:alignment vertical="center" wrapText="1"/>
    </x:xf>
    <x:xf numFmtId="0" fontId="25" fillId="21" borderId="0" xfId="0" applyNumberFormat="1" applyFont="1" applyFill="1" applyBorder="1" applyAlignment="1">
      <x:alignment horizontal="left" vertical="center" wrapText="1"/>
    </x:xf>
    <x:xf numFmtId="0" fontId="25" fillId="21" borderId="0" xfId="0" applyNumberFormat="1" applyFont="1" applyFill="1" applyBorder="1" applyAlignment="1">
      <x:alignment vertical="center" wrapText="1"/>
    </x:xf>
    <x:xf numFmtId="0" fontId="7" fillId="22" xfId="0" applyNumberFormat="1" applyFont="1" applyFill="1" applyBorder="0" applyAlignment="1">
      <x:alignment horizontal="center" vertical="center" wrapText="1"/>
    </x:xf>
    <x:xf numFmtId="0" fontId="1" fillId="22" borderId="0" xfId="0" applyNumberFormat="1" applyFont="1" applyFill="1" applyBorder="1" applyAlignment="1">
      <x:alignment vertical="center" wrapText="1"/>
    </x:xf>
    <x:xf numFmtId="0" fontId="26" fillId="22" xfId="0" applyNumberFormat="1" applyFont="1" applyFill="1" applyBorder="0" applyAlignment="1">
      <x:alignment horizontal="center" vertical="center" wrapText="1"/>
    </x:xf>
    <x:xf numFmtId="0" fontId="26" fillId="22" borderId="0" xfId="0" applyNumberFormat="1" applyFont="1" applyFill="1" applyBorder="1" applyAlignment="1">
      <x:alignment vertical="center" wrapText="1"/>
    </x:xf>
    <x:xf numFmtId="0" fontId="26" fillId="22" borderId="0" xfId="0" applyNumberFormat="1" applyFont="1" applyFill="1" applyBorder="1" applyAlignment="1">
      <x:alignment horizontal="center" vertical="center" wrapText="1"/>
    </x:xf>
    <x:xf numFmtId="203" fontId="1" fillId="23" xfId="0" applyNumberFormat="1" applyFont="1" applyFill="1" applyBorder="0" applyAlignment="1">
      <x:alignment vertical="center" wrapText="1"/>
    </x:xf>
    <x:xf numFmtId="0" fontId="1" fillId="23" xfId="0" applyNumberFormat="1" applyFont="1" applyFill="1" applyBorder="0" applyAlignment="1">
      <x:alignment vertical="center" wrapText="1"/>
    </x:xf>
    <x:xf numFmtId="0" fontId="1" fillId="23" borderId="0" xfId="0" applyNumberFormat="1" applyFont="1" applyFill="1" applyBorder="1" applyAlignment="1">
      <x:alignment vertical="center" wrapText="1"/>
    </x:xf>
    <x:xf numFmtId="203" fontId="27" fillId="23" xfId="0" applyNumberFormat="1" applyFont="1" applyFill="1" applyBorder="0" applyAlignment="1">
      <x:alignment vertical="center" wrapText="1"/>
    </x:xf>
    <x:xf numFmtId="0" fontId="27" fillId="23" xfId="0" applyNumberFormat="1" applyFont="1" applyFill="1" applyBorder="0" applyAlignment="1">
      <x:alignment vertical="center" wrapText="1"/>
    </x:xf>
    <x:xf numFmtId="0" fontId="27" fillId="23" borderId="0" xfId="0" applyNumberFormat="1" applyFont="1" applyFill="1" applyBorder="1" applyAlignment="1">
      <x:alignment vertical="center" wrapText="1"/>
    </x:xf>
    <x:xf numFmtId="0" fontId="7" fillId="23" borderId="0" xfId="0" applyNumberFormat="1" applyFont="1" applyFill="1" applyBorder="1" applyAlignment="1">
      <x:alignment vertical="center" wrapText="1"/>
    </x:xf>
    <x:xf numFmtId="0" fontId="28" fillId="23" borderId="0" xfId="0" applyNumberFormat="1" applyFont="1" applyFill="1" applyBorder="1" applyAlignment="1">
      <x:alignment vertical="center" wrapText="1"/>
    </x:xf>
    <x:xf numFmtId="0" fontId="26" fillId="19" borderId="0" xfId="0" applyNumberFormat="1" applyFont="1" applyFill="1" applyBorder="1" applyAlignment="1">
      <x:alignment vertical="center" wrapText="1"/>
    </x:xf>
    <x:xf numFmtId="0" fontId="7" fillId="23" xfId="0" applyNumberFormat="1" applyFont="1" applyFill="1" applyBorder="0" applyAlignment="1">
      <x:alignment horizontal="center" vertical="center" wrapText="1"/>
    </x:xf>
    <x:xf numFmtId="0" fontId="28" fillId="23" xfId="0" applyNumberFormat="1" applyFont="1" applyFill="1" applyBorder="0" applyAlignment="1">
      <x:alignment horizontal="center" vertical="center" wrapText="1"/>
    </x:xf>
    <x:xf numFmtId="0" fontId="26" fillId="19" xfId="0" applyNumberFormat="1" applyFont="1" applyFill="1" applyBorder="0" applyAlignment="1">
      <x:alignment horizontal="center" vertical="center" wrapText="1"/>
    </x:xf>
    <x:xf numFmtId="0" fontId="21" fillId="23" borderId="0" xfId="0" applyNumberFormat="1" applyFont="1" applyFill="1" applyBorder="1" applyAlignment="1">
      <x:alignment horizontal="left" vertical="center" wrapText="1"/>
    </x:xf>
    <x:xf numFmtId="0" fontId="29" fillId="23" borderId="0" xfId="0" applyNumberFormat="1" applyFont="1" applyFill="1" applyBorder="1" applyAlignment="1">
      <x:alignment horizontal="left" vertical="center" wrapText="1"/>
    </x:xf>
    <x:xf numFmtId="0" fontId="30" fillId="19" borderId="0" xfId="0" applyNumberFormat="1" applyFont="1" applyFill="1" applyBorder="1" applyAlignment="1">
      <x:alignment horizontal="left" vertical="center" wrapText="1"/>
    </x:xf>
    <x:xf numFmtId="0" fontId="7" fillId="24" xfId="0" applyNumberFormat="1" applyFont="1" applyFill="1" applyBorder="0" applyAlignment="1">
      <x:alignment vertical="center" wrapText="1"/>
    </x:xf>
    <x:xf numFmtId="203" fontId="7" fillId="24" xfId="0" applyNumberFormat="1" applyFont="1" applyFill="1" applyBorder="0" applyAlignment="1">
      <x:alignment vertical="center" wrapText="1"/>
    </x:xf>
    <x:xf numFmtId="0" fontId="1" fillId="24" borderId="0" xfId="0" applyNumberFormat="1" applyFont="1" applyFill="1" applyBorder="1" applyAlignment="1">
      <x:alignment vertical="center" wrapText="1"/>
    </x:xf>
    <x:xf numFmtId="0" fontId="26" fillId="24" xfId="0" applyNumberFormat="1" applyFont="1" applyFill="1" applyBorder="0" applyAlignment="1">
      <x:alignment vertical="center" wrapText="1"/>
    </x:xf>
    <x:xf numFmtId="203" fontId="26" fillId="24" xfId="0" applyNumberFormat="1" applyFont="1" applyFill="1" applyBorder="0" applyAlignment="1">
      <x:alignment vertical="center" wrapText="1"/>
    </x:xf>
    <x:xf numFmtId="0" fontId="26" fillId="24" borderId="0" xfId="0" applyNumberFormat="1" applyFont="1" applyFill="1" applyBorder="1" applyAlignment="1">
      <x:alignment vertical="center" wrapText="1"/>
    </x:xf>
    <x:xf numFmtId="0" fontId="25" fillId="21" xfId="0" applyNumberFormat="1" applyFont="1" applyFill="1" applyBorder="0" applyAlignment="1">
      <x:alignment horizontal="left" vertical="center" wrapText="1"/>
    </x:xf>
    <x:xf numFmtId="0" fontId="26" fillId="19" xfId="0" applyNumberFormat="1" applyFont="1" applyFill="1" applyBorder="0" applyAlignment="1">
      <x:alignment vertical="center" wrapText="1"/>
    </x:xf>
    <x:xf numFmtId="0" fontId="28" fillId="23" xfId="0" applyNumberFormat="1" applyFont="1" applyFill="1" applyBorder="0" applyAlignment="1">
      <x:alignment vertical="center" wrapText="1"/>
    </x:xf>
    <x:xf numFmtId="0" fontId="30" fillId="19" xfId="0" applyNumberFormat="1" applyFont="1" applyFill="1" applyBorder="0" applyAlignment="1">
      <x:alignment horizontal="left" vertical="center" wrapText="1"/>
    </x:xf>
    <x:xf numFmtId="0" fontId="29" fillId="23" xfId="0" applyNumberFormat="1" applyFont="1" applyFill="1" applyBorder="0" applyAlignment="1">
      <x:alignment horizontal="left" vertical="center" wrapText="1"/>
    </x:xf>
    <x:xf numFmtId="203" fontId="22" fillId="20" borderId="0" xfId="0" applyNumberFormat="1" applyFont="1" applyFill="1" applyBorder="1" applyAlignment="1">
      <x:alignment horizontal="center" vertical="center" wrapText="1"/>
    </x:xf>
    <x:xf numFmtId="203" fontId="16" fillId="19" borderId="0" xfId="0" applyNumberFormat="1" applyFont="1" applyFill="1" applyBorder="1" applyAlignment="1">
      <x:alignment horizontal="center" vertical="center" wrapText="1"/>
    </x:xf>
    <x:xf numFmtId="203" fontId="23" fillId="19" borderId="0" xfId="0" applyNumberFormat="1" applyFont="1" applyFill="1" applyBorder="1" applyAlignment="1">
      <x:alignment horizontal="center" vertical="center" wrapText="1"/>
    </x:xf>
    <x:xf numFmtId="203" fontId="1" fillId="19" borderId="0" xfId="0" applyNumberFormat="1" applyFont="1" applyFill="1" applyBorder="1" applyAlignment="1">
      <x:alignment vertical="center" wrapText="1"/>
    </x:xf>
    <x:xf numFmtId="203" fontId="18" fillId="20" xfId="0" applyNumberFormat="1" applyFont="1" applyFill="1" applyBorder="0" applyAlignment="1">
      <x:alignment horizontal="center" vertical="center" wrapText="1"/>
    </x:xf>
    <x:xf numFmtId="203" fontId="24" fillId="19" xfId="0" applyNumberFormat="1" applyFont="1" applyFill="1" applyBorder="0" applyAlignment="1">
      <x:alignment vertical="center" wrapText="1"/>
    </x:xf>
    <x:xf numFmtId="203" fontId="25" fillId="21" xfId="0" applyNumberFormat="1" applyFont="1" applyFill="1" applyBorder="0" applyAlignment="1">
      <x:alignment horizontal="left" vertical="center" wrapText="1"/>
    </x:xf>
    <x:xf numFmtId="203" fontId="26" fillId="22" xfId="0" applyNumberFormat="1" applyFont="1" applyFill="1" applyBorder="0" applyAlignment="1">
      <x:alignment horizontal="center" vertical="center" wrapText="1"/>
    </x:xf>
    <x:xf numFmtId="203" fontId="28" fillId="23" xfId="0" applyNumberFormat="1" applyFont="1" applyFill="1" applyBorder="0" applyAlignment="1">
      <x:alignment vertical="center" wrapText="1"/>
    </x:xf>
    <x:xf numFmtId="203" fontId="28" fillId="23" xfId="0" applyNumberFormat="1" applyFont="1" applyFill="1" applyBorder="0" applyAlignment="1">
      <x:alignment horizontal="center" vertical="center" wrapText="1"/>
    </x:xf>
    <x:xf numFmtId="203" fontId="29" fillId="23" xfId="0" applyNumberFormat="1" applyFont="1" applyFill="1" applyBorder="0" applyAlignment="1">
      <x:alignment horizontal="left" vertical="center" wrapText="1"/>
    </x:xf>
    <x:xf numFmtId="0" fontId="10" fillId="3" borderId="0" xfId="0" applyNumberFormat="1" applyFont="1" applyFill="1" applyBorder="1" applyAlignment="1">
      <x:alignment horizontal="center" vertical="center"/>
    </x:xf>
    <x:xf numFmtId="0" fontId="20" fillId="3" borderId="0" xfId="0" applyNumberFormat="1" applyFont="1" applyFill="1" applyBorder="1" applyAlignment="1">
      <x:alignment horizontal="center"/>
    </x:xf>
    <x:xf numFmtId="0" fontId="11" fillId="3" borderId="0" xfId="0" applyNumberFormat="1" applyFont="1" applyFill="1" applyBorder="1" applyAlignment="1">
      <x:alignment horizontal="center"/>
    </x:xf>
    <x:xf numFmtId="0" fontId="12" fillId="3" borderId="0" xfId="0" applyNumberFormat="1" applyFont="1" applyFill="1" applyBorder="1" applyAlignment="1">
      <x:alignment horizontal="center"/>
    </x:xf>
    <x:xf numFmtId="0" fontId="7" fillId="3" xfId="0" applyNumberFormat="1" applyFont="1" applyFill="1" applyBorder="0" applyAlignment="1">
      <x:alignment horizontal="center" wrapText="1"/>
    </x:xf>
    <x:xf numFmtId="0" fontId="0" fillId="3" xfId="0" applyNumberFormat="1" applyFont="1" applyFill="1" applyBorder="0"/>
    <x:xf numFmtId="0" fontId="13" fillId="3" borderId="0" xfId="0" applyNumberFormat="1" applyFont="1" applyFill="1" applyBorder="1" applyAlignment="1">
      <x:alignment horizontal="left"/>
    </x:xf>
    <x:xf numFmtId="203" fontId="14" fillId="3" xfId="0" applyNumberFormat="1" applyFont="1" applyFill="1" applyBorder="0"/>
    <x:xf numFmtId="0" fontId="14" fillId="3" xfId="0" applyNumberFormat="1" applyFont="1" applyFill="1" applyBorder="0"/>
    <x:xf numFmtId="0" fontId="7" fillId="3" xfId="0" applyNumberFormat="1" applyFont="1" applyFill="1" applyBorder="0"/>
    <x:xf numFmtId="203" fontId="7" fillId="3" xfId="0" applyNumberFormat="1" applyFont="1" applyFill="1" applyBorder="0"/>
    <x:xf numFmtId="0" fontId="3" fillId="3" borderId="0" xfId="0" applyNumberFormat="1" applyFont="1" applyFill="1" applyBorder="1"/>
    <x:xf numFmtId="0" fontId="8" fillId="3" borderId="0" xfId="0" applyNumberFormat="1" applyFont="1" applyFill="1" applyBorder="1" applyAlignment="1">
      <x:alignment horizontal="left" wrapText="1"/>
    </x:xf>
    <x:xf numFmtId="0" fontId="7" fillId="3" borderId="0" xfId="0" applyNumberFormat="1" applyFont="1" applyFill="1" applyBorder="1" applyAlignment="1">
      <x:alignment horizontal="center" vertical="center"/>
    </x:xf>
    <x:xf numFmtId="0" fontId="7" fillId="3" borderId="0" xfId="0" applyNumberFormat="1" applyFont="1" applyFill="1" applyBorder="1" applyAlignment="1">
      <x:alignment horizontal="center"/>
    </x:xf>
    <x:xf numFmtId="0" fontId="21" fillId="3" borderId="0" xfId="0" applyNumberFormat="1" applyFont="1" applyFill="1" applyBorder="1" applyAlignment="1">
      <x:alignment horizontal="center"/>
    </x:xf>
    <x:xf numFmtId="0" fontId="7" fillId="3" borderId="0" xfId="0" applyNumberFormat="1" applyFont="1" applyFill="1" applyBorder="1" applyAlignment="1">
      <x:alignment horizontal="left"/>
    </x:xf>
    <x:xf numFmtId="203" fontId="1" fillId="3" xfId="0" applyNumberFormat="1" applyFont="1" applyFill="1" applyBorder="0"/>
    <x:xf numFmtId="0" fontId="7" fillId="3" borderId="0" xfId="0" applyNumberFormat="1" applyFont="1" applyFill="1" applyBorder="1"/>
    <x:xf numFmtId="0" fontId="21" fillId="3" borderId="0" xfId="0" applyNumberFormat="1" applyFont="1" applyFill="1" applyBorder="1" applyAlignment="1">
      <x:alignment horizontal="left" wrapText="1"/>
    </x:xf>
    <x:xf numFmtId="0" fontId="7" fillId="3" borderId="0" xfId="0" applyNumberFormat="1" applyFont="1" applyFill="1" applyBorder="1" applyAlignment="1">
      <x:alignment horizontal="center" vertical="center" wrapText="1"/>
    </x:xf>
    <x:xf numFmtId="0" fontId="7" fillId="3" borderId="0" xfId="0" applyNumberFormat="1" applyFont="1" applyFill="1" applyBorder="1" applyAlignment="1">
      <x:alignment horizontal="center" wrapText="1"/>
    </x:xf>
    <x:xf numFmtId="0" fontId="1" fillId="3" borderId="0" xfId="0" applyNumberFormat="1" applyFont="1" applyFill="1" applyBorder="1" applyAlignment="1">
      <x:alignment wrapText="1"/>
    </x:xf>
    <x:xf numFmtId="0" fontId="21" fillId="3" borderId="0" xfId="0" applyNumberFormat="1" applyFont="1" applyFill="1" applyBorder="1" applyAlignment="1">
      <x:alignment horizontal="center" wrapText="1"/>
    </x:xf>
    <x:xf numFmtId="0" fontId="1" fillId="3" xfId="0" applyNumberFormat="1" applyFont="1" applyFill="1" applyBorder="0" applyAlignment="1">
      <x:alignment wrapText="1"/>
    </x:xf>
    <x:xf numFmtId="0" fontId="7" fillId="3" borderId="0" xfId="0" applyNumberFormat="1" applyFont="1" applyFill="1" applyBorder="1" applyAlignment="1">
      <x:alignment horizontal="left" wrapText="1"/>
    </x:xf>
    <x:xf numFmtId="203" fontId="1" fillId="3" xfId="0" applyNumberFormat="1" applyFont="1" applyFill="1" applyBorder="0" applyAlignment="1">
      <x:alignment wrapText="1"/>
    </x:xf>
    <x:xf numFmtId="0" fontId="7" fillId="3" xfId="0" applyNumberFormat="1" applyFont="1" applyFill="1" applyBorder="0" applyAlignment="1">
      <x:alignment wrapText="1"/>
    </x:xf>
    <x:xf numFmtId="203" fontId="7" fillId="3" xfId="0" applyNumberFormat="1" applyFont="1" applyFill="1" applyBorder="0" applyAlignment="1">
      <x:alignment wrapText="1"/>
    </x:xf>
    <x:xf numFmtId="0" fontId="7"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21" fillId="3" borderId="0" xfId="0" applyNumberFormat="1" applyFont="1" applyFill="1" applyBorder="1" applyAlignment="1">
      <x:alignment horizontal="center" vertical="center" wrapText="1"/>
    </x:xf>
    <x:xf numFmtId="0" fontId="7" fillId="3" xfId="0" applyNumberFormat="1" applyFont="1" applyFill="1" applyBorder="0" applyAlignment="1">
      <x:alignment horizontal="center" vertical="center" wrapText="1"/>
    </x:xf>
    <x:xf numFmtId="0" fontId="1" fillId="3" xfId="0" applyNumberFormat="1" applyFont="1" applyFill="1" applyBorder="0" applyAlignment="1">
      <x:alignment vertical="center" wrapText="1"/>
    </x:xf>
    <x:xf numFmtId="0" fontId="7" fillId="3" borderId="0" xfId="0" applyNumberFormat="1" applyFont="1" applyFill="1" applyBorder="1" applyAlignment="1">
      <x:alignment horizontal="left" vertical="center" wrapText="1"/>
    </x:xf>
    <x:xf numFmtId="203" fontId="1" fillId="3" xfId="0" applyNumberFormat="1" applyFont="1" applyFill="1" applyBorder="0" applyAlignment="1">
      <x:alignment vertical="center" wrapText="1"/>
    </x:xf>
    <x:xf numFmtId="0" fontId="7" fillId="3" xfId="0" applyNumberFormat="1" applyFont="1" applyFill="1" applyBorder="0" applyAlignment="1">
      <x:alignment vertical="center" wrapText="1"/>
    </x:xf>
    <x:xf numFmtId="203" fontId="7" fillId="3" xfId="0" applyNumberFormat="1" applyFont="1" applyFill="1" applyBorder="0" applyAlignment="1">
      <x:alignment vertical="center" wrapText="1"/>
    </x:xf>
    <x:xf numFmtId="0" fontId="7" fillId="3" borderId="0" xfId="0" applyNumberFormat="1" applyFont="1" applyFill="1" applyBorder="1" applyAlignment="1">
      <x:alignment vertical="center" wrapText="1"/>
    </x:xf>
    <x:xf numFmtId="0" fontId="21" fillId="3" borderId="0" xfId="0" applyNumberFormat="1" applyFont="1" applyFill="1" applyBorder="1" applyAlignment="1">
      <x:alignment horizontal="left" vertical="center" wrapText="1"/>
    </x:xf>
    <x:xf numFmtId="0" fontId="16" fillId="3" borderId="0" xfId="0" applyNumberFormat="1" applyFont="1" applyFill="1" applyBorder="1" applyAlignment="1">
      <x:alignment horizontal="center" vertical="center" wrapText="1"/>
    </x:xf>
    <x:xf numFmtId="0" fontId="16" fillId="3" borderId="0" xfId="0" applyNumberFormat="1" applyFont="1" applyFill="1" applyBorder="1" applyAlignment="1">
      <x:alignment vertical="center" wrapText="1"/>
    </x:xf>
    <x:xf numFmtId="0" fontId="23" fillId="3" borderId="0" xfId="0" applyNumberFormat="1" applyFont="1" applyFill="1" applyBorder="1" applyAlignment="1">
      <x:alignment horizontal="center" vertical="center" wrapText="1"/>
    </x:xf>
    <x:xf numFmtId="0" fontId="24" fillId="3" xfId="0" applyNumberFormat="1" applyFont="1" applyFill="1" applyBorder="0" applyAlignment="1">
      <x:alignment vertical="center" wrapText="1"/>
    </x:xf>
    <x:xf numFmtId="0" fontId="7" fillId="11" borderId="0" xfId="0" applyNumberFormat="1" applyFont="1" applyFill="1" applyBorder="1" applyAlignment="1">
      <x:alignment horizontal="left" vertical="center" wrapText="1"/>
    </x:xf>
    <x:xf numFmtId="0" fontId="25" fillId="11" borderId="0" xfId="0" applyNumberFormat="1" applyFont="1" applyFill="1" applyBorder="1" applyAlignment="1">
      <x:alignment horizontal="left" vertical="center" wrapText="1"/>
    </x:xf>
    <x:xf numFmtId="0" fontId="25" fillId="11" borderId="0" xfId="0" applyNumberFormat="1" applyFont="1" applyFill="1" applyBorder="1" applyAlignment="1">
      <x:alignment vertical="center" wrapText="1"/>
    </x:xf>
    <x:xf numFmtId="0" fontId="26" fillId="6" xfId="0" applyNumberFormat="1" applyFont="1" applyFill="1" applyBorder="0" applyAlignment="1">
      <x:alignment horizontal="center" vertical="center" wrapText="1"/>
    </x:xf>
    <x:xf numFmtId="0" fontId="26" fillId="6" borderId="0" xfId="0" applyNumberFormat="1" applyFont="1" applyFill="1" applyBorder="1" applyAlignment="1">
      <x:alignment vertical="center" wrapText="1"/>
    </x:xf>
    <x:xf numFmtId="0" fontId="26" fillId="6" borderId="0" xfId="0" applyNumberFormat="1" applyFont="1" applyFill="1" applyBorder="1" applyAlignment="1">
      <x:alignment horizontal="center" vertical="center" wrapText="1"/>
    </x:xf>
    <x:xf numFmtId="0" fontId="26" fillId="3" borderId="0" xfId="0" applyNumberFormat="1" applyFont="1" applyFill="1" applyBorder="1" applyAlignment="1">
      <x:alignment vertical="center" wrapText="1"/>
    </x:xf>
    <x:xf numFmtId="0" fontId="26" fillId="3" xfId="0" applyNumberFormat="1" applyFont="1" applyFill="1" applyBorder="0" applyAlignment="1">
      <x:alignment horizontal="center" vertical="center" wrapText="1"/>
    </x:xf>
    <x:xf numFmtId="0" fontId="30" fillId="3" borderId="0" xfId="0" applyNumberFormat="1" applyFont="1" applyFill="1" applyBorder="1" applyAlignment="1">
      <x:alignment horizontal="left" vertical="center" wrapText="1"/>
    </x:xf>
    <x:xf numFmtId="0" fontId="7" fillId="18" xfId="0" applyNumberFormat="1" applyFont="1" applyFill="1" applyBorder="0" applyAlignment="1">
      <x:alignment vertical="center" wrapText="1"/>
    </x:xf>
    <x:xf numFmtId="203" fontId="7" fillId="18" xfId="0" applyNumberFormat="1" applyFont="1" applyFill="1" applyBorder="0" applyAlignment="1">
      <x:alignment vertical="center" wrapText="1"/>
    </x:xf>
    <x:xf numFmtId="0" fontId="1" fillId="18" borderId="0" xfId="0" applyNumberFormat="1" applyFont="1" applyFill="1" applyBorder="1" applyAlignment="1">
      <x:alignment vertical="center" wrapText="1"/>
    </x:xf>
    <x:xf numFmtId="0" fontId="26" fillId="18" xfId="0" applyNumberFormat="1" applyFont="1" applyFill="1" applyBorder="0" applyAlignment="1">
      <x:alignment vertical="center" wrapText="1"/>
    </x:xf>
    <x:xf numFmtId="203" fontId="26" fillId="18" xfId="0" applyNumberFormat="1" applyFont="1" applyFill="1" applyBorder="0" applyAlignment="1">
      <x:alignment vertical="center" wrapText="1"/>
    </x:xf>
    <x:xf numFmtId="0" fontId="26" fillId="18" borderId="0" xfId="0" applyNumberFormat="1" applyFont="1" applyFill="1" applyBorder="1" applyAlignment="1">
      <x:alignment vertical="center" wrapText="1"/>
    </x:xf>
    <x:xf numFmtId="0" fontId="25" fillId="11" xfId="0" applyNumberFormat="1" applyFont="1" applyFill="1" applyBorder="0" applyAlignment="1">
      <x:alignment horizontal="left" vertical="center" wrapText="1"/>
    </x:xf>
    <x:xf numFmtId="0" fontId="26" fillId="3" xfId="0" applyNumberFormat="1" applyFont="1" applyFill="1" applyBorder="0" applyAlignment="1">
      <x:alignment vertical="center" wrapText="1"/>
    </x:xf>
    <x:xf numFmtId="0" fontId="30" fillId="3" xfId="0" applyNumberFormat="1" applyFont="1" applyFill="1" applyBorder="0" applyAlignment="1">
      <x:alignment horizontal="left" vertical="center" wrapText="1"/>
    </x:xf>
    <x:xf numFmtId="203" fontId="16" fillId="3" borderId="0" xfId="0" applyNumberFormat="1" applyFont="1" applyFill="1" applyBorder="1" applyAlignment="1">
      <x:alignment horizontal="center" vertical="center" wrapText="1"/>
    </x:xf>
    <x:xf numFmtId="203" fontId="23" fillId="3" borderId="0" xfId="0" applyNumberFormat="1" applyFont="1" applyFill="1" applyBorder="1" applyAlignment="1">
      <x:alignment horizontal="center" vertical="center" wrapText="1"/>
    </x:xf>
    <x:xf numFmtId="203" fontId="1" fillId="3" borderId="0" xfId="0" applyNumberFormat="1" applyFont="1" applyFill="1" applyBorder="1" applyAlignment="1">
      <x:alignment vertical="center" wrapText="1"/>
    </x:xf>
    <x:xf numFmtId="203" fontId="24" fillId="3" xfId="0" applyNumberFormat="1" applyFont="1" applyFill="1" applyBorder="0" applyAlignment="1">
      <x:alignment vertical="center" wrapText="1"/>
    </x:xf>
    <x:xf numFmtId="203" fontId="25" fillId="11" xfId="0" applyNumberFormat="1" applyFont="1" applyFill="1" applyBorder="0" applyAlignment="1">
      <x:alignment horizontal="left" vertical="center" wrapText="1"/>
    </x:xf>
    <x:xf numFmtId="203" fontId="26" fillId="6" xfId="0" applyNumberFormat="1" applyFont="1" applyFill="1" applyBorder="0" applyAlignment="1">
      <x:alignment horizontal="center" vertical="center" wrapText="1"/>
    </x:xf>
    <x:xf numFmtId="0" fontId="15" fillId="25" xfId="0" applyNumberFormat="1" applyFont="1" applyFill="1" applyBorder="0" applyAlignment="1">
      <x:alignment horizontal="left" vertical="center" wrapText="1"/>
    </x:xf>
    <x:xf numFmtId="0" fontId="3" fillId="25" xfId="0" applyNumberFormat="1" applyFont="1" applyFill="1" applyBorder="0" applyAlignment="1">
      <x:alignment horizontal="left" vertical="center" wrapText="1"/>
    </x:xf>
    <x:xf numFmtId="203" fontId="3" fillId="25" xfId="0" applyNumberFormat="1" applyFont="1" applyFill="1" applyBorder="0" applyAlignment="1">
      <x:alignment horizontal="left" vertical="center" wrapText="1"/>
    </x:xf>
    <x:xf numFmtId="0" fontId="7" fillId="25" xfId="0" applyNumberFormat="1" applyFont="1" applyFill="1" applyBorder="0" applyAlignment="1">
      <x:alignment horizontal="center" vertical="center" wrapText="1"/>
    </x:xf>
    <x:xf numFmtId="200" fontId="7" fillId="25" xfId="0" applyNumberFormat="1" applyFont="1" applyFill="1" applyBorder="0" applyAlignment="1">
      <x:alignment horizontal="center" vertical="center" wrapText="1"/>
    </x:xf>
    <x:xf numFmtId="0" fontId="9" fillId="25" xfId="0" applyNumberFormat="1" applyFont="1" applyFill="1" applyBorder="0" applyAlignment="1">
      <x:alignment vertical="center" wrapText="1"/>
    </x:xf>
    <x:xf numFmtId="203" fontId="9" fillId="25" xfId="0" applyNumberFormat="1" applyFont="1" applyFill="1" applyBorder="0" applyAlignment="1">
      <x:alignment vertical="center" wrapText="1"/>
    </x:xf>
    <x:xf numFmtId="0" fontId="1" fillId="25" xfId="0" applyNumberFormat="1" applyFont="1" applyFill="1" applyBorder="0" applyAlignment="1">
      <x:alignment vertical="center" wrapText="1"/>
    </x:xf>
    <x:xf numFmtId="203" fontId="14" fillId="25" xfId="0" applyNumberFormat="1" applyFont="1" applyFill="1" applyBorder="0" applyAlignment="1">
      <x:alignment vertical="center" wrapText="1"/>
    </x:xf>
    <x:xf numFmtId="203" fontId="1" fillId="25" xfId="0" applyNumberFormat="1" applyFont="1" applyFill="1" applyBorder="0" applyAlignment="1">
      <x:alignment vertical="center" wrapText="1"/>
    </x:xf>
    <x:xf numFmtId="0" fontId="7" fillId="25" xfId="0" applyNumberFormat="1" applyFont="1" applyFill="1" applyBorder="0" applyAlignment="1">
      <x:alignment vertical="center" wrapText="1"/>
    </x:xf>
    <x:xf numFmtId="203" fontId="17" fillId="25" xfId="0" applyNumberFormat="1" applyFont="1" applyFill="1" applyBorder="0" applyAlignment="1">
      <x:alignment vertical="center" wrapText="1"/>
    </x:xf>
    <x:xf numFmtId="203" fontId="7" fillId="25" xfId="0" applyNumberFormat="1" applyFont="1" applyFill="1" applyBorder="0" applyAlignment="1">
      <x:alignment vertical="center" wrapText="1"/>
    </x:xf>
    <x:xf numFmtId="0" fontId="7" fillId="25" xfId="0" applyNumberFormat="1" applyFont="1" applyFill="1" applyBorder="0" applyAlignment="1">
      <x:alignment horizontal="left" vertical="center" wrapText="1"/>
    </x:xf>
    <x:xf numFmtId="203" fontId="7" fillId="25" xfId="0" applyNumberFormat="1" applyFont="1" applyFill="1" applyBorder="0" applyAlignment="1">
      <x:alignment horizontal="left" vertical="center" wrapText="1"/>
    </x:xf>
    <x:xf numFmtId="0" fontId="7" fillId="25" xfId="0" applyNumberFormat="1" applyFont="1" applyFill="1" applyBorder="0" applyAlignment="1">
      <x:alignment horizontal="left" vertical="center" wrapText="0"/>
    </x:xf>
    <x:xf numFmtId="203" fontId="7" fillId="25" xfId="0" applyNumberFormat="1" applyFont="1" applyFill="1" applyBorder="0" applyAlignment="1">
      <x:alignment horizontal="left" vertical="center" wrapText="0"/>
    </x:xf>
    <x:xf numFmtId="0" fontId="7" fillId="25" xfId="0" applyNumberFormat="1" applyFont="1" applyFill="1" applyBorder="0" applyAlignment="1">
      <x:alignment horizontal="center" vertical="center" wrapText="0"/>
    </x:xf>
    <x:xf numFmtId="200" fontId="7" fillId="25" xfId="0" applyNumberFormat="1" applyFont="1" applyFill="1" applyBorder="0" applyAlignment="1">
      <x:alignment horizontal="center" vertical="center" wrapText="0"/>
    </x:xf>
    <x:xf numFmtId="0" fontId="7" fillId="25" xfId="0" applyNumberFormat="1" applyFont="1" applyFill="1" applyBorder="0" applyAlignment="1">
      <x:alignment vertical="center" wrapText="0"/>
    </x:xf>
    <x:xf numFmtId="203" fontId="7" fillId="25" xfId="0" applyNumberFormat="1" applyFont="1" applyFill="1" applyBorder="0" applyAlignment="1">
      <x:alignment vertical="center" wrapText="0"/>
    </x:xf>
    <x:xf numFmtId="0" fontId="1" fillId="25" xfId="0" applyNumberFormat="1" applyFont="1" applyFill="1" applyBorder="0" applyAlignment="1">
      <x:alignment vertical="center" wrapText="0"/>
    </x:xf>
    <x:xf numFmtId="203" fontId="1" fillId="25" xfId="0" applyNumberFormat="1" applyFont="1" applyFill="1" applyBorder="0" applyAlignment="1">
      <x:alignment vertical="center" wrapText="0"/>
    </x:xf>
    <x:xf numFmtId="0" fontId="6" fillId="25" xfId="0" applyNumberFormat="1" applyFont="1" applyFill="1" applyBorder="0" applyAlignment="1">
      <x:alignment horizontal="left" vertical="center" wrapText="0"/>
    </x:xf>
    <x:xf numFmtId="203" fontId="6" fillId="25" xfId="0" applyNumberFormat="1" applyFont="1" applyFill="1" applyBorder="0" applyAlignment="1">
      <x:alignment horizontal="left" vertical="center" wrapText="0"/>
    </x:xf>
    <x:xf numFmtId="203" fontId="31" fillId="25" xfId="0" applyNumberFormat="1" applyFont="1" applyFill="1" applyBorder="0" applyAlignment="1">
      <x:alignment horizontal="left" vertical="center" wrapText="0"/>
    </x:xf>
    <x:xf numFmtId="203" fontId="31" fillId="25" xfId="0" applyNumberFormat="1" applyFont="1" applyFill="1" applyBorder="0" applyAlignment="1">
      <x:alignment horizontal="right" vertical="center" wrapText="0"/>
    </x:xf>
    <x:xf numFmtId="0" fontId="16" fillId="25" xfId="0" applyNumberFormat="1" applyFont="1" applyFill="1" applyBorder="0" applyAlignment="1">
      <x:alignment horizontal="left" vertical="center" wrapText="1"/>
    </x:xf>
    <x:xf numFmtId="203" fontId="7" fillId="25" xfId="0" applyNumberFormat="1" applyFont="1" applyFill="1" applyBorder="0" applyAlignment="1">
      <x:alignment horizontal="center" vertical="center" wrapText="1"/>
    </x:xf>
    <x:xf numFmtId="0" fontId="24" fillId="25" xfId="0" applyNumberFormat="1" applyFont="1" applyFill="1" applyBorder="0" applyAlignment="1">
      <x:alignment vertical="center" wrapText="1"/>
    </x:xf>
    <x:xf numFmtId="203" fontId="24" fillId="25" xfId="0" applyNumberFormat="1" applyFont="1" applyFill="1" applyBorder="0" applyAlignment="1">
      <x:alignment vertical="center" wrapText="1"/>
    </x:xf>
    <x:xf numFmtId="0" fontId="26" fillId="25" xfId="0" applyNumberFormat="1" applyFont="1" applyFill="1" applyBorder="0" applyAlignment="1">
      <x:alignment horizontal="left" vertical="center" wrapText="1"/>
    </x:xf>
    <x:xf numFmtId="203" fontId="26" fillId="25" xfId="0" applyNumberFormat="1" applyFont="1" applyFill="1" applyBorder="0" applyAlignment="1">
      <x:alignment horizontal="left" vertical="center" wrapText="1"/>
    </x:xf>
    <x:xf numFmtId="0" fontId="26" fillId="25" xfId="0" applyNumberFormat="1" applyFont="1" applyFill="1" applyBorder="0" applyAlignment="1">
      <x:alignment vertical="center" wrapText="1"/>
    </x:xf>
    <x:xf numFmtId="203" fontId="26" fillId="25" xfId="0" applyNumberFormat="1" applyFont="1" applyFill="1" applyBorder="0" applyAlignment="1">
      <x:alignment vertical="center" wrapText="1"/>
    </x:xf>
    <x:xf numFmtId="0" fontId="26" fillId="25" xfId="0" applyNumberFormat="1" applyFont="1" applyFill="1" applyBorder="0" applyAlignment="1">
      <x:alignment horizontal="center" vertical="center" wrapText="1"/>
    </x:xf>
    <x:xf numFmtId="203" fontId="26" fillId="25" xfId="0" applyNumberFormat="1" applyFont="1" applyFill="1" applyBorder="0" applyAlignment="1">
      <x:alignment horizontal="center" vertical="center" wrapText="1"/>
    </x:xf>
    <x:xf numFmtId="0" fontId="26" fillId="26" xfId="0" applyNumberFormat="1" applyFont="1" applyFill="1" applyBorder="0" applyAlignment="1">
      <x:alignment horizontal="center" vertical="center" wrapText="1"/>
    </x:xf>
    <x:xf numFmtId="203" fontId="26" fillId="26" xfId="0" applyNumberFormat="1" applyFont="1" applyFill="1" applyBorder="0" applyAlignment="1">
      <x:alignment horizontal="center" vertical="center" wrapText="1"/>
    </x:xf>
    <x:xf numFmtId="0" fontId="15" fillId="3" xfId="0" applyNumberFormat="1" applyFont="1" applyFill="1" applyBorder="0" applyAlignment="1">
      <x:alignment horizontal="left" vertical="center" wrapText="1"/>
    </x:xf>
    <x:xf numFmtId="0" fontId="3" fillId="3" xfId="0" applyNumberFormat="1" applyFont="1" applyFill="1" applyBorder="0" applyAlignment="1">
      <x:alignment horizontal="left" vertical="center" wrapText="1"/>
    </x:xf>
    <x:xf numFmtId="203" fontId="3" fillId="3" xfId="0" applyNumberFormat="1" applyFont="1" applyFill="1" applyBorder="0" applyAlignment="1">
      <x:alignment horizontal="left" vertical="center" wrapText="1"/>
    </x:xf>
    <x:xf numFmtId="200" fontId="7" fillId="3" xfId="0" applyNumberFormat="1" applyFont="1" applyFill="1" applyBorder="0" applyAlignment="1">
      <x:alignment horizontal="center" vertical="center" wrapText="1"/>
    </x:xf>
    <x:xf numFmtId="0" fontId="9" fillId="3" xfId="0" applyNumberFormat="1" applyFont="1" applyFill="1" applyBorder="0" applyAlignment="1">
      <x:alignment vertical="center" wrapText="1"/>
    </x:xf>
    <x:xf numFmtId="203" fontId="9" fillId="3" xfId="0" applyNumberFormat="1" applyFont="1" applyFill="1" applyBorder="0" applyAlignment="1">
      <x:alignment vertical="center" wrapText="1"/>
    </x:xf>
    <x:xf numFmtId="203" fontId="14" fillId="3" xfId="0" applyNumberFormat="1" applyFont="1" applyFill="1" applyBorder="0" applyAlignment="1">
      <x:alignment vertical="center" wrapText="1"/>
    </x:xf>
    <x:xf numFmtId="203" fontId="17" fillId="3" xfId="0" applyNumberFormat="1" applyFont="1" applyFill="1" applyBorder="0" applyAlignment="1">
      <x:alignment vertical="center" wrapText="1"/>
    </x:xf>
    <x:xf numFmtId="0" fontId="7" fillId="3" xfId="0" applyNumberFormat="1" applyFont="1" applyFill="1" applyBorder="0" applyAlignment="1">
      <x:alignment horizontal="left" vertical="center" wrapText="1"/>
    </x:xf>
    <x:xf numFmtId="203" fontId="7" fillId="3" xfId="0" applyNumberFormat="1" applyFont="1" applyFill="1" applyBorder="0" applyAlignment="1">
      <x:alignment horizontal="left" vertical="center" wrapText="1"/>
    </x:xf>
    <x:xf numFmtId="0" fontId="7" fillId="3" xfId="0" applyNumberFormat="1" applyFont="1" applyFill="1" applyBorder="0" applyAlignment="1">
      <x:alignment horizontal="left" vertical="center" wrapText="0"/>
    </x:xf>
    <x:xf numFmtId="203" fontId="7" fillId="3" xfId="0" applyNumberFormat="1" applyFont="1" applyFill="1" applyBorder="0" applyAlignment="1">
      <x:alignment horizontal="left" vertical="center" wrapText="0"/>
    </x:xf>
    <x:xf numFmtId="0" fontId="7" fillId="3" xfId="0" applyNumberFormat="1" applyFont="1" applyFill="1" applyBorder="0" applyAlignment="1">
      <x:alignment horizontal="center" vertical="center" wrapText="0"/>
    </x:xf>
    <x:xf numFmtId="200" fontId="7" fillId="3" xfId="0" applyNumberFormat="1" applyFont="1" applyFill="1" applyBorder="0" applyAlignment="1">
      <x:alignment horizontal="center" vertical="center" wrapText="0"/>
    </x:xf>
    <x:xf numFmtId="0" fontId="7" fillId="3" xfId="0" applyNumberFormat="1" applyFont="1" applyFill="1" applyBorder="0" applyAlignment="1">
      <x:alignment vertical="center" wrapText="0"/>
    </x:xf>
    <x:xf numFmtId="203" fontId="7" fillId="3" xfId="0" applyNumberFormat="1" applyFont="1" applyFill="1" applyBorder="0" applyAlignment="1">
      <x:alignment vertical="center" wrapText="0"/>
    </x:xf>
    <x:xf numFmtId="0" fontId="1" fillId="3" xfId="0" applyNumberFormat="1" applyFont="1" applyFill="1" applyBorder="0" applyAlignment="1">
      <x:alignment vertical="center" wrapText="0"/>
    </x:xf>
    <x:xf numFmtId="203" fontId="1" fillId="3" xfId="0" applyNumberFormat="1" applyFont="1" applyFill="1" applyBorder="0" applyAlignment="1">
      <x:alignment vertical="center" wrapText="0"/>
    </x:xf>
    <x:xf numFmtId="0" fontId="6" fillId="3" xfId="0" applyNumberFormat="1" applyFont="1" applyFill="1" applyBorder="0" applyAlignment="1">
      <x:alignment horizontal="left" vertical="center" wrapText="0"/>
    </x:xf>
    <x:xf numFmtId="203" fontId="6" fillId="3" xfId="0" applyNumberFormat="1" applyFont="1" applyFill="1" applyBorder="0" applyAlignment="1">
      <x:alignment horizontal="left" vertical="center" wrapText="0"/>
    </x:xf>
    <x:xf numFmtId="203" fontId="31" fillId="3" xfId="0" applyNumberFormat="1" applyFont="1" applyFill="1" applyBorder="0" applyAlignment="1">
      <x:alignment horizontal="left" vertical="center" wrapText="0"/>
    </x:xf>
    <x:xf numFmtId="203" fontId="31" fillId="3" xfId="0" applyNumberFormat="1" applyFont="1" applyFill="1" applyBorder="0" applyAlignment="1">
      <x:alignment horizontal="right" vertical="center" wrapText="0"/>
    </x:xf>
    <x:xf numFmtId="0" fontId="16" fillId="3" xfId="0" applyNumberFormat="1" applyFont="1" applyFill="1" applyBorder="0" applyAlignment="1">
      <x:alignment horizontal="left" vertical="center" wrapText="1"/>
    </x:xf>
    <x:xf numFmtId="203" fontId="7" fillId="3" xfId="0" applyNumberFormat="1" applyFont="1" applyFill="1" applyBorder="0" applyAlignment="1">
      <x:alignment horizontal="center" vertical="center" wrapText="1"/>
    </x:xf>
    <x:xf numFmtId="0" fontId="26" fillId="3" xfId="0" applyNumberFormat="1" applyFont="1" applyFill="1" applyBorder="0" applyAlignment="1">
      <x:alignment horizontal="left" vertical="center" wrapText="1"/>
    </x:xf>
    <x:xf numFmtId="203" fontId="26" fillId="3" xfId="0" applyNumberFormat="1" applyFont="1" applyFill="1" applyBorder="0" applyAlignment="1">
      <x:alignment horizontal="left" vertical="center" wrapText="1"/>
    </x:xf>
    <x:xf numFmtId="203" fontId="26" fillId="3" xfId="0" applyNumberFormat="1" applyFont="1" applyFill="1" applyBorder="0" applyAlignment="1">
      <x:alignment vertical="center" wrapText="1"/>
    </x:xf>
    <x:xf numFmtId="203" fontId="26" fillId="3" xfId="0" applyNumberFormat="1" applyFont="1" applyFill="1" applyBorder="0" applyAlignment="1">
      <x:alignment horizontal="center" vertical="center" wrapText="1"/>
    </x:xf>
    <x:xf numFmtId="0" fontId="26" fillId="14" xfId="0" applyNumberFormat="1" applyFont="1" applyFill="1" applyBorder="0" applyAlignment="1">
      <x:alignment horizontal="center" vertical="center" wrapText="1"/>
    </x:xf>
    <x:xf numFmtId="203" fontId="26" fillId="14" xfId="0" applyNumberFormat="1" applyFont="1" applyFill="1" applyBorder="0" applyAlignment="1">
      <x:alignment horizontal="center" vertical="center" wrapText="1"/>
    </x:xf>
    <x:xf numFmtId="0" fontId="7" fillId="27" xfId="0" applyNumberFormat="1" applyFont="1" applyFill="1" applyBorder="0" applyAlignment="1">
      <x:alignment vertical="center"/>
    </x:xf>
    <x:xf numFmtId="0" fontId="1" fillId="27" borderId="0" xfId="0" applyNumberFormat="1" applyFont="1" applyFill="1" applyBorder="1" applyAlignment="1">
      <x:alignment vertical="center"/>
    </x:xf>
    <x:xf numFmtId="0" fontId="7" fillId="27" borderId="0" xfId="0" applyNumberFormat="1" applyFont="1" applyFill="1" applyBorder="1" applyAlignment="1">
      <x:alignment vertical="center"/>
    </x:xf>
    <x:xf numFmtId="0" fontId="14" fillId="28" xfId="0" applyNumberFormat="1" applyFont="1" applyFill="1" applyBorder="0" applyAlignment="1">
      <x:alignment vertical="center" wrapText="1"/>
    </x:xf>
    <x:xf numFmtId="0" fontId="19" fillId="28" xfId="0" applyNumberFormat="1" applyFont="1" applyFill="1" applyBorder="0" applyAlignment="1">
      <x:alignment vertical="center" wrapText="1"/>
    </x:xf>
    <x:xf numFmtId="0" fontId="1" fillId="28" borderId="0" xfId="0" applyNumberFormat="1" applyFont="1" applyFill="1" applyBorder="1" applyAlignment="1">
      <x:alignment vertical="center"/>
    </x:xf>
    <x:xf numFmtId="0" fontId="17" fillId="28" xfId="0" applyNumberFormat="1" applyFont="1" applyFill="1" applyBorder="0" applyAlignment="1">
      <x:alignment vertical="center" wrapText="1"/>
    </x:xf>
    <x:xf numFmtId="0" fontId="14" fillId="28" borderId="0" xfId="0" applyNumberFormat="1" applyFont="1" applyFill="1" applyBorder="1" applyAlignment="1">
      <x:alignment vertical="center"/>
    </x:xf>
    <x:xf numFmtId="0" fontId="14" fillId="28" borderId="0" xfId="0" applyNumberFormat="1" applyFont="1" applyFill="1" applyBorder="1" applyAlignment="1">
      <x:alignment vertical="center" wrapText="1"/>
    </x:xf>
    <x:xf numFmtId="0" fontId="17" fillId="5" xfId="0" applyNumberFormat="1" applyFont="1" applyFill="1" applyBorder="0" applyAlignment="1">
      <x:alignment vertical="center" wrapText="1"/>
    </x:xf>
    <x:xf numFmtId="200" fontId="7" fillId="3" xfId="0" applyNumberFormat="1" applyFont="1" applyFill="1" applyBorder="0" applyAlignment="1">
      <x:alignment vertical="center" wrapText="0"/>
    </x:xf>
    <x:xf numFmtId="200" fontId="24" fillId="3" xfId="0" applyNumberFormat="1" applyFont="1" applyFill="1" applyBorder="0" applyAlignment="1">
      <x:alignment vertical="center" wrapText="1"/>
    </x:xf>
    <x:xf numFmtId="200" fontId="26" fillId="3" xfId="0" applyNumberFormat="1" applyFont="1" applyFill="1" applyBorder="0" applyAlignment="1">
      <x:alignment horizontal="center" vertical="center" wrapText="1"/>
    </x:xf>
    <x:xf numFmtId="200" fontId="0" fillId="0" borderId="0" xfId="0" applyNumberFormat="1" applyFont="1" applyFill="1" applyBorder="1"/>
    <x:xf numFmtId="0" fontId="6" fillId="29" xfId="0" applyNumberFormat="1" applyFont="1" applyFill="1" applyBorder="0" applyAlignment="1">
      <x:alignment horizontal="left" vertical="center" wrapText="0"/>
    </x:xf>
    <x:xf numFmtId="203" fontId="6" fillId="29" xfId="0" applyNumberFormat="1" applyFont="1" applyFill="1" applyBorder="0" applyAlignment="1">
      <x:alignment horizontal="left" vertical="center" wrapText="0"/>
    </x:xf>
    <x:xf numFmtId="0" fontId="7" fillId="29" xfId="0" applyNumberFormat="1" applyFont="1" applyFill="1" applyBorder="0" applyAlignment="1">
      <x:alignment horizontal="left" vertical="center" wrapText="0"/>
    </x:xf>
    <x:xf numFmtId="203" fontId="31" fillId="29" xfId="0" applyNumberFormat="1" applyFont="1" applyFill="1" applyBorder="0" applyAlignment="1">
      <x:alignment horizontal="right" vertical="center" wrapText="0"/>
    </x:xf>
    <x:xf numFmtId="0" fontId="7" fillId="29" xfId="0" applyNumberFormat="1" applyFont="1" applyFill="1" applyBorder="0" applyAlignment="1">
      <x:alignment horizontal="center" vertical="center" wrapText="1"/>
    </x:xf>
    <x:xf numFmtId="200" fontId="7" fillId="29" xfId="0" applyNumberFormat="1" applyFont="1" applyFill="1" applyBorder="0" applyAlignment="1">
      <x:alignment horizontal="center" vertical="center" wrapText="1"/>
    </x:xf>
    <x:xf numFmtId="0" fontId="7" fillId="29" xfId="0" applyNumberFormat="1" applyFont="1" applyFill="1" applyBorder="0" applyAlignment="1">
      <x:alignment vertical="center" wrapText="0"/>
    </x:xf>
    <x:xf numFmtId="203" fontId="7" fillId="29" xfId="0" applyNumberFormat="1" applyFont="1" applyFill="1" applyBorder="0" applyAlignment="1">
      <x:alignment vertical="center" wrapText="0"/>
    </x:xf>
    <x:xf numFmtId="200" fontId="7" fillId="29" xfId="0" applyNumberFormat="1" applyFont="1" applyFill="1" applyBorder="0" applyAlignment="1">
      <x:alignment vertical="center" wrapText="0"/>
    </x:xf>
    <x:xf numFmtId="0" fontId="1" fillId="29" xfId="0" applyNumberFormat="1" applyFont="1" applyFill="1" applyBorder="0" applyAlignment="1">
      <x:alignment vertical="center" wrapText="0"/>
    </x:xf>
    <x:xf numFmtId="203" fontId="1" fillId="29" xfId="0" applyNumberFormat="1" applyFont="1" applyFill="1" applyBorder="0" applyAlignment="1">
      <x:alignment vertical="center" wrapText="0"/>
    </x:xf>
    <x:xf numFmtId="0" fontId="0" fillId="29" borderId="0" xfId="0" applyNumberFormat="1" applyFont="1" applyFill="1" applyBorder="1"/>
    <x:xf numFmtId="0" fontId="8" fillId="29" borderId="0" xfId="0" applyNumberFormat="1" applyFont="1" applyFill="1" applyBorder="1" applyAlignment="1">
      <x:alignment horizontal="left" wrapText="1"/>
    </x:xf>
    <x:xf numFmtId="203" fontId="7" fillId="29" xfId="0" applyNumberFormat="1" applyFont="1" applyFill="1" applyBorder="0" applyAlignment="1">
      <x:alignment horizontal="left" vertical="center" wrapText="0"/>
    </x:xf>
    <x:xf numFmtId="203" fontId="7" fillId="29" xfId="0" applyNumberFormat="1" applyFont="1" applyFill="1" applyBorder="0" applyAlignment="1">
      <x:alignment horizontal="right" vertical="center" wrapText="0"/>
    </x:xf>
    <x:xf numFmtId="0" fontId="1" fillId="29" borderId="0" xfId="0" applyNumberFormat="1" applyFont="1" applyFill="1" applyBorder="1"/>
    <x:xf numFmtId="0" fontId="21" fillId="29" borderId="0" xfId="0" applyNumberFormat="1" applyFont="1" applyFill="1" applyBorder="1" applyAlignment="1">
      <x:alignment horizontal="left" wrapText="1"/>
    </x:xf>
    <x:xf numFmtId="0" fontId="1" fillId="29" borderId="0" xfId="0" applyNumberFormat="1" applyFont="1" applyFill="1" applyBorder="1" applyAlignment="1">
      <x:alignment vertical="center"/>
    </x:xf>
    <x:xf numFmtId="0" fontId="21" fillId="29" borderId="0" xfId="0" applyNumberFormat="1" applyFont="1" applyFill="1" applyBorder="1" applyAlignment="1">
      <x:alignment horizontal="left" vertical="center" wrapText="1"/>
    </x:xf>
    <x:xf numFmtId="0" fontId="1" fillId="29" xfId="0" applyNumberFormat="1" applyFont="1" applyFill="1" applyBorder="0" applyAlignment="1">
      <x:alignment vertical="center"/>
    </x:xf>
    <x:xf numFmtId="0" fontId="21" fillId="29" xfId="0" applyNumberFormat="1" applyFont="1" applyFill="1" applyBorder="0" applyAlignment="1">
      <x:alignment horizontal="left" vertical="center" wrapText="1"/>
    </x:xf>
    <x:xf numFmtId="0" fontId="7" fillId="29" xfId="0" applyNumberFormat="1" applyFont="1" applyFill="1" applyBorder="0" applyAlignment="1">
      <x:alignment vertical="center" wrapText="1"/>
    </x:xf>
    <x:xf numFmtId="203" fontId="7" fillId="29" xfId="0" applyNumberFormat="1" applyFont="1" applyFill="1" applyBorder="0" applyAlignment="1">
      <x:alignment vertical="center" wrapText="1"/>
    </x:xf>
    <x:xf numFmtId="200" fontId="7" fillId="29" xfId="0" applyNumberFormat="1" applyFont="1" applyFill="1" applyBorder="0" applyAlignment="1">
      <x:alignment vertical="center" wrapText="1"/>
    </x:xf>
    <x:xf numFmtId="203" fontId="7" fillId="29" xfId="0" applyNumberFormat="1" applyFont="1" applyFill="1" applyBorder="0" applyAlignment="1">
      <x:alignment horizontal="center" vertical="center" wrapText="1"/>
    </x:xf>
    <x:xf numFmtId="204" fontId="1" fillId="29" xfId="0" applyNumberFormat="1" applyFont="1" applyFill="1" applyBorder="0" applyAlignment="1">
      <x:alignment vertical="center" wrapText="0"/>
    </x:xf>
    <x:xf numFmtId="204" fontId="7" fillId="29" xfId="0" applyNumberFormat="1" applyFont="1" applyFill="1" applyBorder="0" applyAlignment="1">
      <x:alignment vertical="center" wrapText="0"/>
    </x:xf>
    <x:xf numFmtId="204" fontId="1" fillId="29" xfId="0" applyNumberFormat="1" applyFont="1" applyFill="1" applyBorder="0" applyAlignment="1">
      <x:alignment vertical="center"/>
    </x:xf>
    <x:xf numFmtId="204" fontId="21" fillId="29" xfId="0" applyNumberFormat="1" applyFont="1" applyFill="1" applyBorder="0" applyAlignment="1">
      <x:alignment horizontal="left" vertical="center" wrapText="1"/>
    </x:xf>
    <x:xf numFmtId="204" fontId="1" fillId="29" xfId="0" applyNumberFormat="1" applyFont="1" applyFill="1" applyBorder="0" applyAlignment="1">
      <x:alignment horizontal="center" vertical="center" wrapText="0"/>
    </x:xf>
    <x:xf numFmtId="204" fontId="7" fillId="29" xfId="0" applyNumberFormat="1" applyFont="1" applyFill="1" applyBorder="0" applyAlignment="1">
      <x:alignment horizontal="center" vertical="center" wrapText="0"/>
    </x:xf>
    <x:xf numFmtId="204" fontId="1" fillId="29" xfId="0" applyNumberFormat="1" applyFont="1" applyFill="1" applyBorder="0" applyAlignment="1">
      <x:alignment horizontal="center" vertical="center"/>
    </x:xf>
    <x:xf numFmtId="204" fontId="21" fillId="29" xfId="0" applyNumberFormat="1" applyFont="1" applyFill="1" applyBorder="0" applyAlignment="1">
      <x:alignment horizontal="center" vertical="center" wrapText="1"/>
    </x:xf>
    <x:xf numFmtId="203" fontId="1" fillId="29" xfId="0" applyNumberFormat="1" applyFont="1" applyFill="1" applyBorder="0" applyAlignment="1">
      <x:alignment vertical="center"/>
    </x:xf>
    <x:xf numFmtId="203" fontId="21" fillId="29" xfId="0" applyNumberFormat="1" applyFont="1" applyFill="1" applyBorder="0" applyAlignment="1">
      <x:alignment horizontal="left" vertical="center" wrapText="1"/>
    </x:xf>
    <x:xf numFmtId="203" fontId="1" fillId="29" xfId="0" applyNumberFormat="1" applyFont="1" applyFill="1" applyBorder="0" applyAlignment="1">
      <x:alignment horizontal="right" vertical="center" wrapText="0"/>
    </x:xf>
    <x:xf numFmtId="203" fontId="1" fillId="29" xfId="0" applyNumberFormat="1" applyFont="1" applyFill="1" applyBorder="0" applyAlignment="1">
      <x:alignment horizontal="right" vertical="center"/>
    </x:xf>
    <x:xf numFmtId="203" fontId="21" fillId="29" xfId="0" applyNumberFormat="1" applyFont="1" applyFill="1" applyBorder="0" applyAlignment="1">
      <x:alignment horizontal="right" vertical="center" wrapText="1"/>
    </x:xf>
    <x:xf numFmtId="0" fontId="1" fillId="29" xfId="0" applyNumberFormat="1" applyFont="1" applyFill="1" applyBorder="0" applyAlignment="1">
      <x:alignment horizontal="center" vertical="center" wrapText="0"/>
    </x:xf>
    <x:xf numFmtId="0" fontId="7" fillId="29" xfId="0" applyNumberFormat="1" applyFont="1" applyFill="1" applyBorder="0" applyAlignment="1">
      <x:alignment horizontal="center" vertical="center" wrapText="0"/>
    </x:xf>
    <x:xf numFmtId="0" fontId="1" fillId="29" xfId="0" applyNumberFormat="1" applyFont="1" applyFill="1" applyBorder="0" applyAlignment="1">
      <x:alignment horizontal="center" vertical="center"/>
    </x:xf>
    <x:xf numFmtId="0" fontId="21" fillId="29" xfId="0" applyNumberFormat="1" applyFont="1" applyFill="1" applyBorder="0" applyAlignment="1">
      <x:alignment horizontal="center" vertical="center" wrapText="1"/>
    </x:xf>
    <x:xf numFmtId="0" fontId="1" fillId="29" xfId="0" applyNumberFormat="1" applyFont="1" applyFill="1" applyBorder="0" applyAlignment="1">
      <x:alignment vertical="center" wrapText="1"/>
    </x:xf>
    <x:xf numFmtId="0" fontId="32" fillId="29" xfId="0" applyNumberFormat="1" applyFont="1" applyFill="1" applyBorder="0" applyAlignment="1">
      <x:alignment horizontal="center" vertical="center" wrapText="1"/>
    </x:xf>
    <x:xf numFmtId="0" fontId="32" fillId="29" xfId="0" applyNumberFormat="1" applyFont="1" applyFill="1" applyBorder="0" applyAlignment="1">
      <x:alignment horizontal="left" vertical="center" wrapText="1"/>
    </x:xf>
    <x:xf numFmtId="204" fontId="32" fillId="29" xfId="0" applyNumberFormat="1" applyFont="1" applyFill="1" applyBorder="0" applyAlignment="1">
      <x:alignment horizontal="center" vertical="center" wrapText="1"/>
    </x:xf>
    <x:xf numFmtId="203" fontId="32" fillId="29" xfId="0" applyNumberFormat="1" applyFont="1" applyFill="1" applyBorder="0" applyAlignment="1">
      <x:alignment horizontal="right" vertical="center" wrapText="1"/>
    </x:xf>
    <x:xf numFmtId="0" fontId="7" fillId="29" xfId="0" applyNumberFormat="1" applyFont="1" applyFill="1" applyBorder="0" applyAlignment="1">
      <x:alignment horizontal="center" vertical="center"/>
    </x:xf>
    <x:xf numFmtId="204" fontId="7" fillId="29" xfId="0" applyNumberFormat="1" applyFont="1" applyFill="1" applyBorder="0" applyAlignment="1">
      <x:alignment horizontal="center" vertical="center"/>
    </x:xf>
    <x:xf numFmtId="203" fontId="7" fillId="29" xfId="0" applyNumberFormat="1" applyFont="1" applyFill="1" applyBorder="0" applyAlignment="1">
      <x:alignment horizontal="right" vertical="center"/>
    </x:xf>
    <x:xf numFmtId="0" fontId="24" fillId="29" xfId="0" applyNumberFormat="1" applyFont="1" applyFill="1" applyBorder="0" applyAlignment="1">
      <x:alignment vertical="center" wrapText="1"/>
    </x:xf>
    <x:xf numFmtId="203" fontId="24" fillId="29" xfId="0" applyNumberFormat="1" applyFont="1" applyFill="1" applyBorder="0" applyAlignment="1">
      <x:alignment vertical="center" wrapText="1"/>
    </x:xf>
    <x:xf numFmtId="200" fontId="24" fillId="29" xfId="0" applyNumberFormat="1" applyFont="1" applyFill="1" applyBorder="0" applyAlignment="1">
      <x:alignment vertical="center" wrapText="1"/>
    </x:xf>
    <x:xf numFmtId="0" fontId="26" fillId="29" xfId="0" applyNumberFormat="1" applyFont="1" applyFill="1" applyBorder="0" applyAlignment="1">
      <x:alignment horizontal="center" vertical="center" wrapText="1"/>
    </x:xf>
    <x:xf numFmtId="203" fontId="26" fillId="29" xfId="0" applyNumberFormat="1" applyFont="1" applyFill="1" applyBorder="0" applyAlignment="1">
      <x:alignment horizontal="center" vertical="center" wrapText="1"/>
    </x:xf>
    <x:xf numFmtId="203" fontId="1" fillId="29" xfId="0" applyNumberFormat="1" applyFont="1" applyFill="1" applyBorder="0" applyAlignment="1">
      <x:alignment vertical="center" wrapText="1"/>
    </x:xf>
    <x:xf numFmtId="200" fontId="1" fillId="29" xfId="0" applyNumberFormat="1" applyFont="1" applyFill="1" applyBorder="0" applyAlignment="1">
      <x:alignment vertical="center" wrapText="1"/>
    </x:xf>
    <x:xf numFmtId="203" fontId="7" fillId="29" xfId="0" applyNumberFormat="1" applyFont="1" applyFill="1" applyBorder="0" applyAlignment="1">
      <x:alignment horizontal="right" vertical="center" wrapText="1"/>
    </x:xf>
    <x:xf numFmtId="204" fontId="7" fillId="29" xfId="0" applyNumberFormat="1" applyFont="1" applyFill="1" applyBorder="0" applyAlignment="1">
      <x:alignment vertical="center" wrapText="1"/>
    </x:xf>
    <x:xf numFmtId="204" fontId="1" fillId="29" xfId="0" applyNumberFormat="1" applyFont="1" applyFill="1" applyBorder="0" applyAlignment="1">
      <x:alignment vertical="center" wrapText="1"/>
    </x:xf>
    <x:xf numFmtId="204" fontId="7" fillId="29" xfId="0" applyNumberFormat="1" applyFont="1" applyFill="1" applyBorder="0" applyAlignment="1">
      <x:alignment horizontal="center" vertical="center" wrapText="1"/>
    </x:xf>
    <x:xf numFmtId="204" fontId="1" fillId="29" xfId="0" applyNumberFormat="1" applyFont="1" applyFill="1" applyBorder="0" applyAlignment="1">
      <x:alignment horizontal="center" vertical="center" wrapText="1"/>
    </x:xf>
    <x:xf numFmtId="203" fontId="1" fillId="29" xfId="0" applyNumberFormat="1" applyFont="1" applyFill="1" applyBorder="0" applyAlignment="1">
      <x:alignment horizontal="right" vertical="center" wrapText="1"/>
    </x:xf>
    <x:xf numFmtId="0" fontId="1" fillId="29" xfId="0" applyNumberFormat="1" applyFont="1" applyFill="1" applyBorder="0" applyAlignment="1">
      <x:alignment horizontal="center" vertical="center" wrapText="1"/>
    </x:xf>
    <x:xf numFmtId="203" fontId="1" fillId="30" xfId="0" applyNumberFormat="1" applyFont="1" applyFill="1" applyBorder="0" applyAlignment="1">
      <x:alignment horizontal="right" vertical="center"/>
    </x:xf>
    <x:xf numFmtId="0" fontId="33" fillId="29" xfId="0" applyNumberFormat="1" applyFont="1" applyFill="1" applyBorder="0" applyAlignment="1">
      <x:alignment horizontal="center" vertical="center"/>
    </x:xf>
    <x:xf numFmtId="0" fontId="33" fillId="29" xfId="0" applyNumberFormat="1" applyFont="1" applyFill="1" applyBorder="0" applyAlignment="1">
      <x:alignment vertical="center" wrapText="1"/>
    </x:xf>
    <x:xf numFmtId="204" fontId="33" fillId="29" xfId="0" applyNumberFormat="1" applyFont="1" applyFill="1" applyBorder="0" applyAlignment="1">
      <x:alignment horizontal="center" vertical="center"/>
    </x:xf>
    <x:xf numFmtId="203" fontId="33" fillId="29" xfId="0" applyNumberFormat="1" applyFont="1" applyFill="1" applyBorder="0" applyAlignment="1">
      <x:alignment horizontal="right" vertical="center"/>
    </x:xf>
    <x:xf numFmtId="0" fontId="26" fillId="29" xfId="0" applyNumberFormat="1" applyFont="1" applyFill="1" applyBorder="0" applyAlignment="1">
      <x:alignment vertical="center" wrapText="1"/>
    </x:xf>
    <x:xf numFmtId="203" fontId="26" fillId="29" xfId="0" applyNumberFormat="1" applyFont="1" applyFill="1" applyBorder="0" applyAlignment="1">
      <x:alignment vertical="center" wrapText="1"/>
    </x:xf>
    <x:xf numFmtId="0" fontId="7" fillId="29" xfId="0" applyNumberFormat="1" applyFont="1" applyFill="1" applyBorder="0" applyAlignment="1">
      <x:alignment horizontal="left" vertical="center" wrapText="1"/>
    </x:xf>
    <x:xf numFmtId="203" fontId="7" fillId="29" xfId="0" applyNumberFormat="1" applyFont="1" applyFill="1" applyBorder="0" applyAlignment="1">
      <x:alignment horizontal="left" vertical="center" wrapText="1"/>
    </x:xf>
    <x:xf numFmtId="0" fontId="1" fillId="29" borderId="0" xfId="0" applyNumberFormat="1" applyFont="1" applyFill="1" applyBorder="1" applyAlignment="1">
      <x:alignment wrapText="1"/>
    </x:xf>
    <x:xf numFmtId="0" fontId="1" fillId="29" xfId="0" applyNumberFormat="1" applyFont="1" applyFill="1" applyBorder="0" applyAlignment="1">
      <x:alignment vertical="top" wrapText="1"/>
    </x:xf>
    <x:xf numFmtId="203" fontId="1" fillId="29" xfId="0" applyNumberFormat="1" applyFont="1" applyFill="1" applyBorder="0" applyAlignment="1">
      <x:alignment vertical="top" wrapText="1"/>
    </x:xf>
    <x:xf numFmtId="0" fontId="7" fillId="29" xfId="0" applyNumberFormat="1" applyFont="1" applyFill="1" applyBorder="0" applyAlignment="1">
      <x:alignment horizontal="left" vertical="top" wrapText="1"/>
    </x:xf>
    <x:xf numFmtId="203" fontId="7" fillId="29" xfId="0" applyNumberFormat="1" applyFont="1" applyFill="1" applyBorder="0" applyAlignment="1">
      <x:alignment horizontal="left" vertical="top" wrapText="1"/>
    </x:xf>
    <x:xf numFmtId="0" fontId="7" fillId="29" xfId="0" applyNumberFormat="1" applyFont="1" applyFill="1" applyBorder="0" applyAlignment="1">
      <x:alignment vertical="top" wrapText="1"/>
    </x:xf>
    <x:xf numFmtId="203" fontId="7" fillId="29" xfId="0" applyNumberFormat="1" applyFont="1" applyFill="1" applyBorder="0" applyAlignment="1">
      <x:alignment vertical="top" wrapText="1"/>
    </x:xf>
    <x:xf numFmtId="0" fontId="1" fillId="29" borderId="0" xfId="0" applyNumberFormat="1" applyFont="1" applyFill="1" applyBorder="1" applyAlignment="1">
      <x:alignment vertical="top" wrapText="1"/>
    </x:xf>
    <x:xf numFmtId="0" fontId="21" fillId="29" borderId="0" xfId="0" applyNumberFormat="1" applyFont="1" applyFill="1" applyBorder="1" applyAlignment="1">
      <x:alignment horizontal="left" vertical="top" wrapText="1"/>
    </x:xf>
    <x:xf numFmtId="0" fontId="21" fillId="29" xfId="0" applyNumberFormat="1" applyFont="1" applyFill="1" applyBorder="0" applyAlignment="1">
      <x:alignment horizontal="left" vertical="top" wrapText="1"/>
    </x:xf>
    <x:xf numFmtId="203" fontId="1" fillId="30" xfId="0" applyNumberFormat="1" applyFont="1" applyFill="1" applyBorder="0" applyAlignment="1">
      <x:alignment vertical="top" wrapText="1"/>
    </x:xf>
    <x:xf numFmtId="203" fontId="7" fillId="30" xfId="0" applyNumberFormat="1" applyFont="1" applyFill="1" applyBorder="0" applyAlignment="1">
      <x:alignment vertical="top" wrapText="1"/>
    </x:xf>
    <x:xf numFmtId="0" fontId="1" fillId="30" xfId="0" applyNumberFormat="1" applyFont="1" applyFill="1" applyBorder="0" applyAlignment="1">
      <x:alignment vertical="top" wrapText="1"/>
    </x:xf>
    <x:xf numFmtId="0" fontId="21" fillId="30" xfId="0" applyNumberFormat="1" applyFont="1" applyFill="1" applyBorder="0" applyAlignment="1">
      <x:alignment horizontal="left" vertical="top" wrapText="1"/>
    </x:xf>
    <x:xf numFmtId="203" fontId="34" fillId="29" xfId="0" applyNumberFormat="1" applyFont="1" applyFill="1" applyBorder="0" applyAlignment="1">
      <x:alignment vertical="top" wrapText="1"/>
    </x:xf>
    <x:xf numFmtId="203" fontId="35" fillId="29" xfId="0" applyNumberFormat="1" applyFont="1" applyFill="1" applyBorder="0" applyAlignment="1">
      <x:alignment vertical="top" wrapText="1"/>
    </x:xf>
    <x:xf numFmtId="0" fontId="34" fillId="29" borderId="0" xfId="0" applyNumberFormat="1" applyFont="1" applyFill="1" applyBorder="1" applyAlignment="1">
      <x:alignment vertical="top" wrapText="1"/>
    </x:xf>
    <x:xf numFmtId="0" fontId="36" fillId="29" borderId="0" xfId="0" applyNumberFormat="1" applyFont="1" applyFill="1" applyBorder="1" applyAlignment="1">
      <x:alignment horizontal="left" vertical="top" wrapText="1"/>
    </x:xf>
    <x:xf numFmtId="0" fontId="34" fillId="29" xfId="0" applyNumberFormat="1" applyFont="1" applyFill="1" applyBorder="0" applyAlignment="1">
      <x:alignment vertical="top" wrapText="1"/>
    </x:xf>
    <x:xf numFmtId="0" fontId="36" fillId="29" xfId="0" applyNumberFormat="1" applyFont="1" applyFill="1" applyBorder="0" applyAlignment="1">
      <x:alignment horizontal="left" vertical="top" wrapText="1"/>
    </x:xf>
    <x:xf numFmtId="0" fontId="1" fillId="29" xfId="0" applyNumberFormat="1" applyFont="1" applyFill="1" applyBorder="0"/>
    <x:xf numFmtId="0" fontId="1" fillId="29" xfId="0" applyNumberFormat="1" applyFont="1" applyFill="1" applyBorder="0" applyAlignment="1">
      <x:alignment wrapText="1"/>
    </x:xf>
    <x:xf numFmtId="0" fontId="21" fillId="29" xfId="0" applyNumberFormat="1" applyFont="1" applyFill="1" applyBorder="0" applyAlignment="1">
      <x:alignment horizontal="left" wrapText="1"/>
    </x:xf>
    <x:xf numFmtId="200" fontId="26" fillId="29" xfId="0" applyNumberFormat="1" applyFont="1" applyFill="1" applyBorder="0" applyAlignment="1">
      <x:alignment horizontal="center" vertical="center" wrapText="1"/>
    </x:xf>
    <x:xf numFmtId="200" fontId="0" fillId="29" borderId="0" xfId="0" applyNumberFormat="1" applyFont="1" applyFill="1" applyBorder="1"/>
    <x:xf numFmtId="200" fontId="1" fillId="29" borderId="0" xfId="0" applyNumberFormat="1" applyFont="1" applyFill="1" applyBorder="1"/>
    <x:xf numFmtId="200" fontId="1" fillId="29" xfId="0" applyNumberFormat="1" applyFont="1" applyFill="1" applyBorder="0"/>
    <x:xf numFmtId="200" fontId="1" fillId="29" xfId="0" applyNumberFormat="1" applyFont="1" applyFill="1" applyBorder="0" applyAlignment="1">
      <x:alignment wrapText="1"/>
    </x:xf>
    <x:xf numFmtId="0" fontId="1" fillId="29" xfId="0" applyNumberFormat="1" applyFont="1" applyFill="1" applyBorder="0" applyAlignment="1">
      <x:alignment horizontal="left" vertical="center" wrapText="1"/>
    </x:xf>
    <x:xf numFmtId="0" fontId="24" fillId="3" xfId="0" applyNumberFormat="1" applyFont="1" applyFill="1" applyBorder="0" applyAlignment="1">
      <x:alignment horizontal="left" vertical="center" wrapText="1"/>
    </x:xf>
    <x:xf numFmtId="0" fontId="0" fillId="0" borderId="0" xfId="0" applyNumberFormat="1" applyFont="1" applyFill="1" applyBorder="1" applyAlignment="1">
      <x:alignment horizontal="left"/>
    </x:xf>
    <x:xf numFmtId="203" fontId="7" fillId="3" xfId="0" applyNumberFormat="1" applyFont="1" applyFill="1" applyBorder="0" applyAlignment="1">
      <x:alignment horizontal="right" vertical="center" wrapText="0"/>
    </x:xf>
    <x:xf numFmtId="0" fontId="1" fillId="3" xfId="0" applyNumberFormat="1" applyFont="1" applyFill="1" applyBorder="0" applyAlignment="1">
      <x:alignment vertical="center"/>
    </x:xf>
    <x:xf numFmtId="0" fontId="21" fillId="3" xfId="0" applyNumberFormat="1" applyFont="1" applyFill="1" applyBorder="0" applyAlignment="1">
      <x:alignment horizontal="left" vertical="center" wrapText="1"/>
    </x:xf>
    <x:xf numFmtId="200" fontId="7" fillId="3" xfId="0" applyNumberFormat="1" applyFont="1" applyFill="1" applyBorder="0" applyAlignment="1">
      <x:alignment vertical="center" wrapText="1"/>
    </x:xf>
    <x:xf numFmtId="204" fontId="1" fillId="3" xfId="0" applyNumberFormat="1" applyFont="1" applyFill="1" applyBorder="0" applyAlignment="1">
      <x:alignment vertical="center" wrapText="0"/>
    </x:xf>
    <x:xf numFmtId="204" fontId="7" fillId="3" xfId="0" applyNumberFormat="1" applyFont="1" applyFill="1" applyBorder="0" applyAlignment="1">
      <x:alignment vertical="center" wrapText="0"/>
    </x:xf>
    <x:xf numFmtId="204" fontId="1" fillId="3" xfId="0" applyNumberFormat="1" applyFont="1" applyFill="1" applyBorder="0" applyAlignment="1">
      <x:alignment vertical="center"/>
    </x:xf>
    <x:xf numFmtId="204" fontId="21" fillId="3" xfId="0" applyNumberFormat="1" applyFont="1" applyFill="1" applyBorder="0" applyAlignment="1">
      <x:alignment horizontal="left" vertical="center" wrapText="1"/>
    </x:xf>
    <x:xf numFmtId="204" fontId="1" fillId="3" xfId="0" applyNumberFormat="1" applyFont="1" applyFill="1" applyBorder="0" applyAlignment="1">
      <x:alignment horizontal="center" vertical="center" wrapText="0"/>
    </x:xf>
    <x:xf numFmtId="204" fontId="7" fillId="3" xfId="0" applyNumberFormat="1" applyFont="1" applyFill="1" applyBorder="0" applyAlignment="1">
      <x:alignment horizontal="center" vertical="center" wrapText="0"/>
    </x:xf>
    <x:xf numFmtId="204" fontId="1" fillId="3" xfId="0" applyNumberFormat="1" applyFont="1" applyFill="1" applyBorder="0" applyAlignment="1">
      <x:alignment horizontal="center" vertical="center"/>
    </x:xf>
    <x:xf numFmtId="204" fontId="21" fillId="3" xfId="0" applyNumberFormat="1" applyFont="1" applyFill="1" applyBorder="0" applyAlignment="1">
      <x:alignment horizontal="center" vertical="center" wrapText="1"/>
    </x:xf>
    <x:xf numFmtId="203" fontId="1" fillId="3" xfId="0" applyNumberFormat="1" applyFont="1" applyFill="1" applyBorder="0" applyAlignment="1">
      <x:alignment vertical="center"/>
    </x:xf>
    <x:xf numFmtId="203" fontId="21" fillId="3" xfId="0" applyNumberFormat="1" applyFont="1" applyFill="1" applyBorder="0" applyAlignment="1">
      <x:alignment horizontal="left" vertical="center" wrapText="1"/>
    </x:xf>
    <x:xf numFmtId="203" fontId="1" fillId="3" xfId="0" applyNumberFormat="1" applyFont="1" applyFill="1" applyBorder="0" applyAlignment="1">
      <x:alignment horizontal="right" vertical="center" wrapText="0"/>
    </x:xf>
    <x:xf numFmtId="203" fontId="1" fillId="3" xfId="0" applyNumberFormat="1" applyFont="1" applyFill="1" applyBorder="0" applyAlignment="1">
      <x:alignment horizontal="right" vertical="center"/>
    </x:xf>
    <x:xf numFmtId="203" fontId="21" fillId="3" xfId="0" applyNumberFormat="1" applyFont="1" applyFill="1" applyBorder="0" applyAlignment="1">
      <x:alignment horizontal="right" vertical="center" wrapText="1"/>
    </x:xf>
    <x:xf numFmtId="0" fontId="1" fillId="3" xfId="0" applyNumberFormat="1" applyFont="1" applyFill="1" applyBorder="0" applyAlignment="1">
      <x:alignment horizontal="center" vertical="center" wrapText="0"/>
    </x:xf>
    <x:xf numFmtId="0" fontId="1" fillId="3" xfId="0" applyNumberFormat="1" applyFont="1" applyFill="1" applyBorder="0" applyAlignment="1">
      <x:alignment horizontal="center" vertical="center"/>
    </x:xf>
    <x:xf numFmtId="0" fontId="21" fillId="3" xfId="0" applyNumberFormat="1" applyFont="1" applyFill="1" applyBorder="0" applyAlignment="1">
      <x:alignment horizontal="center" vertical="center" wrapText="1"/>
    </x:xf>
    <x:xf numFmtId="0" fontId="32" fillId="3" xfId="0" applyNumberFormat="1" applyFont="1" applyFill="1" applyBorder="0" applyAlignment="1">
      <x:alignment horizontal="center" vertical="center" wrapText="1"/>
    </x:xf>
    <x:xf numFmtId="0" fontId="32" fillId="3" xfId="0" applyNumberFormat="1" applyFont="1" applyFill="1" applyBorder="0" applyAlignment="1">
      <x:alignment horizontal="left" vertical="center" wrapText="1"/>
    </x:xf>
    <x:xf numFmtId="204" fontId="32" fillId="3" xfId="0" applyNumberFormat="1" applyFont="1" applyFill="1" applyBorder="0" applyAlignment="1">
      <x:alignment horizontal="center" vertical="center" wrapText="1"/>
    </x:xf>
    <x:xf numFmtId="203" fontId="32" fillId="3" xfId="0" applyNumberFormat="1" applyFont="1" applyFill="1" applyBorder="0" applyAlignment="1">
      <x:alignment horizontal="right" vertical="center" wrapText="1"/>
    </x:xf>
    <x:xf numFmtId="0" fontId="7" fillId="3" xfId="0" applyNumberFormat="1" applyFont="1" applyFill="1" applyBorder="0" applyAlignment="1">
      <x:alignment horizontal="center" vertical="center"/>
    </x:xf>
    <x:xf numFmtId="204" fontId="7" fillId="3" xfId="0" applyNumberFormat="1" applyFont="1" applyFill="1" applyBorder="0" applyAlignment="1">
      <x:alignment horizontal="center" vertical="center"/>
    </x:xf>
    <x:xf numFmtId="203" fontId="7" fillId="3" xfId="0" applyNumberFormat="1" applyFont="1" applyFill="1" applyBorder="0" applyAlignment="1">
      <x:alignment horizontal="right" vertical="center"/>
    </x:xf>
    <x:xf numFmtId="200" fontId="1" fillId="3" xfId="0" applyNumberFormat="1" applyFont="1" applyFill="1" applyBorder="0" applyAlignment="1">
      <x:alignment vertical="center" wrapText="1"/>
    </x:xf>
    <x:xf numFmtId="203" fontId="7" fillId="3" xfId="0" applyNumberFormat="1" applyFont="1" applyFill="1" applyBorder="0" applyAlignment="1">
      <x:alignment horizontal="right" vertical="center" wrapText="1"/>
    </x:xf>
    <x:xf numFmtId="204" fontId="7" fillId="3" xfId="0" applyNumberFormat="1" applyFont="1" applyFill="1" applyBorder="0" applyAlignment="1">
      <x:alignment vertical="center" wrapText="1"/>
    </x:xf>
    <x:xf numFmtId="204" fontId="1" fillId="3" xfId="0" applyNumberFormat="1" applyFont="1" applyFill="1" applyBorder="0" applyAlignment="1">
      <x:alignment vertical="center" wrapText="1"/>
    </x:xf>
    <x:xf numFmtId="204" fontId="7" fillId="3" xfId="0" applyNumberFormat="1" applyFont="1" applyFill="1" applyBorder="0" applyAlignment="1">
      <x:alignment horizontal="center" vertical="center" wrapText="1"/>
    </x:xf>
    <x:xf numFmtId="204" fontId="1" fillId="3" xfId="0" applyNumberFormat="1" applyFont="1" applyFill="1" applyBorder="0" applyAlignment="1">
      <x:alignment horizontal="center" vertical="center" wrapText="1"/>
    </x:xf>
    <x:xf numFmtId="203" fontId="1" fillId="3" xfId="0" applyNumberFormat="1" applyFont="1" applyFill="1" applyBorder="0" applyAlignment="1">
      <x:alignment horizontal="right" vertical="center" wrapText="1"/>
    </x:xf>
    <x:xf numFmtId="0" fontId="1" fillId="3" xfId="0" applyNumberFormat="1" applyFont="1" applyFill="1" applyBorder="0" applyAlignment="1">
      <x:alignment horizontal="center" vertical="center" wrapText="1"/>
    </x:xf>
    <x:xf numFmtId="0" fontId="1" fillId="3" xfId="0" applyNumberFormat="1" applyFont="1" applyFill="1" applyBorder="0" applyAlignment="1">
      <x:alignment vertical="top" wrapText="1"/>
    </x:xf>
    <x:xf numFmtId="203" fontId="1" fillId="3" xfId="0" applyNumberFormat="1" applyFont="1" applyFill="1" applyBorder="0" applyAlignment="1">
      <x:alignment vertical="top" wrapText="1"/>
    </x:xf>
    <x:xf numFmtId="0" fontId="7" fillId="3" xfId="0" applyNumberFormat="1" applyFont="1" applyFill="1" applyBorder="0" applyAlignment="1">
      <x:alignment horizontal="left" vertical="top" wrapText="1"/>
    </x:xf>
    <x:xf numFmtId="203" fontId="7" fillId="3" xfId="0" applyNumberFormat="1" applyFont="1" applyFill="1" applyBorder="0" applyAlignment="1">
      <x:alignment horizontal="left" vertical="top" wrapText="1"/>
    </x:xf>
    <x:xf numFmtId="0" fontId="7" fillId="3" xfId="0" applyNumberFormat="1" applyFont="1" applyFill="1" applyBorder="0" applyAlignment="1">
      <x:alignment vertical="top" wrapText="1"/>
    </x:xf>
    <x:xf numFmtId="203" fontId="7" fillId="3" xfId="0" applyNumberFormat="1" applyFont="1" applyFill="1" applyBorder="0" applyAlignment="1">
      <x:alignment vertical="top" wrapText="1"/>
    </x:xf>
    <x:xf numFmtId="0" fontId="1" fillId="3" borderId="0" xfId="0" applyNumberFormat="1" applyFont="1" applyFill="1" applyBorder="1" applyAlignment="1">
      <x:alignment vertical="top" wrapText="1"/>
    </x:xf>
    <x:xf numFmtId="0" fontId="21" fillId="3" borderId="0" xfId="0" applyNumberFormat="1" applyFont="1" applyFill="1" applyBorder="1" applyAlignment="1">
      <x:alignment horizontal="left" vertical="top" wrapText="1"/>
    </x:xf>
    <x:xf numFmtId="0" fontId="21" fillId="3" xfId="0" applyNumberFormat="1" applyFont="1" applyFill="1" applyBorder="0" applyAlignment="1">
      <x:alignment horizontal="left" vertical="top" wrapText="1"/>
    </x:xf>
    <x:xf numFmtId="203" fontId="34" fillId="3" xfId="0" applyNumberFormat="1" applyFont="1" applyFill="1" applyBorder="0" applyAlignment="1">
      <x:alignment vertical="top" wrapText="1"/>
    </x:xf>
    <x:xf numFmtId="203" fontId="35" fillId="3" xfId="0" applyNumberFormat="1" applyFont="1" applyFill="1" applyBorder="0" applyAlignment="1">
      <x:alignment vertical="top" wrapText="1"/>
    </x:xf>
    <x:xf numFmtId="0" fontId="34" fillId="3" borderId="0" xfId="0" applyNumberFormat="1" applyFont="1" applyFill="1" applyBorder="1" applyAlignment="1">
      <x:alignment vertical="top" wrapText="1"/>
    </x:xf>
    <x:xf numFmtId="0" fontId="36" fillId="3" borderId="0" xfId="0" applyNumberFormat="1" applyFont="1" applyFill="1" applyBorder="1" applyAlignment="1">
      <x:alignment horizontal="left" vertical="top" wrapText="1"/>
    </x:xf>
    <x:xf numFmtId="0" fontId="34" fillId="3" xfId="0" applyNumberFormat="1" applyFont="1" applyFill="1" applyBorder="0" applyAlignment="1">
      <x:alignment vertical="top" wrapText="1"/>
    </x:xf>
    <x:xf numFmtId="0" fontId="36" fillId="3" xfId="0" applyNumberFormat="1" applyFont="1" applyFill="1" applyBorder="0" applyAlignment="1">
      <x:alignment horizontal="left" vertical="top" wrapText="1"/>
    </x:xf>
    <x:xf numFmtId="0" fontId="21" fillId="3" xfId="0" applyNumberFormat="1" applyFont="1" applyFill="1" applyBorder="0" applyAlignment="1">
      <x:alignment horizontal="left" wrapText="1"/>
    </x:xf>
    <x:xf numFmtId="200" fontId="0" fillId="3" borderId="0" xfId="0" applyNumberFormat="1" applyFont="1" applyFill="1" applyBorder="1"/>
    <x:xf numFmtId="200" fontId="1" fillId="3" borderId="0" xfId="0" applyNumberFormat="1" applyFont="1" applyFill="1" applyBorder="1"/>
    <x:xf numFmtId="200" fontId="1" fillId="3" xfId="0" applyNumberFormat="1" applyFont="1" applyFill="1" applyBorder="0"/>
    <x:xf numFmtId="200" fontId="1" fillId="3" xfId="0" applyNumberFormat="1" applyFont="1" applyFill="1" applyBorder="0" applyAlignment="1">
      <x:alignment wrapText="1"/>
    </x:xf>
    <x:xf numFmtId="0" fontId="1" fillId="3" xfId="0" applyNumberFormat="1" applyFont="1" applyFill="1" applyBorder="0" applyAlignment="1">
      <x:alignment horizontal="left" vertical="center" wrapText="1"/>
    </x:xf>
    <x:xf numFmtId="0" fontId="7" fillId="3" borderId="2" xfId="0" applyNumberFormat="1" applyFont="1" applyFill="1" applyBorder="1" applyAlignment="1">
      <x:alignment horizontal="left" vertical="center" wrapText="0"/>
    </x:xf>
    <x:xf numFmtId="0" fontId="7" fillId="3" borderId="3" xfId="0" applyNumberFormat="1" applyFont="1" applyFill="1" applyBorder="1" applyAlignment="1">
      <x:alignment horizontal="left" vertical="center" wrapText="0"/>
    </x:xf>
    <x:xf numFmtId="203" fontId="7" fillId="3" borderId="3" xfId="0" applyNumberFormat="1" applyFont="1" applyFill="1" applyBorder="1" applyAlignment="1">
      <x:alignment horizontal="left" vertical="center" wrapText="0"/>
    </x:xf>
    <x:xf numFmtId="203" fontId="7" fillId="3" borderId="4" xfId="0" applyNumberFormat="1" applyFont="1" applyFill="1" applyBorder="1" applyAlignment="1">
      <x:alignment horizontal="left" vertical="center" wrapText="0"/>
    </x:xf>
    <x:xf numFmtId="0" fontId="7" fillId="3" borderId="5" xfId="0" applyNumberFormat="1" applyFont="1" applyFill="1" applyBorder="1" applyAlignment="1">
      <x:alignment horizontal="left" vertical="center" wrapText="0"/>
    </x:xf>
    <x:xf numFmtId="203" fontId="7" fillId="3" borderId="6" xfId="0" applyNumberFormat="1" applyFont="1" applyFill="1" applyBorder="1" applyAlignment="1">
      <x:alignment horizontal="left" vertical="center" wrapText="0"/>
    </x:xf>
    <x:xf numFmtId="0" fontId="7" fillId="3" borderId="5" xfId="0" applyNumberFormat="1" applyFont="1" applyFill="1" applyBorder="1" applyAlignment="1">
      <x:alignment horizontal="center" vertical="center" wrapText="1"/>
    </x:xf>
    <x:xf numFmtId="200" fontId="7" fillId="3" borderId="6" xfId="0" applyNumberFormat="1" applyFont="1" applyFill="1" applyBorder="1" applyAlignment="1">
      <x:alignment horizontal="center" vertical="center" wrapText="1"/>
    </x:xf>
    <x:xf numFmtId="0" fontId="7" fillId="3" borderId="7" xfId="0" applyNumberFormat="1" applyFont="1" applyFill="1" applyBorder="1" applyAlignment="1">
      <x:alignment horizontal="left" vertical="center" wrapText="0"/>
    </x:xf>
    <x:xf numFmtId="0" fontId="7" fillId="3" borderId="8" xfId="0" applyNumberFormat="1" applyFont="1" applyFill="1" applyBorder="1" applyAlignment="1">
      <x:alignment horizontal="left" vertical="center" wrapText="0"/>
    </x:xf>
    <x:xf numFmtId="203" fontId="7" fillId="3" borderId="8" xfId="0" applyNumberFormat="1" applyFont="1" applyFill="1" applyBorder="1" applyAlignment="1">
      <x:alignment horizontal="left" vertical="center" wrapText="0"/>
    </x:xf>
    <x:xf numFmtId="203" fontId="7" fillId="3" borderId="9" xfId="0" applyNumberFormat="1" applyFont="1" applyFill="1" applyBorder="1" applyAlignment="1">
      <x:alignment horizontal="right" vertical="center" wrapText="0"/>
    </x:xf>
    <x:xf numFmtId="0" fontId="7" fillId="3" borderId="2" xfId="0" applyNumberFormat="1" applyFont="1" applyFill="1" applyBorder="1" applyAlignment="1">
      <x:alignment horizontal="center" vertical="center" wrapText="1"/>
    </x:xf>
    <x:xf numFmtId="0" fontId="7" fillId="3" borderId="3" xfId="0" applyNumberFormat="1" applyFont="1" applyFill="1" applyBorder="1" applyAlignment="1">
      <x:alignment horizontal="center" vertical="center" wrapText="1"/>
    </x:xf>
    <x:xf numFmtId="203" fontId="7" fillId="3" borderId="3" xfId="0" applyNumberFormat="1" applyFont="1" applyFill="1" applyBorder="1" applyAlignment="1">
      <x:alignment horizontal="center" vertical="center" wrapText="1"/>
    </x:xf>
    <x:xf numFmtId="200" fontId="7" fillId="3" borderId="3" xfId="0" applyNumberFormat="1" applyFont="1" applyFill="1" applyBorder="1" applyAlignment="1">
      <x:alignment horizontal="center" vertical="center" wrapText="1"/>
    </x:xf>
    <x:xf numFmtId="200" fontId="7" fillId="3" borderId="4" xfId="0" applyNumberFormat="1" applyFont="1" applyFill="1" applyBorder="1" applyAlignment="1">
      <x:alignment horizontal="center" vertical="center" wrapText="1"/>
    </x:xf>
    <x:xf numFmtId="0" fontId="7" fillId="3" borderId="5" xfId="0" applyNumberFormat="1" applyFont="1" applyFill="1" applyBorder="1" applyAlignment="1">
      <x:alignment horizontal="center" vertical="center" wrapText="0"/>
    </x:xf>
    <x:xf numFmtId="203" fontId="7" fillId="3" borderId="6" xfId="0" applyNumberFormat="1" applyFont="1" applyFill="1" applyBorder="1" applyAlignment="1">
      <x:alignment horizontal="right" vertical="center" wrapText="0"/>
    </x:xf>
    <x:xf numFmtId="0" fontId="1" fillId="3" borderId="5" xfId="0" applyNumberFormat="1" applyFont="1" applyFill="1" applyBorder="1" applyAlignment="1">
      <x:alignment horizontal="center" vertical="center" wrapText="0"/>
    </x:xf>
    <x:xf numFmtId="203" fontId="1" fillId="3" borderId="6" xfId="0" applyNumberFormat="1" applyFont="1" applyFill="1" applyBorder="1" applyAlignment="1">
      <x:alignment horizontal="right" vertical="center" wrapText="0"/>
    </x:xf>
    <x:xf numFmtId="0" fontId="7" fillId="3" borderId="5" xfId="0" applyNumberFormat="1" applyFont="1" applyFill="1" applyBorder="1" applyAlignment="1">
      <x:alignment horizontal="center" vertical="center"/>
    </x:xf>
    <x:xf numFmtId="203" fontId="7" fillId="3" borderId="6" xfId="0" applyNumberFormat="1" applyFont="1" applyFill="1" applyBorder="1" applyAlignment="1">
      <x:alignment horizontal="right" vertical="center"/>
    </x:xf>
    <x:xf numFmtId="0" fontId="32" fillId="3" borderId="5" xfId="0" applyNumberFormat="1" applyFont="1" applyFill="1" applyBorder="1" applyAlignment="1">
      <x:alignment horizontal="center" vertical="center" wrapText="1"/>
    </x:xf>
    <x:xf numFmtId="203" fontId="32" fillId="3" borderId="6" xfId="0" applyNumberFormat="1" applyFont="1" applyFill="1" applyBorder="1" applyAlignment="1">
      <x:alignment horizontal="right" vertical="center" wrapText="1"/>
    </x:xf>
    <x:xf numFmtId="0" fontId="1" fillId="3" borderId="7" xfId="0" applyNumberFormat="1" applyFont="1" applyFill="1" applyBorder="1" applyAlignment="1">
      <x:alignment horizontal="center" vertical="center"/>
    </x:xf>
    <x:xf numFmtId="0" fontId="1" fillId="3" borderId="8" xfId="0" applyNumberFormat="1" applyFont="1" applyFill="1" applyBorder="1" applyAlignment="1">
      <x:alignment vertical="center" wrapText="1"/>
    </x:xf>
    <x:xf numFmtId="204" fontId="1" fillId="3" borderId="8" xfId="0" applyNumberFormat="1" applyFont="1" applyFill="1" applyBorder="1" applyAlignment="1">
      <x:alignment horizontal="center" vertical="center"/>
    </x:xf>
    <x:xf numFmtId="203" fontId="1" fillId="3" borderId="8" xfId="0" applyNumberFormat="1" applyFont="1" applyFill="1" applyBorder="1" applyAlignment="1">
      <x:alignment horizontal="right" vertical="center"/>
    </x:xf>
    <x:xf numFmtId="203" fontId="1" fillId="3" borderId="9" xfId="0" applyNumberFormat="1" applyFont="1" applyFill="1" applyBorder="1" applyAlignment="1">
      <x:alignment horizontal="right" vertical="center"/>
    </x:xf>
    <x:xf numFmtId="0" fontId="7" fillId="3" borderId="10" xfId="0" applyNumberFormat="1" applyFont="1" applyFill="1" applyBorder="1" applyAlignment="1">
      <x:alignment horizontal="center" vertical="center" wrapText="1"/>
    </x:xf>
    <x:xf numFmtId="0" fontId="7" fillId="3" borderId="11" xfId="0" applyNumberFormat="1" applyFont="1" applyFill="1" applyBorder="1" applyAlignment="1">
      <x:alignment horizontal="center" vertical="center" wrapText="1"/>
    </x:xf>
    <x:xf numFmtId="203" fontId="7" fillId="3" borderId="11" xfId="0" applyNumberFormat="1" applyFont="1" applyFill="1" applyBorder="1" applyAlignment="1">
      <x:alignment horizontal="center" vertical="center" wrapText="1"/>
    </x:xf>
    <x:xf numFmtId="200" fontId="7" fillId="3" borderId="11" xfId="0" applyNumberFormat="1" applyFont="1" applyFill="1" applyBorder="1" applyAlignment="1">
      <x:alignment horizontal="center" vertical="center" wrapText="1"/>
    </x:xf>
    <x:xf numFmtId="200" fontId="7" fillId="3" borderId="12" xfId="0" applyNumberFormat="1" applyFont="1" applyFill="1" applyBorder="1" applyAlignment="1">
      <x:alignment horizontal="center" vertical="center" wrapText="1"/>
    </x:xf>
    <x:xf numFmtId="0" fontId="7" fillId="3" borderId="13" xfId="0" applyNumberFormat="1" applyFont="1" applyFill="1" applyBorder="1" applyAlignment="1">
      <x:alignment horizontal="center" vertical="center" wrapText="0"/>
    </x:xf>
    <x:xf numFmtId="0" fontId="7" fillId="3" borderId="14" xfId="0" applyNumberFormat="1" applyFont="1" applyFill="1" applyBorder="1" applyAlignment="1">
      <x:alignment vertical="center" wrapText="1"/>
    </x:xf>
    <x:xf numFmtId="204" fontId="7" fillId="3" borderId="14" xfId="0" applyNumberFormat="1" applyFont="1" applyFill="1" applyBorder="1" applyAlignment="1">
      <x:alignment horizontal="center" vertical="center" wrapText="0"/>
    </x:xf>
    <x:xf numFmtId="203" fontId="7" fillId="3" borderId="14" xfId="0" applyNumberFormat="1" applyFont="1" applyFill="1" applyBorder="1" applyAlignment="1">
      <x:alignment horizontal="right" vertical="center" wrapText="0"/>
    </x:xf>
    <x:xf numFmtId="203" fontId="7" fillId="3" borderId="15" xfId="0" applyNumberFormat="1" applyFont="1" applyFill="1" applyBorder="1" applyAlignment="1">
      <x:alignment horizontal="right" vertical="center" wrapText="0"/>
    </x:xf>
    <x:xf numFmtId="0" fontId="1" fillId="3" borderId="13" xfId="0" applyNumberFormat="1" applyFont="1" applyFill="1" applyBorder="1" applyAlignment="1">
      <x:alignment horizontal="center" vertical="center" wrapText="0"/>
    </x:xf>
    <x:xf numFmtId="0" fontId="1" fillId="3" borderId="14" xfId="0" applyNumberFormat="1" applyFont="1" applyFill="1" applyBorder="1" applyAlignment="1">
      <x:alignment vertical="center" wrapText="1"/>
    </x:xf>
    <x:xf numFmtId="204" fontId="1" fillId="3" borderId="14" xfId="0" applyNumberFormat="1" applyFont="1" applyFill="1" applyBorder="1" applyAlignment="1">
      <x:alignment horizontal="center" vertical="center" wrapText="0"/>
    </x:xf>
    <x:xf numFmtId="203" fontId="1" fillId="3" borderId="14" xfId="0" applyNumberFormat="1" applyFont="1" applyFill="1" applyBorder="1" applyAlignment="1">
      <x:alignment horizontal="right" vertical="center" wrapText="0"/>
    </x:xf>
    <x:xf numFmtId="203" fontId="1" fillId="3" borderId="15" xfId="0" applyNumberFormat="1" applyFont="1" applyFill="1" applyBorder="1" applyAlignment="1">
      <x:alignment horizontal="right" vertical="center" wrapText="0"/>
    </x:xf>
    <x:xf numFmtId="0" fontId="7" fillId="3" borderId="13" xfId="0" applyNumberFormat="1" applyFont="1" applyFill="1" applyBorder="1" applyAlignment="1">
      <x:alignment horizontal="center" vertical="center"/>
    </x:xf>
    <x:xf numFmtId="204" fontId="7" fillId="3" borderId="14" xfId="0" applyNumberFormat="1" applyFont="1" applyFill="1" applyBorder="1" applyAlignment="1">
      <x:alignment horizontal="center" vertical="center"/>
    </x:xf>
    <x:xf numFmtId="203" fontId="7" fillId="3" borderId="14" xfId="0" applyNumberFormat="1" applyFont="1" applyFill="1" applyBorder="1" applyAlignment="1">
      <x:alignment horizontal="right" vertical="center"/>
    </x:xf>
    <x:xf numFmtId="203" fontId="7" fillId="3" borderId="15" xfId="0" applyNumberFormat="1" applyFont="1" applyFill="1" applyBorder="1" applyAlignment="1">
      <x:alignment horizontal="right" vertical="center"/>
    </x:xf>
    <x:xf numFmtId="0" fontId="32" fillId="3" borderId="13" xfId="0" applyNumberFormat="1" applyFont="1" applyFill="1" applyBorder="1" applyAlignment="1">
      <x:alignment horizontal="center" vertical="center" wrapText="1"/>
    </x:xf>
    <x:xf numFmtId="0" fontId="32" fillId="3" borderId="14" xfId="0" applyNumberFormat="1" applyFont="1" applyFill="1" applyBorder="1" applyAlignment="1">
      <x:alignment horizontal="left" vertical="center" wrapText="1"/>
    </x:xf>
    <x:xf numFmtId="204" fontId="32" fillId="3" borderId="14" xfId="0" applyNumberFormat="1" applyFont="1" applyFill="1" applyBorder="1" applyAlignment="1">
      <x:alignment horizontal="center" vertical="center" wrapText="1"/>
    </x:xf>
    <x:xf numFmtId="203" fontId="32" fillId="3" borderId="14" xfId="0" applyNumberFormat="1" applyFont="1" applyFill="1" applyBorder="1" applyAlignment="1">
      <x:alignment horizontal="right" vertical="center" wrapText="1"/>
    </x:xf>
    <x:xf numFmtId="203" fontId="32" fillId="3" borderId="15" xfId="0" applyNumberFormat="1" applyFont="1" applyFill="1" applyBorder="1" applyAlignment="1">
      <x:alignment horizontal="right" vertical="center" wrapText="1"/>
    </x:xf>
    <x:xf numFmtId="0" fontId="1" fillId="3" borderId="16" xfId="0" applyNumberFormat="1" applyFont="1" applyFill="1" applyBorder="1" applyAlignment="1">
      <x:alignment horizontal="center" vertical="center"/>
    </x:xf>
    <x:xf numFmtId="0" fontId="1" fillId="3" borderId="17" xfId="0" applyNumberFormat="1" applyFont="1" applyFill="1" applyBorder="1" applyAlignment="1">
      <x:alignment vertical="center" wrapText="1"/>
    </x:xf>
    <x:xf numFmtId="204" fontId="1" fillId="3" borderId="17" xfId="0" applyNumberFormat="1" applyFont="1" applyFill="1" applyBorder="1" applyAlignment="1">
      <x:alignment horizontal="center" vertical="center"/>
    </x:xf>
    <x:xf numFmtId="203" fontId="1" fillId="3" borderId="17" xfId="0" applyNumberFormat="1" applyFont="1" applyFill="1" applyBorder="1" applyAlignment="1">
      <x:alignment horizontal="right" vertical="center"/>
    </x:xf>
    <x:xf numFmtId="203" fontId="1" fillId="3" borderId="18" xfId="0" applyNumberFormat="1" applyFont="1" applyFill="1" applyBorder="1" applyAlignment="1">
      <x:alignment horizontal="right" vertical="center"/>
    </x:xf>
    <x:xf numFmtId="0" fontId="7" fillId="3" borderId="19" xfId="0" applyNumberFormat="1" applyFont="1" applyFill="1" applyBorder="1" applyAlignment="1">
      <x:alignment horizontal="center" vertical="center" wrapText="1"/>
    </x:xf>
    <x:xf numFmtId="203" fontId="7" fillId="3" borderId="19" xfId="0" applyNumberFormat="1" applyFont="1" applyFill="1" applyBorder="1" applyAlignment="1">
      <x:alignment horizontal="center" vertical="center" wrapText="1"/>
    </x:xf>
    <x:xf numFmtId="200" fontId="7" fillId="3" borderId="19" xfId="0" applyNumberFormat="1" applyFont="1" applyFill="1" applyBorder="1" applyAlignment="1">
      <x:alignment horizontal="center" vertical="center" wrapText="1"/>
    </x:xf>
    <x:xf numFmtId="0" fontId="7" fillId="3" borderId="20" xfId="0" applyNumberFormat="1" applyFont="1" applyFill="1" applyBorder="1" applyAlignment="1">
      <x:alignment horizontal="center" vertical="center" wrapText="0"/>
    </x:xf>
    <x:xf numFmtId="0" fontId="7" fillId="3" borderId="20" xfId="0" applyNumberFormat="1" applyFont="1" applyFill="1" applyBorder="1" applyAlignment="1">
      <x:alignment vertical="center" wrapText="1"/>
    </x:xf>
    <x:xf numFmtId="204" fontId="7" fillId="3" borderId="20" xfId="0" applyNumberFormat="1" applyFont="1" applyFill="1" applyBorder="1" applyAlignment="1">
      <x:alignment horizontal="center" vertical="center" wrapText="0"/>
    </x:xf>
    <x:xf numFmtId="203" fontId="7" fillId="3" borderId="20" xfId="0" applyNumberFormat="1" applyFont="1" applyFill="1" applyBorder="1" applyAlignment="1">
      <x:alignment horizontal="right" vertical="center" wrapText="0"/>
    </x:xf>
    <x:xf numFmtId="0" fontId="1" fillId="3" borderId="20" xfId="0" applyNumberFormat="1" applyFont="1" applyFill="1" applyBorder="1" applyAlignment="1">
      <x:alignment horizontal="center" vertical="center" wrapText="0"/>
    </x:xf>
    <x:xf numFmtId="0" fontId="1" fillId="3" borderId="20" xfId="0" applyNumberFormat="1" applyFont="1" applyFill="1" applyBorder="1" applyAlignment="1">
      <x:alignment vertical="center" wrapText="1"/>
    </x:xf>
    <x:xf numFmtId="204" fontId="1" fillId="3" borderId="20" xfId="0" applyNumberFormat="1" applyFont="1" applyFill="1" applyBorder="1" applyAlignment="1">
      <x:alignment horizontal="center" vertical="center" wrapText="0"/>
    </x:xf>
    <x:xf numFmtId="203" fontId="1" fillId="3" borderId="20" xfId="0" applyNumberFormat="1" applyFont="1" applyFill="1" applyBorder="1" applyAlignment="1">
      <x:alignment horizontal="right" vertical="center" wrapText="0"/>
    </x:xf>
    <x:xf numFmtId="0" fontId="7" fillId="3" borderId="20" xfId="0" applyNumberFormat="1" applyFont="1" applyFill="1" applyBorder="1" applyAlignment="1">
      <x:alignment horizontal="center" vertical="center"/>
    </x:xf>
    <x:xf numFmtId="204" fontId="7" fillId="3" borderId="20" xfId="0" applyNumberFormat="1" applyFont="1" applyFill="1" applyBorder="1" applyAlignment="1">
      <x:alignment horizontal="center" vertical="center"/>
    </x:xf>
    <x:xf numFmtId="203" fontId="7" fillId="3" borderId="20" xfId="0" applyNumberFormat="1" applyFont="1" applyFill="1" applyBorder="1" applyAlignment="1">
      <x:alignment horizontal="right" vertical="center"/>
    </x:xf>
    <x:xf numFmtId="0" fontId="32" fillId="3" borderId="20" xfId="0" applyNumberFormat="1" applyFont="1" applyFill="1" applyBorder="1" applyAlignment="1">
      <x:alignment horizontal="center" vertical="center" wrapText="1"/>
    </x:xf>
    <x:xf numFmtId="0" fontId="32" fillId="3" borderId="20" xfId="0" applyNumberFormat="1" applyFont="1" applyFill="1" applyBorder="1" applyAlignment="1">
      <x:alignment horizontal="left" vertical="center" wrapText="1"/>
    </x:xf>
    <x:xf numFmtId="204" fontId="32" fillId="3" borderId="20" xfId="0" applyNumberFormat="1" applyFont="1" applyFill="1" applyBorder="1" applyAlignment="1">
      <x:alignment horizontal="center" vertical="center" wrapText="1"/>
    </x:xf>
    <x:xf numFmtId="203" fontId="32" fillId="3" borderId="20" xfId="0" applyNumberFormat="1" applyFont="1" applyFill="1" applyBorder="1" applyAlignment="1">
      <x:alignment horizontal="right" vertical="center" wrapText="1"/>
    </x:xf>
    <x:xf numFmtId="0" fontId="1" fillId="3" borderId="21" xfId="0" applyNumberFormat="1" applyFont="1" applyFill="1" applyBorder="1" applyAlignment="1">
      <x:alignment horizontal="center" vertical="center"/>
    </x:xf>
    <x:xf numFmtId="0" fontId="1" fillId="3" borderId="21" xfId="0" applyNumberFormat="1" applyFont="1" applyFill="1" applyBorder="1" applyAlignment="1">
      <x:alignment vertical="center" wrapText="1"/>
    </x:xf>
    <x:xf numFmtId="204" fontId="1" fillId="3" borderId="21" xfId="0" applyNumberFormat="1" applyFont="1" applyFill="1" applyBorder="1" applyAlignment="1">
      <x:alignment horizontal="center" vertical="center"/>
    </x:xf>
    <x:xf numFmtId="203" fontId="1" fillId="3" borderId="21" xfId="0" applyNumberFormat="1" applyFont="1" applyFill="1" applyBorder="1" applyAlignment="1">
      <x:alignment horizontal="right" vertical="center"/>
    </x:xf>
    <x:xf numFmtId="0" fontId="7" fillId="3" borderId="22" xfId="0" applyNumberFormat="1" applyFont="1" applyFill="1" applyBorder="1" applyAlignment="1">
      <x:alignment horizontal="center" vertical="center" wrapText="1"/>
    </x:xf>
    <x:xf numFmtId="203" fontId="7" fillId="3" borderId="22" xfId="0" applyNumberFormat="1" applyFont="1" applyFill="1" applyBorder="1" applyAlignment="1">
      <x:alignment horizontal="center" vertical="center" wrapText="1"/>
    </x:xf>
    <x:xf numFmtId="200" fontId="7" fillId="3" borderId="22" xfId="0" applyNumberFormat="1" applyFont="1" applyFill="1" applyBorder="1" applyAlignment="1">
      <x:alignment horizontal="center" vertical="center" wrapText="1"/>
    </x:xf>
    <x:xf numFmtId="0" fontId="7" fillId="3" borderId="23" xfId="0" applyNumberFormat="1" applyFont="1" applyFill="1" applyBorder="1" applyAlignment="1">
      <x:alignment horizontal="center" vertical="center" wrapText="1"/>
    </x:xf>
    <x:xf numFmtId="0" fontId="7" fillId="3" borderId="24" xfId="0" applyNumberFormat="1" applyFont="1" applyFill="1" applyBorder="1" applyAlignment="1">
      <x:alignment horizontal="center" vertical="center" wrapText="1"/>
    </x:xf>
    <x:xf numFmtId="203" fontId="7" fillId="3" borderId="24" xfId="0" applyNumberFormat="1" applyFont="1" applyFill="1" applyBorder="1" applyAlignment="1">
      <x:alignment horizontal="center" vertical="center" wrapText="1"/>
    </x:xf>
    <x:xf numFmtId="200" fontId="7" fillId="3" borderId="24" xfId="0" applyNumberFormat="1" applyFont="1" applyFill="1" applyBorder="1" applyAlignment="1">
      <x:alignment horizontal="center" vertical="center" wrapText="1"/>
    </x:xf>
    <x:xf numFmtId="200" fontId="7" fillId="3" borderId="25" xfId="0" applyNumberFormat="1" applyFont="1" applyFill="1" applyBorder="1" applyAlignment="1">
      <x:alignment horizontal="center" vertical="center" wrapText="1"/>
    </x:xf>
    <x:xf numFmtId="203" fontId="7" fillId="3" borderId="26" xfId="0" applyNumberFormat="1" applyFont="1" applyFill="1" applyBorder="1" applyAlignment="1">
      <x:alignment horizontal="right" vertical="center" wrapText="0"/>
    </x:xf>
    <x:xf numFmtId="203" fontId="7" fillId="3" borderId="27" xfId="0" applyNumberFormat="1" applyFont="1" applyFill="1" applyBorder="1" applyAlignment="1">
      <x:alignment horizontal="right" vertical="center" wrapText="0"/>
    </x:xf>
    <x:xf numFmtId="203" fontId="1" fillId="3" borderId="27" xfId="0" applyNumberFormat="1" applyFont="1" applyFill="1" applyBorder="1" applyAlignment="1">
      <x:alignment horizontal="right" vertical="center" wrapText="0"/>
    </x:xf>
    <x:xf numFmtId="203" fontId="7" fillId="3" borderId="27" xfId="0" applyNumberFormat="1" applyFont="1" applyFill="1" applyBorder="1" applyAlignment="1">
      <x:alignment horizontal="right" vertical="center"/>
    </x:xf>
    <x:xf numFmtId="203" fontId="32" fillId="3" borderId="27" xfId="0" applyNumberFormat="1" applyFont="1" applyFill="1" applyBorder="1" applyAlignment="1">
      <x:alignment horizontal="right" vertical="center" wrapText="1"/>
    </x:xf>
    <x:xf numFmtId="203" fontId="1" fillId="3" borderId="28" xfId="0" applyNumberFormat="1" applyFont="1" applyFill="1" applyBorder="1" applyAlignment="1">
      <x:alignment horizontal="right" vertical="center"/>
    </x:xf>
    <x:xf numFmtId="203" fontId="7" fillId="3" borderId="21" xfId="0" applyNumberFormat="1" applyFont="1" applyFill="1" applyBorder="1" applyAlignment="1">
      <x:alignment horizontal="right" vertical="center" wrapText="0"/>
    </x:xf>
    <x:xf numFmtId="203" fontId="7" fillId="3" borderId="22" xfId="0" applyNumberFormat="1" applyFont="1" applyFill="1" applyBorder="1" applyAlignment="1">
      <x:alignment horizontal="right" vertical="center" wrapText="0"/>
    </x:xf>
    <x:xf numFmtId="203" fontId="1" fillId="3" borderId="22" xfId="0" applyNumberFormat="1" applyFont="1" applyFill="1" applyBorder="1" applyAlignment="1">
      <x:alignment horizontal="right" vertical="center" wrapText="0"/>
    </x:xf>
    <x:xf numFmtId="203" fontId="7" fillId="3" borderId="22" xfId="0" applyNumberFormat="1" applyFont="1" applyFill="1" applyBorder="1" applyAlignment="1">
      <x:alignment horizontal="right" vertical="center"/>
    </x:xf>
    <x:xf numFmtId="203" fontId="32" fillId="3" borderId="22" xfId="0" applyNumberFormat="1" applyFont="1" applyFill="1" applyBorder="1" applyAlignment="1">
      <x:alignment horizontal="right" vertical="center" wrapText="1"/>
    </x:xf>
    <x:xf numFmtId="203" fontId="1" fillId="3" borderId="22" xfId="0" applyNumberFormat="1" applyFont="1" applyFill="1" applyBorder="1" applyAlignment="1">
      <x:alignment horizontal="right" vertical="center"/>
    </x:xf>
    <x:xf numFmtId="0" fontId="7" fillId="3" borderId="29" xfId="0" applyNumberFormat="1" applyFont="1" applyFill="1" applyBorder="1" applyAlignment="1">
      <x:alignment horizontal="center" vertical="center" wrapText="0"/>
    </x:xf>
    <x:xf numFmtId="0" fontId="7" fillId="3" borderId="29" xfId="0" applyNumberFormat="1" applyFont="1" applyFill="1" applyBorder="1" applyAlignment="1">
      <x:alignment vertical="center" wrapText="1"/>
    </x:xf>
    <x:xf numFmtId="204" fontId="7" fillId="3" borderId="29" xfId="0" applyNumberFormat="1" applyFont="1" applyFill="1" applyBorder="1" applyAlignment="1">
      <x:alignment horizontal="center" vertical="center" wrapText="0"/>
    </x:xf>
    <x:xf numFmtId="203" fontId="7" fillId="3" borderId="28" xfId="0" applyNumberFormat="1" applyFont="1" applyFill="1" applyBorder="1" applyAlignment="1">
      <x:alignment horizontal="right" vertical="center" wrapText="0"/>
    </x:xf>
    <x:xf numFmtId="0" fontId="7" fillId="3" borderId="19" xfId="0" applyNumberFormat="1" applyFont="1" applyFill="1" applyBorder="1" applyAlignment="1">
      <x:alignment horizontal="center" vertical="center" wrapText="0"/>
    </x:xf>
    <x:xf numFmtId="0" fontId="7" fillId="3" borderId="19" xfId="0" applyNumberFormat="1" applyFont="1" applyFill="1" applyBorder="1" applyAlignment="1">
      <x:alignment vertical="center" wrapText="1"/>
    </x:xf>
    <x:xf numFmtId="204" fontId="7" fillId="3" borderId="19" xfId="0" applyNumberFormat="1" applyFont="1" applyFill="1" applyBorder="1" applyAlignment="1">
      <x:alignment horizontal="center" vertical="center" wrapText="0"/>
    </x:xf>
    <x:xf numFmtId="0" fontId="7" fillId="3" borderId="30" xfId="0" applyNumberFormat="1" applyFont="1" applyFill="1" applyBorder="1" applyAlignment="1">
      <x:alignment horizontal="center" vertical="center" wrapText="0"/>
    </x:xf>
    <x:xf numFmtId="0" fontId="7" fillId="3" borderId="30" xfId="0" applyNumberFormat="1" applyFont="1" applyFill="1" applyBorder="1" applyAlignment="1">
      <x:alignment vertical="center" wrapText="1"/>
    </x:xf>
    <x:xf numFmtId="204" fontId="7" fillId="3" borderId="30" xfId="0" applyNumberFormat="1" applyFont="1" applyFill="1" applyBorder="1" applyAlignment="1">
      <x:alignment horizontal="center" vertical="center" wrapText="0"/>
    </x:xf>
    <x:xf numFmtId="203" fontId="7" fillId="3" borderId="30" xfId="0" applyNumberFormat="1" applyFont="1" applyFill="1" applyBorder="1" applyAlignment="1">
      <x:alignment horizontal="right" vertical="center" wrapText="0"/>
    </x:xf>
    <x:xf numFmtId="0" fontId="7" fillId="3" borderId="22" xfId="0" applyNumberFormat="1" applyFont="1" applyFill="1" applyBorder="1" applyAlignment="1">
      <x:alignment horizontal="center" vertical="center" wrapText="0"/>
    </x:xf>
    <x:xf numFmtId="0" fontId="7" fillId="3" borderId="22" xfId="0" applyNumberFormat="1" applyFont="1" applyFill="1" applyBorder="1" applyAlignment="1">
      <x:alignment vertical="center" wrapText="1"/>
    </x:xf>
    <x:xf numFmtId="204" fontId="7" fillId="3" borderId="22" xfId="0" applyNumberFormat="1" applyFont="1" applyFill="1" applyBorder="1" applyAlignment="1">
      <x:alignment horizontal="center" vertical="center" wrapText="0"/>
    </x:xf>
    <x:xf numFmtId="0" fontId="7" fillId="3" borderId="29" xfId="0" applyNumberFormat="1" applyFont="1" applyFill="1" applyBorder="1" applyAlignment="1">
      <x:alignment horizontal="center" vertical="center"/>
    </x:xf>
    <x:xf numFmtId="204" fontId="7" fillId="3" borderId="29" xfId="0" applyNumberFormat="1" applyFont="1" applyFill="1" applyBorder="1" applyAlignment="1">
      <x:alignment horizontal="center" vertical="center"/>
    </x:xf>
    <x:xf numFmtId="203" fontId="7" fillId="3" borderId="28" xfId="0" applyNumberFormat="1" applyFont="1" applyFill="1" applyBorder="1" applyAlignment="1">
      <x:alignment horizontal="right" vertical="center"/>
    </x:xf>
    <x:xf numFmtId="0" fontId="7" fillId="3" borderId="19" xfId="0" applyNumberFormat="1" applyFont="1" applyFill="1" applyBorder="1" applyAlignment="1">
      <x:alignment horizontal="center" vertical="center"/>
    </x:xf>
    <x:xf numFmtId="204" fontId="7" fillId="3" borderId="19" xfId="0" applyNumberFormat="1" applyFont="1" applyFill="1" applyBorder="1" applyAlignment="1">
      <x:alignment horizontal="center" vertical="center"/>
    </x:xf>
    <x:xf numFmtId="0" fontId="7" fillId="3" borderId="30" xfId="0" applyNumberFormat="1" applyFont="1" applyFill="1" applyBorder="1" applyAlignment="1">
      <x:alignment horizontal="center" vertical="center"/>
    </x:xf>
    <x:xf numFmtId="204" fontId="7" fillId="3" borderId="30" xfId="0" applyNumberFormat="1" applyFont="1" applyFill="1" applyBorder="1" applyAlignment="1">
      <x:alignment horizontal="center" vertical="center"/>
    </x:xf>
    <x:xf numFmtId="203" fontId="7" fillId="3" borderId="30" xfId="0" applyNumberFormat="1" applyFont="1" applyFill="1" applyBorder="1" applyAlignment="1">
      <x:alignment horizontal="right" vertical="center"/>
    </x:xf>
    <x:xf numFmtId="0" fontId="7" fillId="3" borderId="22" xfId="0" applyNumberFormat="1" applyFont="1" applyFill="1" applyBorder="1" applyAlignment="1">
      <x:alignment horizontal="center" vertical="center"/>
    </x:xf>
    <x:xf numFmtId="204" fontId="7" fillId="3" borderId="22" xfId="0" applyNumberFormat="1" applyFont="1" applyFill="1" applyBorder="1" applyAlignment="1">
      <x:alignment horizontal="center" vertical="center"/>
    </x:xf>
    <x:xf numFmtId="0" fontId="32" fillId="3" borderId="29" xfId="0" applyNumberFormat="1" applyFont="1" applyFill="1" applyBorder="1" applyAlignment="1">
      <x:alignment horizontal="center" vertical="center" wrapText="1"/>
    </x:xf>
    <x:xf numFmtId="0" fontId="32" fillId="3" borderId="29" xfId="0" applyNumberFormat="1" applyFont="1" applyFill="1" applyBorder="1" applyAlignment="1">
      <x:alignment horizontal="left" vertical="center" wrapText="1"/>
    </x:xf>
    <x:xf numFmtId="204" fontId="32" fillId="3" borderId="29" xfId="0" applyNumberFormat="1" applyFont="1" applyFill="1" applyBorder="1" applyAlignment="1">
      <x:alignment horizontal="center" vertical="center" wrapText="1"/>
    </x:xf>
    <x:xf numFmtId="203" fontId="32" fillId="3" borderId="28" xfId="0" applyNumberFormat="1" applyFont="1" applyFill="1" applyBorder="1" applyAlignment="1">
      <x:alignment horizontal="right" vertical="center" wrapText="1"/>
    </x:xf>
    <x:xf numFmtId="0" fontId="32" fillId="3" borderId="19" xfId="0" applyNumberFormat="1" applyFont="1" applyFill="1" applyBorder="1" applyAlignment="1">
      <x:alignment horizontal="center" vertical="center" wrapText="1"/>
    </x:xf>
    <x:xf numFmtId="0" fontId="32" fillId="3" borderId="19" xfId="0" applyNumberFormat="1" applyFont="1" applyFill="1" applyBorder="1" applyAlignment="1">
      <x:alignment horizontal="left" vertical="center" wrapText="1"/>
    </x:xf>
    <x:xf numFmtId="204" fontId="32" fillId="3" borderId="19" xfId="0" applyNumberFormat="1" applyFont="1" applyFill="1" applyBorder="1" applyAlignment="1">
      <x:alignment horizontal="center" vertical="center" wrapText="1"/>
    </x:xf>
    <x:xf numFmtId="0" fontId="32" fillId="3" borderId="31" xfId="0" applyNumberFormat="1" applyFont="1" applyFill="1" applyBorder="1" applyAlignment="1">
      <x:alignment horizontal="center" vertical="center" wrapText="1"/>
    </x:xf>
    <x:xf numFmtId="0" fontId="32" fillId="3" borderId="31" xfId="0" applyNumberFormat="1" applyFont="1" applyFill="1" applyBorder="1" applyAlignment="1">
      <x:alignment horizontal="left" vertical="center" wrapText="1"/>
    </x:xf>
    <x:xf numFmtId="204" fontId="32" fillId="3" borderId="31" xfId="0" applyNumberFormat="1" applyFont="1" applyFill="1" applyBorder="1" applyAlignment="1">
      <x:alignment horizontal="center" vertical="center" wrapText="1"/>
    </x:xf>
    <x:xf numFmtId="203" fontId="32" fillId="3" borderId="31" xfId="0" applyNumberFormat="1" applyFont="1" applyFill="1" applyBorder="1" applyAlignment="1">
      <x:alignment horizontal="right" vertical="center" wrapText="1"/>
    </x:xf>
    <x:xf numFmtId="0" fontId="32" fillId="3" borderId="32" xfId="0" applyNumberFormat="1" applyFont="1" applyFill="1" applyBorder="1" applyAlignment="1">
      <x:alignment horizontal="center" vertical="center" wrapText="1"/>
    </x:xf>
    <x:xf numFmtId="0" fontId="32" fillId="3" borderId="32" xfId="0" applyNumberFormat="1" applyFont="1" applyFill="1" applyBorder="1" applyAlignment="1">
      <x:alignment horizontal="left" vertical="center" wrapText="1"/>
    </x:xf>
    <x:xf numFmtId="204" fontId="32" fillId="3" borderId="32" xfId="0" applyNumberFormat="1" applyFont="1" applyFill="1" applyBorder="1" applyAlignment="1">
      <x:alignment horizontal="center" vertical="center" wrapText="1"/>
    </x:xf>
    <x:xf numFmtId="203" fontId="32" fillId="3" borderId="32" xfId="0" applyNumberFormat="1" applyFont="1" applyFill="1" applyBorder="1" applyAlignment="1">
      <x:alignment horizontal="right" vertical="center" wrapText="1"/>
    </x:xf>
    <x:xf numFmtId="0" fontId="1" fillId="3" borderId="28" xfId="0" applyNumberFormat="1" applyFont="1" applyFill="1" applyBorder="1" applyAlignment="1">
      <x:alignment horizontal="center" vertical="center"/>
    </x:xf>
    <x:xf numFmtId="0" fontId="1" fillId="3" borderId="28" xfId="0" applyNumberFormat="1" applyFont="1" applyFill="1" applyBorder="1" applyAlignment="1">
      <x:alignment vertical="center" wrapText="1"/>
    </x:xf>
    <x:xf numFmtId="204" fontId="1" fillId="3" borderId="28" xfId="0" applyNumberFormat="1" applyFont="1" applyFill="1" applyBorder="1" applyAlignment="1">
      <x:alignment horizontal="center" vertical="center"/>
    </x:xf>
    <x:xf numFmtId="0" fontId="1" fillId="3" borderId="22" xfId="0" applyNumberFormat="1" applyFont="1" applyFill="1" applyBorder="1" applyAlignment="1">
      <x:alignment horizontal="center" vertical="center"/>
    </x:xf>
    <x:xf numFmtId="0" fontId="1" fillId="3" borderId="22" xfId="0" applyNumberFormat="1" applyFont="1" applyFill="1" applyBorder="1" applyAlignment="1">
      <x:alignment vertical="center" wrapText="1"/>
    </x:xf>
    <x:xf numFmtId="204" fontId="1" fillId="3" borderId="22" xfId="0" applyNumberFormat="1" applyFont="1" applyFill="1" applyBorder="1" applyAlignment="1">
      <x:alignment horizontal="center" vertical="center"/>
    </x:xf>
    <x:xf numFmtId="0" fontId="1" fillId="3" borderId="32" xfId="0" applyNumberFormat="1" applyFont="1" applyFill="1" applyBorder="1" applyAlignment="1">
      <x:alignment horizontal="center" vertical="center"/>
    </x:xf>
    <x:xf numFmtId="0" fontId="1" fillId="3" borderId="32" xfId="0" applyNumberFormat="1" applyFont="1" applyFill="1" applyBorder="1" applyAlignment="1">
      <x:alignment vertical="center" wrapText="1"/>
    </x:xf>
    <x:xf numFmtId="204" fontId="1" fillId="3" borderId="32" xfId="0" applyNumberFormat="1" applyFont="1" applyFill="1" applyBorder="1" applyAlignment="1">
      <x:alignment horizontal="center" vertical="center"/>
    </x:xf>
    <x:xf numFmtId="203" fontId="1" fillId="3" borderId="32" xfId="0" applyNumberFormat="1" applyFont="1" applyFill="1" applyBorder="1" applyAlignment="1">
      <x:alignment horizontal="right" vertical="center"/>
    </x:xf>
    <x:xf numFmtId="0" fontId="1" fillId="3" borderId="5" xfId="0" applyNumberFormat="1" applyFont="1" applyFill="1" applyBorder="1" applyAlignment="1">
      <x:alignment vertical="center" wrapText="1"/>
    </x:xf>
    <x:xf numFmtId="203" fontId="1" fillId="3" borderId="6" xfId="0" applyNumberFormat="1" applyFont="1" applyFill="1" applyBorder="1" applyAlignment="1">
      <x:alignment vertical="center" wrapText="1"/>
    </x:xf>
    <x:xf numFmtId="203" fontId="7" fillId="3" borderId="9" xfId="0" applyNumberFormat="1" applyFont="1" applyFill="1" applyBorder="1" applyAlignment="1">
      <x:alignment horizontal="right" vertical="center" wrapText="1"/>
    </x:xf>
    <x:xf numFmtId="203" fontId="7" fillId="3" borderId="6" xfId="0" applyNumberFormat="1" applyFont="1" applyFill="1" applyBorder="1" applyAlignment="1">
      <x:alignment horizontal="right" vertical="center" wrapText="1"/>
    </x:xf>
    <x:xf numFmtId="0" fontId="1" fillId="3" borderId="5" xfId="0" applyNumberFormat="1" applyFont="1" applyFill="1" applyBorder="1" applyAlignment="1">
      <x:alignment horizontal="center" vertical="center" wrapText="1"/>
    </x:xf>
    <x:xf numFmtId="203" fontId="1" fillId="3" borderId="6" xfId="0" applyNumberFormat="1" applyFont="1" applyFill="1" applyBorder="1" applyAlignment="1">
      <x:alignment horizontal="right" vertical="center" wrapText="1"/>
    </x:xf>
    <x:xf numFmtId="0" fontId="21" fillId="3" borderId="5" xfId="0" applyNumberFormat="1" applyFont="1" applyFill="1" applyBorder="1" applyAlignment="1">
      <x:alignment horizontal="center" vertical="center" wrapText="1"/>
    </x:xf>
    <x:xf numFmtId="203" fontId="21" fillId="3" borderId="6" xfId="0" applyNumberFormat="1" applyFont="1" applyFill="1" applyBorder="1" applyAlignment="1">
      <x:alignment horizontal="right" vertical="center" wrapText="1"/>
    </x:xf>
    <x:xf numFmtId="0" fontId="1" fillId="3" borderId="5" xfId="0" applyNumberFormat="1" applyFont="1" applyFill="1" applyBorder="1" applyAlignment="1">
      <x:alignment horizontal="center" vertical="center"/>
    </x:xf>
    <x:xf numFmtId="203" fontId="1" fillId="3" borderId="6" xfId="0" applyNumberFormat="1" applyFont="1" applyFill="1" applyBorder="1" applyAlignment="1">
      <x:alignment horizontal="right" vertical="center"/>
    </x:xf>
    <x:xf numFmtId="203" fontId="1" fillId="30" borderId="6" xfId="0" applyNumberFormat="1" applyFont="1" applyFill="1" applyBorder="1" applyAlignment="1">
      <x:alignment horizontal="right" vertical="center"/>
    </x:xf>
    <x:xf numFmtId="0" fontId="7" fillId="3" borderId="13" xfId="0" applyNumberFormat="1" applyFont="1" applyFill="1" applyBorder="1" applyAlignment="1">
      <x:alignment horizontal="center" vertical="center" wrapText="1"/>
    </x:xf>
    <x:xf numFmtId="203" fontId="7" fillId="3" borderId="14" xfId="0" applyNumberFormat="1" applyFont="1" applyFill="1" applyBorder="1" applyAlignment="1">
      <x:alignment vertical="center" wrapText="1"/>
    </x:xf>
    <x:xf numFmtId="204" fontId="7" fillId="3" borderId="14" xfId="0" applyNumberFormat="1" applyFont="1" applyFill="1" applyBorder="1" applyAlignment="1">
      <x:alignment horizontal="center" vertical="center" wrapText="1"/>
    </x:xf>
    <x:xf numFmtId="203" fontId="7" fillId="3" borderId="14" xfId="0" applyNumberFormat="1" applyFont="1" applyFill="1" applyBorder="1" applyAlignment="1">
      <x:alignment horizontal="right" vertical="center" wrapText="1"/>
    </x:xf>
    <x:xf numFmtId="203" fontId="7" fillId="3" borderId="15" xfId="0" applyNumberFormat="1" applyFont="1" applyFill="1" applyBorder="1" applyAlignment="1">
      <x:alignment horizontal="right" vertical="center" wrapText="1"/>
    </x:xf>
    <x:xf numFmtId="0" fontId="1" fillId="3" borderId="13" xfId="0" applyNumberFormat="1" applyFont="1" applyFill="1" applyBorder="1" applyAlignment="1">
      <x:alignment horizontal="center" vertical="center" wrapText="1"/>
    </x:xf>
    <x:xf numFmtId="203" fontId="1" fillId="3" borderId="14" xfId="0" applyNumberFormat="1" applyFont="1" applyFill="1" applyBorder="1" applyAlignment="1">
      <x:alignment vertical="center" wrapText="1"/>
    </x:xf>
    <x:xf numFmtId="204" fontId="1" fillId="3" borderId="14" xfId="0" applyNumberFormat="1" applyFont="1" applyFill="1" applyBorder="1" applyAlignment="1">
      <x:alignment horizontal="center" vertical="center" wrapText="1"/>
    </x:xf>
    <x:xf numFmtId="203" fontId="1" fillId="3" borderId="14" xfId="0" applyNumberFormat="1" applyFont="1" applyFill="1" applyBorder="1" applyAlignment="1">
      <x:alignment horizontal="right" vertical="center" wrapText="1"/>
    </x:xf>
    <x:xf numFmtId="203" fontId="1" fillId="3" borderId="15" xfId="0" applyNumberFormat="1" applyFont="1" applyFill="1" applyBorder="1" applyAlignment="1">
      <x:alignment horizontal="right" vertical="center" wrapText="1"/>
    </x:xf>
    <x:xf numFmtId="203" fontId="7" fillId="3" borderId="14" xfId="0" applyNumberFormat="1" applyFont="1" applyFill="1" applyBorder="1" applyAlignment="1">
      <x:alignment horizontal="center" vertical="center" wrapText="1"/>
    </x:xf>
    <x:xf numFmtId="0" fontId="21" fillId="3" borderId="13" xfId="0" applyNumberFormat="1" applyFont="1" applyFill="1" applyBorder="1" applyAlignment="1">
      <x:alignment horizontal="center" vertical="center" wrapText="1"/>
    </x:xf>
    <x:xf numFmtId="0" fontId="21" fillId="3" borderId="14" xfId="0" applyNumberFormat="1" applyFont="1" applyFill="1" applyBorder="1" applyAlignment="1">
      <x:alignment horizontal="left" vertical="center" wrapText="1"/>
    </x:xf>
    <x:xf numFmtId="204" fontId="21" fillId="3" borderId="14" xfId="0" applyNumberFormat="1" applyFont="1" applyFill="1" applyBorder="1" applyAlignment="1">
      <x:alignment horizontal="center" vertical="center" wrapText="1"/>
    </x:xf>
    <x:xf numFmtId="203" fontId="21" fillId="3" borderId="14" xfId="0" applyNumberFormat="1" applyFont="1" applyFill="1" applyBorder="1" applyAlignment="1">
      <x:alignment horizontal="right" vertical="center" wrapText="1"/>
    </x:xf>
    <x:xf numFmtId="203" fontId="21" fillId="3" borderId="15" xfId="0" applyNumberFormat="1" applyFont="1" applyFill="1" applyBorder="1" applyAlignment="1">
      <x:alignment horizontal="right" vertical="center" wrapText="1"/>
    </x:xf>
    <x:xf numFmtId="0" fontId="1" fillId="3" borderId="13" xfId="0" applyNumberFormat="1" applyFont="1" applyFill="1" applyBorder="1" applyAlignment="1">
      <x:alignment horizontal="center" vertical="center"/>
    </x:xf>
    <x:xf numFmtId="204" fontId="1" fillId="3" borderId="14" xfId="0" applyNumberFormat="1" applyFont="1" applyFill="1" applyBorder="1" applyAlignment="1">
      <x:alignment horizontal="center" vertical="center"/>
    </x:xf>
    <x:xf numFmtId="203" fontId="1" fillId="3" borderId="14" xfId="0" applyNumberFormat="1" applyFont="1" applyFill="1" applyBorder="1" applyAlignment="1">
      <x:alignment horizontal="right" vertical="center"/>
    </x:xf>
    <x:xf numFmtId="203" fontId="1" fillId="3" borderId="15" xfId="0" applyNumberFormat="1" applyFont="1" applyFill="1" applyBorder="1" applyAlignment="1">
      <x:alignment horizontal="right" vertical="center"/>
    </x:xf>
    <x:xf numFmtId="203" fontId="1" fillId="30" borderId="14" xfId="0" applyNumberFormat="1" applyFont="1" applyFill="1" applyBorder="1" applyAlignment="1">
      <x:alignment horizontal="right" vertical="center"/>
    </x:xf>
    <x:xf numFmtId="203" fontId="1" fillId="30" borderId="15" xfId="0" applyNumberFormat="1" applyFont="1" applyFill="1" applyBorder="1" applyAlignment="1">
      <x:alignment horizontal="right" vertical="center"/>
    </x:xf>
    <x:xf numFmtId="0" fontId="7" fillId="3" borderId="20" xfId="0" applyNumberFormat="1" applyFont="1" applyFill="1" applyBorder="1" applyAlignment="1">
      <x:alignment horizontal="center" vertical="center" wrapText="1"/>
    </x:xf>
    <x:xf numFmtId="203" fontId="7" fillId="3" borderId="20" xfId="0" applyNumberFormat="1" applyFont="1" applyFill="1" applyBorder="1" applyAlignment="1">
      <x:alignment vertical="center" wrapText="1"/>
    </x:xf>
    <x:xf numFmtId="204" fontId="7" fillId="3" borderId="20" xfId="0" applyNumberFormat="1" applyFont="1" applyFill="1" applyBorder="1" applyAlignment="1">
      <x:alignment horizontal="center" vertical="center" wrapText="1"/>
    </x:xf>
    <x:xf numFmtId="203" fontId="7" fillId="3" borderId="20" xfId="0" applyNumberFormat="1" applyFont="1" applyFill="1" applyBorder="1" applyAlignment="1">
      <x:alignment horizontal="right" vertical="center" wrapText="1"/>
    </x:xf>
    <x:xf numFmtId="0" fontId="1" fillId="3" borderId="20" xfId="0" applyNumberFormat="1" applyFont="1" applyFill="1" applyBorder="1" applyAlignment="1">
      <x:alignment horizontal="center" vertical="center" wrapText="1"/>
    </x:xf>
    <x:xf numFmtId="203" fontId="1" fillId="3" borderId="20" xfId="0" applyNumberFormat="1" applyFont="1" applyFill="1" applyBorder="1" applyAlignment="1">
      <x:alignment vertical="center" wrapText="1"/>
    </x:xf>
    <x:xf numFmtId="204" fontId="1" fillId="3" borderId="20" xfId="0" applyNumberFormat="1" applyFont="1" applyFill="1" applyBorder="1" applyAlignment="1">
      <x:alignment horizontal="center" vertical="center" wrapText="1"/>
    </x:xf>
    <x:xf numFmtId="203" fontId="1" fillId="3" borderId="20" xfId="0" applyNumberFormat="1" applyFont="1" applyFill="1" applyBorder="1" applyAlignment="1">
      <x:alignment horizontal="right" vertical="center" wrapText="1"/>
    </x:xf>
    <x:xf numFmtId="203" fontId="7" fillId="3" borderId="20" xfId="0" applyNumberFormat="1" applyFont="1" applyFill="1" applyBorder="1" applyAlignment="1">
      <x:alignment horizontal="center" vertical="center" wrapText="1"/>
    </x:xf>
    <x:xf numFmtId="0" fontId="21" fillId="3" borderId="20" xfId="0" applyNumberFormat="1" applyFont="1" applyFill="1" applyBorder="1" applyAlignment="1">
      <x:alignment horizontal="center" vertical="center" wrapText="1"/>
    </x:xf>
    <x:xf numFmtId="0" fontId="21" fillId="3" borderId="20" xfId="0" applyNumberFormat="1" applyFont="1" applyFill="1" applyBorder="1" applyAlignment="1">
      <x:alignment horizontal="left" vertical="center" wrapText="1"/>
    </x:xf>
    <x:xf numFmtId="204" fontId="21" fillId="3" borderId="20" xfId="0" applyNumberFormat="1" applyFont="1" applyFill="1" applyBorder="1" applyAlignment="1">
      <x:alignment horizontal="center" vertical="center" wrapText="1"/>
    </x:xf>
    <x:xf numFmtId="203" fontId="21" fillId="3" borderId="20" xfId="0" applyNumberFormat="1" applyFont="1" applyFill="1" applyBorder="1" applyAlignment="1">
      <x:alignment horizontal="right" vertical="center" wrapText="1"/>
    </x:xf>
    <x:xf numFmtId="0" fontId="1" fillId="3" borderId="20" xfId="0" applyNumberFormat="1" applyFont="1" applyFill="1" applyBorder="1" applyAlignment="1">
      <x:alignment horizontal="center" vertical="center"/>
    </x:xf>
    <x:xf numFmtId="204" fontId="1" fillId="3" borderId="20" xfId="0" applyNumberFormat="1" applyFont="1" applyFill="1" applyBorder="1" applyAlignment="1">
      <x:alignment horizontal="center" vertical="center"/>
    </x:xf>
    <x:xf numFmtId="203" fontId="1" fillId="3" borderId="20" xfId="0" applyNumberFormat="1" applyFont="1" applyFill="1" applyBorder="1" applyAlignment="1">
      <x:alignment horizontal="right" vertical="center"/>
    </x:xf>
    <x:xf numFmtId="203" fontId="1" fillId="30" borderId="20" xfId="0" applyNumberFormat="1" applyFont="1" applyFill="1" applyBorder="1" applyAlignment="1">
      <x:alignment horizontal="right" vertical="center"/>
    </x:xf>
    <x:xf numFmtId="203" fontId="7" fillId="3" borderId="26" xfId="0" applyNumberFormat="1" applyFont="1" applyFill="1" applyBorder="1" applyAlignment="1">
      <x:alignment horizontal="right" vertical="center" wrapText="1"/>
    </x:xf>
    <x:xf numFmtId="203" fontId="1" fillId="3" borderId="27" xfId="0" applyNumberFormat="1" applyFont="1" applyFill="1" applyBorder="1" applyAlignment="1">
      <x:alignment horizontal="right" vertical="center" wrapText="1"/>
    </x:xf>
    <x:xf numFmtId="203" fontId="7" fillId="3" borderId="27" xfId="0" applyNumberFormat="1" applyFont="1" applyFill="1" applyBorder="1" applyAlignment="1">
      <x:alignment horizontal="right" vertical="center" wrapText="1"/>
    </x:xf>
    <x:xf numFmtId="203" fontId="21" fillId="3" borderId="27" xfId="0" applyNumberFormat="1" applyFont="1" applyFill="1" applyBorder="1" applyAlignment="1">
      <x:alignment horizontal="right" vertical="center" wrapText="1"/>
    </x:xf>
    <x:xf numFmtId="203" fontId="1" fillId="3" borderId="27" xfId="0" applyNumberFormat="1" applyFont="1" applyFill="1" applyBorder="1" applyAlignment="1">
      <x:alignment horizontal="right" vertical="center"/>
    </x:xf>
    <x:xf numFmtId="203" fontId="1" fillId="30" borderId="27" xfId="0" applyNumberFormat="1" applyFont="1" applyFill="1" applyBorder="1" applyAlignment="1">
      <x:alignment horizontal="right" vertical="center"/>
    </x:xf>
    <x:xf numFmtId="203" fontId="7" fillId="3" borderId="21" xfId="0" applyNumberFormat="1" applyFont="1" applyFill="1" applyBorder="1" applyAlignment="1">
      <x:alignment horizontal="right" vertical="center" wrapText="1"/>
    </x:xf>
    <x:xf numFmtId="203" fontId="1" fillId="3" borderId="22" xfId="0" applyNumberFormat="1" applyFont="1" applyFill="1" applyBorder="1" applyAlignment="1">
      <x:alignment horizontal="right" vertical="center" wrapText="1"/>
    </x:xf>
    <x:xf numFmtId="203" fontId="7" fillId="3" borderId="22" xfId="0" applyNumberFormat="1" applyFont="1" applyFill="1" applyBorder="1" applyAlignment="1">
      <x:alignment horizontal="right" vertical="center" wrapText="1"/>
    </x:xf>
    <x:xf numFmtId="203" fontId="21" fillId="3" borderId="22" xfId="0" applyNumberFormat="1" applyFont="1" applyFill="1" applyBorder="1" applyAlignment="1">
      <x:alignment horizontal="right" vertical="center" wrapText="1"/>
    </x:xf>
    <x:xf numFmtId="203" fontId="1" fillId="30" borderId="22" xfId="0" applyNumberFormat="1" applyFont="1" applyFill="1" applyBorder="1" applyAlignment="1">
      <x:alignment horizontal="right" vertical="center"/>
    </x:xf>
    <x:xf numFmtId="0" fontId="7" fillId="3" borderId="29" xfId="0" applyNumberFormat="1" applyFont="1" applyFill="1" applyBorder="1" applyAlignment="1">
      <x:alignment horizontal="center" vertical="center" wrapText="1"/>
    </x:xf>
    <x:xf numFmtId="203" fontId="7" fillId="3" borderId="29" xfId="0" applyNumberFormat="1" applyFont="1" applyFill="1" applyBorder="1" applyAlignment="1">
      <x:alignment vertical="center" wrapText="1"/>
    </x:xf>
    <x:xf numFmtId="204" fontId="7" fillId="3" borderId="29" xfId="0" applyNumberFormat="1" applyFont="1" applyFill="1" applyBorder="1" applyAlignment="1">
      <x:alignment horizontal="center" vertical="center" wrapText="1"/>
    </x:xf>
    <x:xf numFmtId="203" fontId="7" fillId="3" borderId="28" xfId="0" applyNumberFormat="1" applyFont="1" applyFill="1" applyBorder="1" applyAlignment="1">
      <x:alignment horizontal="right" vertical="center" wrapText="1"/>
    </x:xf>
    <x:xf numFmtId="203" fontId="7" fillId="3" borderId="19" xfId="0" applyNumberFormat="1" applyFont="1" applyFill="1" applyBorder="1" applyAlignment="1">
      <x:alignment vertical="center" wrapText="1"/>
    </x:xf>
    <x:xf numFmtId="204" fontId="7" fillId="3" borderId="19" xfId="0" applyNumberFormat="1" applyFont="1" applyFill="1" applyBorder="1" applyAlignment="1">
      <x:alignment horizontal="center" vertical="center" wrapText="1"/>
    </x:xf>
    <x:xf numFmtId="0" fontId="7" fillId="3" borderId="30" xfId="0" applyNumberFormat="1" applyFont="1" applyFill="1" applyBorder="1" applyAlignment="1">
      <x:alignment horizontal="center" vertical="center" wrapText="1"/>
    </x:xf>
    <x:xf numFmtId="203" fontId="7" fillId="3" borderId="30" xfId="0" applyNumberFormat="1" applyFont="1" applyFill="1" applyBorder="1" applyAlignment="1">
      <x:alignment vertical="center" wrapText="1"/>
    </x:xf>
    <x:xf numFmtId="204" fontId="7" fillId="3" borderId="30" xfId="0" applyNumberFormat="1" applyFont="1" applyFill="1" applyBorder="1" applyAlignment="1">
      <x:alignment horizontal="center" vertical="center" wrapText="1"/>
    </x:xf>
    <x:xf numFmtId="203" fontId="7" fillId="3" borderId="30" xfId="0" applyNumberFormat="1" applyFont="1" applyFill="1" applyBorder="1" applyAlignment="1">
      <x:alignment horizontal="right" vertical="center" wrapText="1"/>
    </x:xf>
    <x:xf numFmtId="203" fontId="7" fillId="3" borderId="22" xfId="0" applyNumberFormat="1" applyFont="1" applyFill="1" applyBorder="1" applyAlignment="1">
      <x:alignment vertical="center" wrapText="1"/>
    </x:xf>
    <x:xf numFmtId="204" fontId="7" fillId="3" borderId="22" xfId="0" applyNumberFormat="1" applyFont="1" applyFill="1" applyBorder="1" applyAlignment="1">
      <x:alignment horizontal="center" vertical="center" wrapText="1"/>
    </x:xf>
    <x:xf numFmtId="203" fontId="7" fillId="3" borderId="29" xfId="0" applyNumberFormat="1" applyFont="1" applyFill="1" applyBorder="1" applyAlignment="1">
      <x:alignment horizontal="center" vertical="center" wrapText="1"/>
    </x:xf>
    <x:xf numFmtId="203" fontId="7" fillId="3" borderId="30" xfId="0" applyNumberFormat="1" applyFont="1" applyFill="1" applyBorder="1" applyAlignment="1">
      <x:alignment horizontal="center" vertical="center" wrapText="1"/>
    </x:xf>
    <x:xf numFmtId="0" fontId="7" fillId="3" borderId="31" xfId="0" applyNumberFormat="1" applyFont="1" applyFill="1" applyBorder="1" applyAlignment="1">
      <x:alignment horizontal="center" vertical="center"/>
    </x:xf>
    <x:xf numFmtId="0" fontId="7" fillId="3" borderId="31" xfId="0" applyNumberFormat="1" applyFont="1" applyFill="1" applyBorder="1" applyAlignment="1">
      <x:alignment vertical="center" wrapText="1"/>
    </x:xf>
    <x:xf numFmtId="204" fontId="7" fillId="3" borderId="31" xfId="0" applyNumberFormat="1" applyFont="1" applyFill="1" applyBorder="1" applyAlignment="1">
      <x:alignment horizontal="center" vertical="center"/>
    </x:xf>
    <x:xf numFmtId="203" fontId="7" fillId="3" borderId="31" xfId="0" applyNumberFormat="1" applyFont="1" applyFill="1" applyBorder="1" applyAlignment="1">
      <x:alignment horizontal="right" vertical="center"/>
    </x:xf>
    <x:xf numFmtId="0" fontId="7" fillId="3" borderId="32" xfId="0" applyNumberFormat="1" applyFont="1" applyFill="1" applyBorder="1" applyAlignment="1">
      <x:alignment horizontal="center" vertical="center"/>
    </x:xf>
    <x:xf numFmtId="0" fontId="7" fillId="3" borderId="32" xfId="0" applyNumberFormat="1" applyFont="1" applyFill="1" applyBorder="1" applyAlignment="1">
      <x:alignment vertical="center" wrapText="1"/>
    </x:xf>
    <x:xf numFmtId="204" fontId="7" fillId="3" borderId="32" xfId="0" applyNumberFormat="1" applyFont="1" applyFill="1" applyBorder="1" applyAlignment="1">
      <x:alignment horizontal="center" vertical="center"/>
    </x:xf>
    <x:xf numFmtId="203" fontId="7" fillId="3" borderId="32" xfId="0" applyNumberFormat="1" applyFont="1" applyFill="1" applyBorder="1" applyAlignment="1">
      <x:alignment horizontal="right" vertic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7" fillId="3" borderId="2" xfId="0" applyNumberFormat="1" applyFont="1" applyFill="1" applyBorder="1" applyAlignment="1">
      <x:alignment horizontal="left" vertical="top" wrapText="1"/>
    </x:xf>
    <x:xf numFmtId="203" fontId="7" fillId="3" borderId="4" xfId="0" applyNumberFormat="1" applyFont="1" applyFill="1" applyBorder="1" applyAlignment="1">
      <x:alignment horizontal="left" vertical="top" wrapText="1"/>
    </x:xf>
    <x:xf numFmtId="0" fontId="7" fillId="3" borderId="7" xfId="0" applyNumberFormat="1" applyFont="1" applyFill="1" applyBorder="1" applyAlignment="1">
      <x:alignment horizontal="left" vertical="top" wrapText="1"/>
    </x:xf>
    <x:xf numFmtId="203" fontId="7" fillId="3" borderId="9" xfId="0" applyNumberFormat="1" applyFont="1" applyFill="1" applyBorder="1" applyAlignment="1">
      <x:alignment horizontal="left" vertical="top" wrapText="1"/>
    </x:xf>
    <x:xf numFmtId="0" fontId="7" fillId="3" borderId="2" xfId="0" applyNumberFormat="1" applyFont="1" applyFill="1" applyBorder="1" applyAlignment="1">
      <x:alignment vertical="top" wrapText="1"/>
    </x:xf>
    <x:xf numFmtId="203" fontId="7"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203" fontId="1" fillId="30" borderId="6" xfId="0" applyNumberFormat="1" applyFont="1" applyFill="1" applyBorder="1" applyAlignment="1">
      <x:alignment vertical="top" wrapText="1"/>
    </x:xf>
    <x:xf numFmtId="0" fontId="7" fillId="3" borderId="5" xfId="0" applyNumberFormat="1" applyFont="1" applyFill="1" applyBorder="1" applyAlignment="1">
      <x:alignment vertical="top" wrapText="1"/>
    </x:xf>
    <x:xf numFmtId="203" fontId="7" fillId="30"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203" fontId="1" fillId="30" borderId="9" xfId="0" applyNumberFormat="1" applyFont="1" applyFill="1" applyBorder="1" applyAlignment="1">
      <x:alignment vertical="top" wrapText="1"/>
    </x:xf>
    <x:xf numFmtId="0" fontId="7" fillId="3" borderId="10" xfId="0" applyNumberFormat="1" applyFont="1" applyFill="1" applyBorder="1" applyAlignment="1">
      <x:alignment vertical="top" wrapText="1"/>
    </x:xf>
    <x:xf numFmtId="203" fontId="7" fillId="3" borderId="12" xfId="0" applyNumberFormat="1" applyFont="1" applyFill="1" applyBorder="1" applyAlignment="1">
      <x:alignment vertical="top" wrapText="1"/>
    </x:xf>
    <x:xf numFmtId="0" fontId="1" fillId="3" borderId="13" xfId="0" applyNumberFormat="1" applyFont="1" applyFill="1" applyBorder="1" applyAlignment="1">
      <x:alignment vertical="top" wrapText="1"/>
    </x:xf>
    <x:xf numFmtId="203" fontId="1" fillId="30" borderId="15" xfId="0" applyNumberFormat="1" applyFont="1" applyFill="1" applyBorder="1" applyAlignment="1">
      <x:alignment vertical="top" wrapText="1"/>
    </x:xf>
    <x:xf numFmtId="0" fontId="7" fillId="3" borderId="13" xfId="0" applyNumberFormat="1" applyFont="1" applyFill="1" applyBorder="1" applyAlignment="1">
      <x:alignment vertical="top" wrapText="1"/>
    </x:xf>
    <x:xf numFmtId="203" fontId="7" fillId="30" borderId="15" xfId="0" applyNumberFormat="1" applyFont="1" applyFill="1" applyBorder="1" applyAlignment="1">
      <x:alignment vertical="top" wrapText="1"/>
    </x:xf>
    <x:xf numFmtId="0" fontId="1" fillId="3" borderId="16" xfId="0" applyNumberFormat="1" applyFont="1" applyFill="1" applyBorder="1" applyAlignment="1">
      <x:alignment vertical="top" wrapText="1"/>
    </x:xf>
    <x:xf numFmtId="203" fontId="1" fillId="30" borderId="18" xfId="0" applyNumberFormat="1" applyFont="1" applyFill="1" applyBorder="1" applyAlignment="1">
      <x:alignment vertical="top" wrapText="1"/>
    </x:xf>
    <x:xf numFmtId="0" fontId="7" fillId="3" borderId="19" xfId="0" applyNumberFormat="1" applyFont="1" applyFill="1" applyBorder="1" applyAlignment="1">
      <x:alignment vertical="top" wrapText="1"/>
    </x:xf>
    <x:xf numFmtId="203" fontId="7" fillId="3" borderId="19" xfId="0" applyNumberFormat="1" applyFont="1" applyFill="1" applyBorder="1" applyAlignment="1">
      <x:alignment vertical="top" wrapText="1"/>
    </x:xf>
    <x:xf numFmtId="0" fontId="1" fillId="3" borderId="20" xfId="0" applyNumberFormat="1" applyFont="1" applyFill="1" applyBorder="1" applyAlignment="1">
      <x:alignment vertical="top" wrapText="1"/>
    </x:xf>
    <x:xf numFmtId="203" fontId="1" fillId="30" borderId="20" xfId="0" applyNumberFormat="1" applyFont="1" applyFill="1" applyBorder="1" applyAlignment="1">
      <x:alignment vertical="top" wrapText="1"/>
    </x:xf>
    <x:xf numFmtId="0" fontId="7" fillId="3" borderId="20" xfId="0" applyNumberFormat="1" applyFont="1" applyFill="1" applyBorder="1" applyAlignment="1">
      <x:alignment vertical="top" wrapText="1"/>
    </x:xf>
    <x:xf numFmtId="203" fontId="7" fillId="30" borderId="20" xfId="0" applyNumberFormat="1" applyFont="1" applyFill="1" applyBorder="1" applyAlignment="1">
      <x:alignment vertical="top" wrapText="1"/>
    </x:xf>
    <x:xf numFmtId="0" fontId="1" fillId="3" borderId="21" xfId="0" applyNumberFormat="1" applyFont="1" applyFill="1" applyBorder="1" applyAlignment="1">
      <x:alignment vertical="top" wrapText="1"/>
    </x:xf>
    <x:xf numFmtId="203" fontId="1" fillId="30" borderId="21" xfId="0" applyNumberFormat="1" applyFont="1" applyFill="1" applyBorder="1" applyAlignment="1">
      <x:alignment vertical="top" wrapText="1"/>
    </x:xf>
    <x:xf numFmtId="0" fontId="7" fillId="3" borderId="30" xfId="0" applyNumberFormat="1" applyFont="1" applyFill="1" applyBorder="1" applyAlignment="1">
      <x:alignment vertical="top" wrapText="1"/>
    </x:xf>
    <x:xf numFmtId="203" fontId="7" fillId="3" borderId="30" xfId="0" applyNumberFormat="1" applyFont="1" applyFill="1" applyBorder="1" applyAlignment="1">
      <x:alignment vertical="top" wrapText="1"/>
    </x:xf>
    <x:xf numFmtId="0" fontId="1" fillId="3" borderId="27" xfId="0" applyNumberFormat="1" applyFont="1" applyFill="1" applyBorder="1" applyAlignment="1">
      <x:alignment vertical="top" wrapText="1"/>
    </x:xf>
    <x:xf numFmtId="203" fontId="1" fillId="30" borderId="27" xfId="0" applyNumberFormat="1" applyFont="1" applyFill="1" applyBorder="1" applyAlignment="1">
      <x:alignment vertical="top" wrapText="1"/>
    </x:xf>
    <x:xf numFmtId="0" fontId="7" fillId="3" borderId="27" xfId="0" applyNumberFormat="1" applyFont="1" applyFill="1" applyBorder="1" applyAlignment="1">
      <x:alignment vertical="top" wrapText="1"/>
    </x:xf>
    <x:xf numFmtId="203" fontId="7" fillId="30" borderId="27" xfId="0" applyNumberFormat="1" applyFont="1" applyFill="1" applyBorder="1" applyAlignment="1">
      <x:alignment vertical="top" wrapText="1"/>
    </x:xf>
    <x:xf numFmtId="0" fontId="1" fillId="3" borderId="28" xfId="0" applyNumberFormat="1" applyFont="1" applyFill="1" applyBorder="1" applyAlignment="1">
      <x:alignment vertical="top" wrapText="1"/>
    </x:xf>
    <x:xf numFmtId="203" fontId="1" fillId="30" borderId="28" xfId="0" applyNumberFormat="1" applyFont="1" applyFill="1" applyBorder="1" applyAlignment="1">
      <x:alignment vertical="top" wrapText="1"/>
    </x:xf>
    <x:xf numFmtId="0" fontId="7" fillId="3" borderId="22" xfId="0" applyNumberFormat="1" applyFont="1" applyFill="1" applyBorder="1" applyAlignment="1">
      <x:alignment vertical="top" wrapText="1"/>
    </x:xf>
    <x:xf numFmtId="203" fontId="7" fillId="3" borderId="22" xfId="0" applyNumberFormat="1" applyFont="1" applyFill="1" applyBorder="1" applyAlignment="1">
      <x:alignment vertical="top" wrapText="1"/>
    </x:xf>
    <x:xf numFmtId="0" fontId="1" fillId="3" borderId="22" xfId="0" applyNumberFormat="1" applyFont="1" applyFill="1" applyBorder="1" applyAlignment="1">
      <x:alignment vertical="top" wrapText="1"/>
    </x:xf>
    <x:xf numFmtId="203" fontId="1" fillId="30" borderId="22" xfId="0" applyNumberFormat="1" applyFont="1" applyFill="1" applyBorder="1" applyAlignment="1">
      <x:alignment vertical="top" wrapText="1"/>
    </x:xf>
    <x:xf numFmtId="203" fontId="7" fillId="30" borderId="22" xfId="0" applyNumberFormat="1" applyFont="1" applyFill="1" applyBorder="1" applyAlignment="1">
      <x:alignment vertical="top" wrapText="1"/>
    </x:xf>
    <x:xf numFmtId="0" fontId="1" fillId="30" borderId="6" xfId="0" applyNumberFormat="1" applyFont="1" applyFill="1" applyBorder="1" applyAlignment="1">
      <x:alignment vertical="top" wrapText="1"/>
    </x:xf>
    <x:xf numFmtId="0" fontId="21" fillId="3" borderId="5" xfId="0" applyNumberFormat="1" applyFont="1" applyFill="1" applyBorder="1" applyAlignment="1">
      <x:alignment horizontal="left" vertical="top" wrapText="1"/>
    </x:xf>
    <x:xf numFmtId="0" fontId="21" fillId="30" borderId="6" xfId="0" applyNumberFormat="1" applyFont="1" applyFill="1" applyBorder="1" applyAlignment="1">
      <x:alignment horizontal="left" vertical="top" wrapText="1"/>
    </x:xf>
    <x:xf numFmtId="0" fontId="1" fillId="30" borderId="9" xfId="0" applyNumberFormat="1" applyFont="1" applyFill="1" applyBorder="1" applyAlignment="1">
      <x:alignment vertical="top" wrapText="1"/>
    </x:xf>
    <x:xf numFmtId="0" fontId="1" fillId="30" borderId="15" xfId="0" applyNumberFormat="1" applyFont="1" applyFill="1" applyBorder="1" applyAlignment="1">
      <x:alignment vertical="top" wrapText="1"/>
    </x:xf>
    <x:xf numFmtId="0" fontId="21" fillId="3" borderId="13" xfId="0" applyNumberFormat="1" applyFont="1" applyFill="1" applyBorder="1" applyAlignment="1">
      <x:alignment horizontal="left" vertical="top" wrapText="1"/>
    </x:xf>
    <x:xf numFmtId="0" fontId="21" fillId="30" borderId="15" xfId="0" applyNumberFormat="1" applyFont="1" applyFill="1" applyBorder="1" applyAlignment="1">
      <x:alignment horizontal="left" vertical="top" wrapText="1"/>
    </x:xf>
    <x:xf numFmtId="0" fontId="1" fillId="30" borderId="18" xfId="0" applyNumberFormat="1" applyFont="1" applyFill="1" applyBorder="1" applyAlignment="1">
      <x:alignment vertical="top" wrapText="1"/>
    </x:xf>
    <x:xf numFmtId="0" fontId="1" fillId="30" borderId="20" xfId="0" applyNumberFormat="1" applyFont="1" applyFill="1" applyBorder="1" applyAlignment="1">
      <x:alignment vertical="top" wrapText="1"/>
    </x:xf>
    <x:xf numFmtId="0" fontId="21" fillId="3" borderId="20" xfId="0" applyNumberFormat="1" applyFont="1" applyFill="1" applyBorder="1" applyAlignment="1">
      <x:alignment horizontal="left" vertical="top" wrapText="1"/>
    </x:xf>
    <x:xf numFmtId="0" fontId="21" fillId="30" borderId="20" xfId="0" applyNumberFormat="1" applyFont="1" applyFill="1" applyBorder="1" applyAlignment="1">
      <x:alignment horizontal="left" vertical="top" wrapText="1"/>
    </x:xf>
    <x:xf numFmtId="0" fontId="1" fillId="30" borderId="21" xfId="0" applyNumberFormat="1" applyFont="1" applyFill="1" applyBorder="1" applyAlignment="1">
      <x:alignment vertical="top" wrapText="1"/>
    </x:xf>
    <x:xf numFmtId="0" fontId="1" fillId="30" borderId="27" xfId="0" applyNumberFormat="1" applyFont="1" applyFill="1" applyBorder="1" applyAlignment="1">
      <x:alignment vertical="top" wrapText="1"/>
    </x:xf>
    <x:xf numFmtId="0" fontId="21" fillId="3" borderId="27" xfId="0" applyNumberFormat="1" applyFont="1" applyFill="1" applyBorder="1" applyAlignment="1">
      <x:alignment horizontal="left" vertical="top" wrapText="1"/>
    </x:xf>
    <x:xf numFmtId="0" fontId="21" fillId="30" borderId="27" xfId="0" applyNumberFormat="1" applyFont="1" applyFill="1" applyBorder="1" applyAlignment="1">
      <x:alignment horizontal="left" vertical="top" wrapText="1"/>
    </x:xf>
    <x:xf numFmtId="0" fontId="1" fillId="30" borderId="28" xfId="0" applyNumberFormat="1" applyFont="1" applyFill="1" applyBorder="1" applyAlignment="1">
      <x:alignment vertical="top" wrapText="1"/>
    </x:xf>
    <x:xf numFmtId="0" fontId="1" fillId="30" borderId="22" xfId="0" applyNumberFormat="1" applyFont="1" applyFill="1" applyBorder="1" applyAlignment="1">
      <x:alignment vertical="top" wrapText="1"/>
    </x:xf>
    <x:xf numFmtId="0" fontId="21" fillId="3" borderId="22" xfId="0" applyNumberFormat="1" applyFont="1" applyFill="1" applyBorder="1" applyAlignment="1">
      <x:alignment horizontal="left" vertical="top" wrapText="1"/>
    </x:xf>
    <x:xf numFmtId="0" fontId="21" fillId="30" borderId="22" xfId="0" applyNumberFormat="1" applyFont="1" applyFill="1" applyBorder="1" applyAlignment="1">
      <x:alignment horizontal="left" vertical="top" wrapText="1"/>
    </x:xf>
    <x:xf numFmtId="203" fontId="34" fillId="3" borderId="19" xfId="0" applyNumberFormat="1" applyFont="1" applyFill="1" applyBorder="1" applyAlignment="1">
      <x:alignment vertical="top" wrapText="1"/>
    </x:xf>
    <x:xf numFmtId="203" fontId="34" fillId="3" borderId="20" xfId="0" applyNumberFormat="1" applyFont="1" applyFill="1" applyBorder="1" applyAlignment="1">
      <x:alignment vertical="top" wrapText="1"/>
    </x:xf>
    <x:xf numFmtId="203" fontId="35" fillId="3" borderId="20" xfId="0" applyNumberFormat="1" applyFont="1" applyFill="1" applyBorder="1" applyAlignment="1">
      <x:alignment vertical="top" wrapText="1"/>
    </x:xf>
    <x:xf numFmtId="0" fontId="34" fillId="3" borderId="20" xfId="0" applyNumberFormat="1" applyFont="1" applyFill="1" applyBorder="1" applyAlignment="1">
      <x:alignment vertical="top" wrapText="1"/>
    </x:xf>
    <x:xf numFmtId="0" fontId="36" fillId="3" borderId="20" xfId="0" applyNumberFormat="1" applyFont="1" applyFill="1" applyBorder="1" applyAlignment="1">
      <x:alignment horizontal="left" vertical="top" wrapText="1"/>
    </x:xf>
    <x:xf numFmtId="0" fontId="34" fillId="3" borderId="21" xfId="0" applyNumberFormat="1" applyFont="1" applyFill="1" applyBorder="1" applyAlignment="1">
      <x:alignment vertical="top" wrapText="1"/>
    </x:xf>
    <x:xf numFmtId="203" fontId="34" fillId="3" borderId="30" xfId="0" applyNumberFormat="1" applyFont="1" applyFill="1" applyBorder="1" applyAlignment="1">
      <x:alignment vertical="top" wrapText="1"/>
    </x:xf>
    <x:xf numFmtId="203" fontId="34" fillId="3" borderId="27" xfId="0" applyNumberFormat="1" applyFont="1" applyFill="1" applyBorder="1" applyAlignment="1">
      <x:alignment vertical="top" wrapText="1"/>
    </x:xf>
    <x:xf numFmtId="203" fontId="35" fillId="3" borderId="27" xfId="0" applyNumberFormat="1" applyFont="1" applyFill="1" applyBorder="1" applyAlignment="1">
      <x:alignment vertical="top" wrapText="1"/>
    </x:xf>
    <x:xf numFmtId="0" fontId="34" fillId="3" borderId="27" xfId="0" applyNumberFormat="1" applyFont="1" applyFill="1" applyBorder="1" applyAlignment="1">
      <x:alignment vertical="top" wrapText="1"/>
    </x:xf>
    <x:xf numFmtId="0" fontId="36" fillId="3" borderId="27" xfId="0" applyNumberFormat="1" applyFont="1" applyFill="1" applyBorder="1" applyAlignment="1">
      <x:alignment horizontal="left" vertical="top" wrapText="1"/>
    </x:xf>
    <x:xf numFmtId="0" fontId="34" fillId="3" borderId="28" xfId="0" applyNumberFormat="1" applyFont="1" applyFill="1" applyBorder="1" applyAlignment="1">
      <x:alignment vertical="top" wrapText="1"/>
    </x:xf>
    <x:xf numFmtId="203" fontId="34" fillId="3" borderId="22" xfId="0" applyNumberFormat="1" applyFont="1" applyFill="1" applyBorder="1" applyAlignment="1">
      <x:alignment vertical="top" wrapText="1"/>
    </x:xf>
    <x:xf numFmtId="203" fontId="35" fillId="3" borderId="22" xfId="0" applyNumberFormat="1" applyFont="1" applyFill="1" applyBorder="1" applyAlignment="1">
      <x:alignment vertical="top" wrapText="1"/>
    </x:xf>
    <x:xf numFmtId="0" fontId="34" fillId="3" borderId="22" xfId="0" applyNumberFormat="1" applyFont="1" applyFill="1" applyBorder="1" applyAlignment="1">
      <x:alignment vertical="top" wrapText="1"/>
    </x:xf>
    <x:xf numFmtId="0" fontId="36" fillId="3" borderId="22" xfId="0" applyNumberFormat="1" applyFont="1" applyFill="1" applyBorder="1" applyAlignment="1">
      <x:alignment horizontal="left" vertical="top" wrapText="1"/>
    </x:xf>
    <x:xf numFmtId="0" fontId="1" fillId="3" borderId="2" xfId="0" applyNumberFormat="1" applyFont="1" applyFill="1" applyBorder="1" applyAlignment="1">
      <x:alignment vertical="center" wrapText="1"/>
    </x:xf>
    <x:xf numFmtId="0" fontId="1" fillId="3" borderId="3" xfId="0" applyNumberFormat="1" applyFont="1" applyFill="1" applyBorder="1" applyAlignment="1">
      <x:alignment horizontal="left" vertical="center" wrapText="1"/>
    </x:xf>
    <x:xf numFmtId="203" fontId="1" fillId="3" borderId="3" xfId="0" applyNumberFormat="1" applyFont="1" applyFill="1" applyBorder="1" applyAlignment="1">
      <x:alignment vertical="center" wrapText="1"/>
    </x:xf>
    <x:xf numFmtId="203" fontId="1" fillId="3" borderId="3" xfId="0" applyNumberFormat="1" applyFont="1" applyFill="1" applyBorder="1" applyAlignment="1">
      <x:alignment horizontal="right" vertical="center" wrapText="1"/>
    </x:xf>
    <x:xf numFmtId="203" fontId="1" fillId="3" borderId="4" xfId="0" applyNumberFormat="1" applyFont="1" applyFill="1" applyBorder="1" applyAlignment="1">
      <x:alignment horizontal="right" vertical="center" wrapText="1"/>
    </x:xf>
    <x:xf numFmtId="0" fontId="7" fillId="3" borderId="5" xfId="0" applyNumberFormat="1" applyFont="1" applyFill="1" applyBorder="1" applyAlignment="1">
      <x:alignment horizontal="left" vertical="center" wrapText="1"/>
    </x:xf>
    <x:xf numFmtId="0" fontId="7" fillId="3" borderId="5" xfId="0" applyNumberFormat="1" applyFont="1" applyFill="1" applyBorder="1" applyAlignment="1">
      <x:alignment vertical="center" wrapText="1"/>
    </x:xf>
    <x:xf numFmtId="0" fontId="1" fillId="3" borderId="7" xfId="0" applyNumberFormat="1" applyFont="1" applyFill="1" applyBorder="1" applyAlignment="1">
      <x:alignment vertical="center" wrapText="1"/>
    </x:xf>
    <x:xf numFmtId="0" fontId="1" fillId="3" borderId="8" xfId="0" applyNumberFormat="1" applyFont="1" applyFill="1" applyBorder="1" applyAlignment="1">
      <x:alignment horizontal="left" vertical="center" wrapText="1"/>
    </x:xf>
    <x:xf numFmtId="203" fontId="1" fillId="3" borderId="8" xfId="0" applyNumberFormat="1" applyFont="1" applyFill="1" applyBorder="1" applyAlignment="1">
      <x:alignment vertical="center" wrapText="1"/>
    </x:xf>
    <x:xf numFmtId="203" fontId="1" fillId="3" borderId="8" xfId="0" applyNumberFormat="1" applyFont="1" applyFill="1" applyBorder="1" applyAlignment="1">
      <x:alignment horizontal="right" vertical="center" wrapText="1"/>
    </x:xf>
    <x:xf numFmtId="203" fontId="1" fillId="3" borderId="9" xfId="0" applyNumberFormat="1" applyFont="1" applyFill="1" applyBorder="1" applyAlignment="1">
      <x:alignment horizontal="right" vertical="center" wrapText="1"/>
    </x:xf>
    <x:xf numFmtId="0" fontId="1" fillId="3" borderId="10" xfId="0" applyNumberFormat="1" applyFont="1" applyFill="1" applyBorder="1" applyAlignment="1">
      <x:alignment vertical="center" wrapText="1"/>
    </x:xf>
    <x:xf numFmtId="0" fontId="1" fillId="3" borderId="11" xfId="0" applyNumberFormat="1" applyFont="1" applyFill="1" applyBorder="1" applyAlignment="1">
      <x:alignment horizontal="left" vertical="center" wrapText="1"/>
    </x:xf>
    <x:xf numFmtId="203" fontId="1" fillId="3" borderId="11" xfId="0" applyNumberFormat="1" applyFont="1" applyFill="1" applyBorder="1" applyAlignment="1">
      <x:alignment vertical="center" wrapText="1"/>
    </x:xf>
    <x:xf numFmtId="203" fontId="1" fillId="3" borderId="11" xfId="0" applyNumberFormat="1" applyFont="1" applyFill="1" applyBorder="1" applyAlignment="1">
      <x:alignment horizontal="right" vertical="center" wrapText="1"/>
    </x:xf>
    <x:xf numFmtId="203" fontId="1" fillId="3" borderId="12" xfId="0" applyNumberFormat="1" applyFont="1" applyFill="1" applyBorder="1" applyAlignment="1">
      <x:alignment horizontal="right" vertical="center" wrapText="1"/>
    </x:xf>
    <x:xf numFmtId="0" fontId="7" fillId="3" borderId="13" xfId="0" applyNumberFormat="1" applyFont="1" applyFill="1" applyBorder="1" applyAlignment="1">
      <x:alignment horizontal="left" vertical="center" wrapText="1"/>
    </x:xf>
    <x:xf numFmtId="0" fontId="7" fillId="3" borderId="14" xfId="0" applyNumberFormat="1" applyFont="1" applyFill="1" applyBorder="1" applyAlignment="1">
      <x:alignment horizontal="left" vertical="center" wrapText="1"/>
    </x:xf>
    <x:xf numFmtId="203" fontId="7" fillId="3" borderId="14" xfId="0" applyNumberFormat="1" applyFont="1" applyFill="1" applyBorder="1" applyAlignment="1">
      <x:alignment horizontal="left" vertical="center" wrapText="1"/>
    </x:xf>
    <x:xf numFmtId="0" fontId="1" fillId="3" borderId="13" xfId="0" applyNumberFormat="1" applyFont="1" applyFill="1" applyBorder="1" applyAlignment="1">
      <x:alignment vertical="center" wrapText="1"/>
    </x:xf>
    <x:xf numFmtId="0" fontId="1" fillId="3" borderId="14" xfId="0" applyNumberFormat="1" applyFont="1" applyFill="1" applyBorder="1" applyAlignment="1">
      <x:alignment horizontal="left" vertical="center" wrapText="1"/>
    </x:xf>
    <x:xf numFmtId="0" fontId="7" fillId="3" borderId="13" xfId="0" applyNumberFormat="1" applyFont="1" applyFill="1" applyBorder="1" applyAlignment="1">
      <x:alignment vertical="center" wrapText="1"/>
    </x:xf>
    <x:xf numFmtId="0" fontId="1" fillId="3" borderId="16" xfId="0" applyNumberFormat="1" applyFont="1" applyFill="1" applyBorder="1" applyAlignment="1">
      <x:alignment vertical="center" wrapText="1"/>
    </x:xf>
    <x:xf numFmtId="0" fontId="1" fillId="3" borderId="17" xfId="0" applyNumberFormat="1" applyFont="1" applyFill="1" applyBorder="1" applyAlignment="1">
      <x:alignment horizontal="left" vertical="center" wrapText="1"/>
    </x:xf>
    <x:xf numFmtId="203" fontId="1" fillId="3" borderId="17" xfId="0" applyNumberFormat="1" applyFont="1" applyFill="1" applyBorder="1" applyAlignment="1">
      <x:alignment vertical="center" wrapText="1"/>
    </x:xf>
    <x:xf numFmtId="203" fontId="1" fillId="3" borderId="17" xfId="0" applyNumberFormat="1" applyFont="1" applyFill="1" applyBorder="1" applyAlignment="1">
      <x:alignment horizontal="right" vertical="center" wrapText="1"/>
    </x:xf>
    <x:xf numFmtId="203" fontId="1" fillId="3" borderId="18" xfId="0" applyNumberFormat="1" applyFont="1" applyFill="1" applyBorder="1" applyAlignment="1">
      <x:alignment horizontal="right" vertical="center" wrapText="1"/>
    </x:xf>
    <x:xf numFmtId="0" fontId="1" fillId="3" borderId="19" xfId="0" applyNumberFormat="1" applyFont="1" applyFill="1" applyBorder="1" applyAlignment="1">
      <x:alignment vertical="center" wrapText="1"/>
    </x:xf>
    <x:xf numFmtId="0" fontId="1" fillId="3" borderId="19" xfId="0" applyNumberFormat="1" applyFont="1" applyFill="1" applyBorder="1" applyAlignment="1">
      <x:alignment horizontal="left" vertical="center" wrapText="1"/>
    </x:xf>
    <x:xf numFmtId="203" fontId="1" fillId="3" borderId="19" xfId="0" applyNumberFormat="1" applyFont="1" applyFill="1" applyBorder="1" applyAlignment="1">
      <x:alignment vertical="center" wrapText="1"/>
    </x:xf>
    <x:xf numFmtId="203" fontId="1" fillId="3" borderId="19" xfId="0" applyNumberFormat="1" applyFont="1" applyFill="1" applyBorder="1" applyAlignment="1">
      <x:alignment horizontal="right" vertical="center" wrapText="1"/>
    </x:xf>
    <x:xf numFmtId="0" fontId="7" fillId="3" borderId="20" xfId="0" applyNumberFormat="1" applyFont="1" applyFill="1" applyBorder="1" applyAlignment="1">
      <x:alignment horizontal="left" vertical="center" wrapText="1"/>
    </x:xf>
    <x:xf numFmtId="203" fontId="7" fillId="3" borderId="20" xfId="0" applyNumberFormat="1" applyFont="1" applyFill="1" applyBorder="1" applyAlignment="1">
      <x:alignment horizontal="left" vertical="center" wrapText="1"/>
    </x:xf>
    <x:xf numFmtId="0" fontId="1" fillId="3" borderId="20" xfId="0" applyNumberFormat="1" applyFont="1" applyFill="1" applyBorder="1" applyAlignment="1">
      <x:alignment horizontal="left" vertical="center" wrapText="1"/>
    </x:xf>
    <x:xf numFmtId="0" fontId="1" fillId="3" borderId="21" xfId="0" applyNumberFormat="1" applyFont="1" applyFill="1" applyBorder="1" applyAlignment="1">
      <x:alignment horizontal="left" vertical="center" wrapText="1"/>
    </x:xf>
    <x:xf numFmtId="203" fontId="1" fillId="3" borderId="21" xfId="0" applyNumberFormat="1" applyFont="1" applyFill="1" applyBorder="1" applyAlignment="1">
      <x:alignment vertical="center" wrapText="1"/>
    </x:xf>
    <x:xf numFmtId="203" fontId="1" fillId="3" borderId="21" xfId="0" applyNumberFormat="1" applyFont="1" applyFill="1" applyBorder="1" applyAlignment="1">
      <x:alignment horizontal="right" vertical="center" wrapText="1"/>
    </x:xf>
    <x:xf numFmtId="0" fontId="1" fillId="3" borderId="30" xfId="0" applyNumberFormat="1" applyFont="1" applyFill="1" applyBorder="1" applyAlignment="1">
      <x:alignment vertical="center" wrapText="1"/>
    </x:xf>
    <x:xf numFmtId="0" fontId="1" fillId="3" borderId="30" xfId="0" applyNumberFormat="1" applyFont="1" applyFill="1" applyBorder="1" applyAlignment="1">
      <x:alignment horizontal="left" vertical="center" wrapText="1"/>
    </x:xf>
    <x:xf numFmtId="203" fontId="1" fillId="3" borderId="30" xfId="0" applyNumberFormat="1" applyFont="1" applyFill="1" applyBorder="1" applyAlignment="1">
      <x:alignment vertical="center" wrapText="1"/>
    </x:xf>
    <x:xf numFmtId="203" fontId="1" fillId="3" borderId="30" xfId="0" applyNumberFormat="1" applyFont="1" applyFill="1" applyBorder="1" applyAlignment="1">
      <x:alignment horizontal="right" vertical="center" wrapText="1"/>
    </x:xf>
    <x:xf numFmtId="0" fontId="7" fillId="3" borderId="27" xfId="0" applyNumberFormat="1" applyFont="1" applyFill="1" applyBorder="1" applyAlignment="1">
      <x:alignment horizontal="left" vertical="center" wrapText="1"/>
    </x:xf>
    <x:xf numFmtId="203" fontId="7" fillId="3" borderId="27" xfId="0" applyNumberFormat="1" applyFont="1" applyFill="1" applyBorder="1" applyAlignment="1">
      <x:alignment horizontal="left" vertical="center" wrapText="1"/>
    </x:xf>
    <x:xf numFmtId="0" fontId="1" fillId="3" borderId="27" xfId="0" applyNumberFormat="1" applyFont="1" applyFill="1" applyBorder="1" applyAlignment="1">
      <x:alignment vertical="center" wrapText="1"/>
    </x:xf>
    <x:xf numFmtId="0" fontId="1" fillId="3" borderId="27" xfId="0" applyNumberFormat="1" applyFont="1" applyFill="1" applyBorder="1" applyAlignment="1">
      <x:alignment horizontal="left" vertical="center" wrapText="1"/>
    </x:xf>
    <x:xf numFmtId="203" fontId="1" fillId="3" borderId="27" xfId="0" applyNumberFormat="1" applyFont="1" applyFill="1" applyBorder="1" applyAlignment="1">
      <x:alignment vertical="center" wrapText="1"/>
    </x:xf>
    <x:xf numFmtId="0" fontId="7" fillId="3" borderId="27" xfId="0" applyNumberFormat="1" applyFont="1" applyFill="1" applyBorder="1" applyAlignment="1">
      <x:alignment vertical="center" wrapText="1"/>
    </x:xf>
    <x:xf numFmtId="203" fontId="7" fillId="3" borderId="27" xfId="0" applyNumberFormat="1" applyFont="1" applyFill="1" applyBorder="1" applyAlignment="1">
      <x:alignment vertical="center" wrapText="1"/>
    </x:xf>
    <x:xf numFmtId="0" fontId="7" fillId="3" borderId="27" xfId="0" applyNumberFormat="1" applyFont="1" applyFill="1" applyBorder="1" applyAlignment="1">
      <x:alignment horizontal="center" vertical="center" wrapText="1"/>
    </x:xf>
    <x:xf numFmtId="203" fontId="7" fillId="3" borderId="27" xfId="0" applyNumberFormat="1" applyFont="1" applyFill="1" applyBorder="1" applyAlignment="1">
      <x:alignment horizontal="center" vertical="center" wrapText="1"/>
    </x:xf>
    <x:xf numFmtId="0" fontId="1" fillId="3" borderId="28" xfId="0" applyNumberFormat="1" applyFont="1" applyFill="1" applyBorder="1" applyAlignment="1">
      <x:alignment horizontal="left" vertical="center" wrapText="1"/>
    </x:xf>
    <x:xf numFmtId="203" fontId="1" fillId="3" borderId="28" xfId="0" applyNumberFormat="1" applyFont="1" applyFill="1" applyBorder="1" applyAlignment="1">
      <x:alignment vertical="center" wrapText="1"/>
    </x:xf>
    <x:xf numFmtId="203" fontId="1" fillId="3" borderId="28" xfId="0" applyNumberFormat="1" applyFont="1" applyFill="1" applyBorder="1" applyAlignment="1">
      <x:alignment horizontal="right" vertical="center" wrapText="1"/>
    </x:xf>
    <x:xf numFmtId="0" fontId="1" fillId="3" borderId="22" xfId="0" applyNumberFormat="1" applyFont="1" applyFill="1" applyBorder="1" applyAlignment="1">
      <x:alignment horizontal="left" vertical="center" wrapText="1"/>
    </x:xf>
    <x:xf numFmtId="203" fontId="1" fillId="3" borderId="22" xfId="0" applyNumberFormat="1" applyFont="1" applyFill="1" applyBorder="1" applyAlignment="1">
      <x:alignment vertical="center" wrapText="1"/>
    </x:xf>
    <x:xf numFmtId="0" fontId="7" fillId="3" borderId="22" xfId="0" applyNumberFormat="1" applyFont="1" applyFill="1" applyBorder="1" applyAlignment="1">
      <x:alignment horizontal="left" vertical="center" wrapText="1"/>
    </x:xf>
    <x:xf numFmtId="203" fontId="7" fillId="3" borderId="22" xfId="0" applyNumberFormat="1" applyFont="1" applyFill="1" applyBorder="1" applyAlignment="1">
      <x:alignment horizontal="left" vertical="center" wrapText="1"/>
    </x:xf>
    <x:xf numFmtId="0" fontId="7" fillId="3" borderId="2" xfId="0" applyNumberFormat="1" applyFont="1" applyFill="1" applyBorder="1" applyAlignment="1">
      <x:alignment vertical="center" wrapText="1"/>
    </x:xf>
    <x:xf numFmtId="0" fontId="7" fillId="3" borderId="3" xfId="0" applyNumberFormat="1" applyFont="1" applyFill="1" applyBorder="1" applyAlignment="1">
      <x:alignment horizontal="left" vertical="center" wrapText="1"/>
    </x:xf>
    <x:xf numFmtId="203" fontId="7" fillId="3" borderId="3" xfId="0" applyNumberFormat="1" applyFont="1" applyFill="1" applyBorder="1" applyAlignment="1">
      <x:alignment vertical="center" wrapText="1"/>
    </x:xf>
    <x:xf numFmtId="203" fontId="7" fillId="3" borderId="3" xfId="0" applyNumberFormat="1" applyFont="1" applyFill="1" applyBorder="1" applyAlignment="1">
      <x:alignment horizontal="right" vertical="center" wrapText="1"/>
    </x:xf>
    <x:xf numFmtId="203" fontId="7" fillId="3" borderId="4" xfId="0" applyNumberFormat="1" applyFont="1" applyFill="1" applyBorder="1" applyAlignment="1">
      <x:alignment horizontal="right" vertical="center" wrapText="1"/>
    </x:xf>
    <x:xf numFmtId="0" fontId="21" fillId="3" borderId="5" xfId="0" applyNumberFormat="1" applyFont="1" applyFill="1" applyBorder="1" applyAlignment="1">
      <x:alignment horizontal="left" vertical="center" wrapText="1"/>
    </x:xf>
    <x:xf numFmtId="0" fontId="7" fillId="3" borderId="10" xfId="0" applyNumberFormat="1" applyFont="1" applyFill="1" applyBorder="1" applyAlignment="1">
      <x:alignment vertical="center" wrapText="1"/>
    </x:xf>
    <x:xf numFmtId="0" fontId="7" fillId="3" borderId="11" xfId="0" applyNumberFormat="1" applyFont="1" applyFill="1" applyBorder="1" applyAlignment="1">
      <x:alignment horizontal="left" vertical="center" wrapText="1"/>
    </x:xf>
    <x:xf numFmtId="203" fontId="7" fillId="3" borderId="11" xfId="0" applyNumberFormat="1" applyFont="1" applyFill="1" applyBorder="1" applyAlignment="1">
      <x:alignment vertical="center" wrapText="1"/>
    </x:xf>
    <x:xf numFmtId="203" fontId="7" fillId="3" borderId="11" xfId="0" applyNumberFormat="1" applyFont="1" applyFill="1" applyBorder="1" applyAlignment="1">
      <x:alignment horizontal="right" vertical="center" wrapText="1"/>
    </x:xf>
    <x:xf numFmtId="203" fontId="7" fillId="3" borderId="12" xfId="0" applyNumberFormat="1" applyFont="1" applyFill="1" applyBorder="1" applyAlignment="1">
      <x:alignment horizontal="right" vertical="center" wrapText="1"/>
    </x:xf>
    <x:xf numFmtId="0" fontId="21" fillId="3" borderId="13" xfId="0" applyNumberFormat="1" applyFont="1" applyFill="1" applyBorder="1" applyAlignment="1">
      <x:alignment horizontal="left" vertical="center" wrapText="1"/>
    </x:xf>
    <x:xf numFmtId="0" fontId="7" fillId="3" borderId="19" xfId="0" applyNumberFormat="1" applyFont="1" applyFill="1" applyBorder="1" applyAlignment="1">
      <x:alignment horizontal="left" vertical="center" wrapText="1"/>
    </x:xf>
    <x:xf numFmtId="203" fontId="7" fillId="3" borderId="19" xfId="0" applyNumberFormat="1" applyFont="1" applyFill="1" applyBorder="1" applyAlignment="1">
      <x:alignment horizontal="right" vertical="center" wrapText="1"/>
    </x:xf>
    <x:xf numFmtId="0" fontId="7" fillId="3" borderId="30" xfId="0" applyNumberFormat="1" applyFont="1" applyFill="1" applyBorder="1" applyAlignment="1">
      <x:alignment horizontal="left" vertical="center" wrapText="1"/>
    </x:xf>
    <x:xf numFmtId="0" fontId="21" fillId="3" borderId="27" xfId="0" applyNumberFormat="1" applyFont="1" applyFill="1" applyBorder="1" applyAlignment="1">
      <x:alignment horizontal="left" vertical="center" wrapText="1"/>
    </x:xf>
    <x:xf numFmtId="0" fontId="21" fillId="3" borderId="22" xfId="0" applyNumberFormat="1" applyFont="1" applyFill="1" applyBorder="1" applyAlignment="1">
      <x:alignment horizontal="left" vertical="center" wrapText="1"/>
    </x:xf>
    <x:xf numFmtId="0" fontId="1" fillId="3" borderId="3" xfId="0" applyNumberFormat="1" applyFont="1" applyFill="1" applyBorder="1" applyAlignment="1">
      <x:alignment vertical="center" wrapText="1"/>
    </x:xf>
    <x:xf numFmtId="0" fontId="1" fillId="3" borderId="11" xfId="0" applyNumberFormat="1" applyFont="1" applyFill="1" applyBorder="1" applyAlignment="1">
      <x:alignment vertical="center" wrapText="1"/>
    </x:xf>
    <x:xf numFmtId="0" fontId="7" fillId="3" borderId="2" xfId="0" applyNumberFormat="1" applyFont="1" applyFill="1" applyBorder="1" applyAlignment="1">
      <x:alignment horizontal="left" vertical="top" wrapText="0"/>
    </x:xf>
    <x:xf numFmtId="0" fontId="7" fillId="3" borderId="7" xfId="0" applyNumberFormat="1" applyFont="1" applyFill="1" applyBorder="1" applyAlignment="1">
      <x:alignment horizontal="left" vertical="top" wrapText="0"/>
    </x:xf>
    <x:xf numFmtId="0" fontId="7" fillId="3" borderId="22" xfId="0" applyNumberFormat="1" applyFont="1" applyFill="1" applyBorder="1" applyAlignment="1">
      <x:alignment horizontal="left" vertical="center" wrapText="0"/>
    </x:xf>
    <x:xf numFmtId="203" fontId="7" fillId="3" borderId="4" xfId="0" applyNumberFormat="1" applyFont="1" applyFill="1" applyBorder="1" applyAlignment="1">
      <x:alignment horizontal="left" vertical="top" wrapText="0"/>
    </x:xf>
    <x:xf numFmtId="203" fontId="7" fillId="3" borderId="9" xfId="0" applyNumberFormat="1" applyFont="1" applyFill="1" applyBorder="1" applyAlignment="1">
      <x:alignment horizontal="left" vertical="top" wrapText="0"/>
    </x:xf>
    <x:xf numFmtId="0" fontId="7" fillId="31" xfId="0" applyNumberFormat="1" applyFont="1" applyFill="1" applyBorder="0" applyAlignment="1">
      <x:alignment horizontal="left" vertical="center" wrapText="0"/>
    </x:xf>
    <x:xf numFmtId="203" fontId="7" fillId="31" xfId="0" applyNumberFormat="1" applyFont="1" applyFill="1" applyBorder="0" applyAlignment="1">
      <x:alignment horizontal="left" vertical="center" wrapText="0"/>
    </x:xf>
    <x:xf numFmtId="0" fontId="37" fillId="31" xfId="0" applyNumberFormat="1" applyFont="1" applyFill="1" applyBorder="0" applyAlignment="1">
      <x:alignment horizontal="left" vertical="center" wrapText="0"/>
    </x:xf>
    <x:xf numFmtId="203" fontId="37" fillId="31" xfId="0" applyNumberFormat="1" applyFont="1" applyFill="1" applyBorder="0" applyAlignment="1">
      <x:alignment horizontal="left" vertical="center" wrapText="0"/>
    </x:xf>
    <x:xf numFmtId="0" fontId="37" fillId="31" xfId="0" applyNumberFormat="1" applyFont="1" applyFill="1" applyBorder="0" applyAlignment="1">
      <x:alignment horizontal="center" vertical="center" wrapText="0"/>
    </x:xf>
    <x:xf numFmtId="203" fontId="37" fillId="31" xfId="0" applyNumberFormat="1" applyFont="1" applyFill="1" applyBorder="0" applyAlignment="1">
      <x:alignment horizontal="center" vertical="center" wrapText="0"/>
    </x:xf>
    <x:xf numFmtId="0" fontId="7" fillId="32" borderId="2" xfId="0" applyNumberFormat="1" applyFont="1" applyFill="1" applyBorder="1" applyAlignment="1">
      <x:alignment horizontal="left" vertical="center" wrapText="0"/>
    </x:xf>
    <x:xf numFmtId="0" fontId="7" fillId="32" borderId="3" xfId="0" applyNumberFormat="1" applyFont="1" applyFill="1" applyBorder="1" applyAlignment="1">
      <x:alignment horizontal="left" vertical="center" wrapText="0"/>
    </x:xf>
    <x:xf numFmtId="203" fontId="7" fillId="32" borderId="3" xfId="0" applyNumberFormat="1" applyFont="1" applyFill="1" applyBorder="1" applyAlignment="1">
      <x:alignment horizontal="left" vertical="center" wrapText="0"/>
    </x:xf>
    <x:xf numFmtId="203" fontId="7" fillId="32" borderId="4" xfId="0" applyNumberFormat="1" applyFont="1" applyFill="1" applyBorder="1" applyAlignment="1">
      <x:alignment horizontal="left" vertical="center" wrapText="0"/>
    </x:xf>
    <x:xf numFmtId="0" fontId="6" fillId="32" borderId="2" xfId="0" applyNumberFormat="1" applyFont="1" applyFill="1" applyBorder="1" applyAlignment="1">
      <x:alignment horizontal="left" vertical="center" wrapText="0"/>
    </x:xf>
    <x:xf numFmtId="0" fontId="6" fillId="32" borderId="3" xfId="0" applyNumberFormat="1" applyFont="1" applyFill="1" applyBorder="1" applyAlignment="1">
      <x:alignment horizontal="left" vertical="center" wrapText="0"/>
    </x:xf>
    <x:xf numFmtId="203" fontId="6" fillId="32" borderId="3" xfId="0" applyNumberFormat="1" applyFont="1" applyFill="1" applyBorder="1" applyAlignment="1">
      <x:alignment horizontal="left" vertical="center" wrapText="0"/>
    </x:xf>
    <x:xf numFmtId="203" fontId="6" fillId="32" borderId="4" xfId="0" applyNumberFormat="1" applyFont="1" applyFill="1" applyBorder="1" applyAlignment="1">
      <x:alignment horizontal="left" vertical="center" wrapText="0"/>
    </x:xf>
    <x:xf numFmtId="0" fontId="6" fillId="32" borderId="2" xfId="0" applyNumberFormat="1" applyFont="1" applyFill="1" applyBorder="1" applyAlignment="1">
      <x:alignment horizontal="center" vertical="center" wrapText="0"/>
    </x:xf>
    <x:xf numFmtId="0" fontId="6" fillId="32" borderId="3" xfId="0" applyNumberFormat="1" applyFont="1" applyFill="1" applyBorder="1" applyAlignment="1">
      <x:alignment horizontal="center" vertical="center" wrapText="0"/>
    </x:xf>
    <x:xf numFmtId="203" fontId="6" fillId="32" borderId="3" xfId="0" applyNumberFormat="1" applyFont="1" applyFill="1" applyBorder="1" applyAlignment="1">
      <x:alignment horizontal="center" vertical="center" wrapText="0"/>
    </x:xf>
    <x:xf numFmtId="203" fontId="6" fillId="32" borderId="4" xfId="0" applyNumberFormat="1" applyFont="1" applyFill="1" applyBorder="1" applyAlignment="1">
      <x:alignment horizontal="center" vertical="center" wrapText="0"/>
    </x:xf>
    <x:xf numFmtId="0" fontId="7" fillId="32" borderId="5" xfId="0" applyNumberFormat="1" applyFont="1" applyFill="1" applyBorder="1" applyAlignment="1">
      <x:alignment horizontal="left" vertical="center" wrapText="0"/>
    </x:xf>
    <x:xf numFmtId="0" fontId="7" fillId="32" xfId="0" applyNumberFormat="1" applyFont="1" applyFill="1" applyBorder="0" applyAlignment="1">
      <x:alignment horizontal="left" vertical="center" wrapText="0"/>
    </x:xf>
    <x:xf numFmtId="203" fontId="7" fillId="32" xfId="0" applyNumberFormat="1" applyFont="1" applyFill="1" applyBorder="0" applyAlignment="1">
      <x:alignment horizontal="left" vertical="center" wrapText="0"/>
    </x:xf>
    <x:xf numFmtId="203" fontId="7" fillId="32" borderId="6" xfId="0" applyNumberFormat="1" applyFont="1" applyFill="1" applyBorder="1" applyAlignment="1">
      <x:alignment horizontal="left" vertical="center" wrapText="0"/>
    </x:xf>
    <x:xf numFmtId="0" fontId="38" fillId="32" borderId="5" xfId="0" applyNumberFormat="1" applyFont="1" applyFill="1" applyBorder="1" applyAlignment="1">
      <x:alignment horizontal="left" vertical="center" wrapText="0"/>
    </x:xf>
    <x:xf numFmtId="0" fontId="38" fillId="32" xfId="0" applyNumberFormat="1" applyFont="1" applyFill="1" applyBorder="0" applyAlignment="1">
      <x:alignment horizontal="left" vertical="center" wrapText="0"/>
    </x:xf>
    <x:xf numFmtId="203" fontId="38" fillId="32" xfId="0" applyNumberFormat="1" applyFont="1" applyFill="1" applyBorder="0" applyAlignment="1">
      <x:alignment horizontal="left" vertical="center" wrapText="0"/>
    </x:xf>
    <x:xf numFmtId="203" fontId="38" fillId="32" borderId="6" xfId="0" applyNumberFormat="1" applyFont="1" applyFill="1" applyBorder="1" applyAlignment="1">
      <x:alignment horizontal="left" vertical="center" wrapText="0"/>
    </x:xf>
    <x:xf numFmtId="0" fontId="38" fillId="32" borderId="5" xfId="0" applyNumberFormat="1" applyFont="1" applyFill="1" applyBorder="1" applyAlignment="1">
      <x:alignment horizontal="center" vertical="center" wrapText="0"/>
    </x:xf>
    <x:xf numFmtId="0" fontId="38" fillId="32" xfId="0" applyNumberFormat="1" applyFont="1" applyFill="1" applyBorder="0" applyAlignment="1">
      <x:alignment horizontal="center" vertical="center" wrapText="0"/>
    </x:xf>
    <x:xf numFmtId="203" fontId="38" fillId="32" xfId="0" applyNumberFormat="1" applyFont="1" applyFill="1" applyBorder="0" applyAlignment="1">
      <x:alignment horizontal="center" vertical="center" wrapText="0"/>
    </x:xf>
    <x:xf numFmtId="203" fontId="38" fillId="32" borderId="6" xfId="0" applyNumberFormat="1" applyFont="1" applyFill="1" applyBorder="1" applyAlignment="1">
      <x:alignment horizontal="center" vertical="center" wrapText="0"/>
    </x:xf>
    <x:xf numFmtId="0" fontId="7" fillId="33" borderId="5" xfId="0" applyNumberFormat="1" applyFont="1" applyFill="1" applyBorder="1" applyAlignment="1">
      <x:alignment horizontal="center" vertical="center" wrapText="1"/>
    </x:xf>
    <x:xf numFmtId="0" fontId="7" fillId="33" xfId="0" applyNumberFormat="1" applyFont="1" applyFill="1" applyBorder="0" applyAlignment="1">
      <x:alignment horizontal="center" vertical="center" wrapText="1"/>
    </x:xf>
    <x:xf numFmtId="200" fontId="7" fillId="33" xfId="0" applyNumberFormat="1" applyFont="1" applyFill="1" applyBorder="0" applyAlignment="1">
      <x:alignment horizontal="center" vertical="center" wrapText="1"/>
    </x:xf>
    <x:xf numFmtId="200" fontId="7" fillId="33" borderId="6" xfId="0" applyNumberFormat="1" applyFont="1" applyFill="1" applyBorder="1" applyAlignment="1">
      <x:alignment horizontal="center" vertical="center" wrapText="1"/>
    </x:xf>
    <x:xf numFmtId="0" fontId="7" fillId="33" borderId="5" xfId="0" applyNumberFormat="1" applyFont="1" applyFill="1" applyBorder="1" applyAlignment="1">
      <x:alignment horizontal="left" vertical="center" wrapText="1"/>
    </x:xf>
    <x:xf numFmtId="0" fontId="7" fillId="33" xfId="0" applyNumberFormat="1" applyFont="1" applyFill="1" applyBorder="0" applyAlignment="1">
      <x:alignment horizontal="left" vertical="center" wrapText="1"/>
    </x:xf>
    <x:xf numFmtId="200" fontId="7" fillId="33" xfId="0" applyNumberFormat="1" applyFont="1" applyFill="1" applyBorder="0" applyAlignment="1">
      <x:alignment horizontal="left" vertical="center" wrapText="1"/>
    </x:xf>
    <x:xf numFmtId="200" fontId="7" fillId="33" xfId="0" applyNumberFormat="1" applyFont="1" applyFill="1" applyBorder="0" applyAlignment="1">
      <x:alignment horizontal="right" vertical="center" wrapText="1"/>
    </x:xf>
    <x:xf numFmtId="200" fontId="7" fillId="33" borderId="6" xfId="0" applyNumberFormat="1" applyFont="1" applyFill="1" applyBorder="1" applyAlignment="1">
      <x:alignment horizontal="right" vertical="center" wrapText="1"/>
    </x:xf>
    <x:xf numFmtId="0" fontId="7" fillId="31" borderId="22" xfId="0" applyNumberFormat="1" applyFont="1" applyFill="1" applyBorder="1" applyAlignment="1">
      <x:alignment horizontal="center" vertical="center" wrapText="1"/>
    </x:xf>
    <x:xf numFmtId="203" fontId="7" fillId="31" borderId="22" xfId="0" applyNumberFormat="1" applyFont="1" applyFill="1" applyBorder="1" applyAlignment="1">
      <x:alignment horizontal="center" vertical="center" wrapText="1"/>
    </x:xf>
    <x:xf numFmtId="200" fontId="7" fillId="31" borderId="22" xfId="0" applyNumberFormat="1" applyFont="1" applyFill="1" applyBorder="1" applyAlignment="1">
      <x:alignment horizontal="center" vertical="center" wrapText="1"/>
    </x:xf>
    <x:xf numFmtId="0" fontId="18" fillId="31" borderId="22" xfId="0" applyNumberFormat="1" applyFont="1" applyFill="1" applyBorder="1" applyAlignment="1">
      <x:alignment horizontal="center" vertical="center" wrapText="1"/>
    </x:xf>
    <x:xf numFmtId="203" fontId="18" fillId="31" borderId="22" xfId="0" applyNumberFormat="1" applyFont="1" applyFill="1" applyBorder="1" applyAlignment="1">
      <x:alignment horizontal="center" vertical="center" wrapText="1"/>
    </x:xf>
    <x:xf numFmtId="200" fontId="18" fillId="31" borderId="22" xfId="0" applyNumberFormat="1" applyFont="1" applyFill="1" applyBorder="1" applyAlignment="1">
      <x:alignment horizontal="center" vertical="center" wrapText="1"/>
    </x:xf>
    <x:xf numFmtId="0" fontId="18" fillId="31" borderId="23" xfId="0" applyNumberFormat="1" applyFont="1" applyFill="1" applyBorder="1" applyAlignment="1">
      <x:alignment horizontal="center" vertical="center" wrapText="1"/>
    </x:xf>
    <x:xf numFmtId="0" fontId="18" fillId="31" borderId="24" xfId="0" applyNumberFormat="1" applyFont="1" applyFill="1" applyBorder="1" applyAlignment="1">
      <x:alignment horizontal="center" vertical="center" wrapText="1"/>
    </x:xf>
    <x:xf numFmtId="203" fontId="18" fillId="31" borderId="24" xfId="0" applyNumberFormat="1" applyFont="1" applyFill="1" applyBorder="1" applyAlignment="1">
      <x:alignment horizontal="center" vertical="center" wrapText="1"/>
    </x:xf>
    <x:xf numFmtId="200" fontId="18" fillId="31" borderId="24" xfId="0" applyNumberFormat="1" applyFont="1" applyFill="1" applyBorder="1" applyAlignment="1">
      <x:alignment horizontal="center" vertical="center" wrapText="1"/>
    </x:xf>
    <x:xf numFmtId="200" fontId="18" fillId="31" borderId="25" xfId="0" applyNumberFormat="1" applyFont="1" applyFill="1" applyBorder="1" applyAlignment="1">
      <x:alignment horizontal="center" vertical="center" wrapText="1"/>
    </x:xf>
    <x:xf numFmtId="0" fontId="7" fillId="32" borderId="20" xfId="0" applyNumberFormat="1" applyFont="1" applyFill="1" applyBorder="1" applyAlignment="1">
      <x:alignment horizontal="center" vertical="center" wrapText="0"/>
    </x:xf>
    <x:xf numFmtId="0" fontId="7" fillId="32" borderId="20" xfId="0" applyNumberFormat="1" applyFont="1" applyFill="1" applyBorder="1" applyAlignment="1">
      <x:alignment vertical="center" wrapText="1"/>
    </x:xf>
    <x:xf numFmtId="204" fontId="7" fillId="32" borderId="20" xfId="0" applyNumberFormat="1" applyFont="1" applyFill="1" applyBorder="1" applyAlignment="1">
      <x:alignment horizontal="center" vertical="center" wrapText="0"/>
    </x:xf>
    <x:xf numFmtId="203" fontId="7" fillId="32" borderId="21" xfId="0" applyNumberFormat="1" applyFont="1" applyFill="1" applyBorder="1" applyAlignment="1">
      <x:alignment horizontal="right" vertical="center" wrapText="0"/>
    </x:xf>
    <x:xf numFmtId="203" fontId="7" fillId="32" borderId="22" xfId="0" applyNumberFormat="1" applyFont="1" applyFill="1" applyBorder="1" applyAlignment="1">
      <x:alignment horizontal="right" vertical="center" wrapText="0"/>
    </x:xf>
    <x:xf numFmtId="0" fontId="1" fillId="32" borderId="20" xfId="0" applyNumberFormat="1" applyFont="1" applyFill="1" applyBorder="1" applyAlignment="1">
      <x:alignment horizontal="center" vertical="center" wrapText="0"/>
    </x:xf>
    <x:xf numFmtId="0" fontId="1" fillId="32" borderId="20" xfId="0" applyNumberFormat="1" applyFont="1" applyFill="1" applyBorder="1" applyAlignment="1">
      <x:alignment vertical="center" wrapText="1"/>
    </x:xf>
    <x:xf numFmtId="204" fontId="1" fillId="32" borderId="20" xfId="0" applyNumberFormat="1" applyFont="1" applyFill="1" applyBorder="1" applyAlignment="1">
      <x:alignment horizontal="center" vertical="center" wrapText="0"/>
    </x:xf>
    <x:xf numFmtId="203" fontId="1" fillId="32" borderId="22" xfId="0" applyNumberFormat="1" applyFont="1" applyFill="1" applyBorder="1" applyAlignment="1">
      <x:alignment horizontal="right" vertical="center" wrapText="0"/>
    </x:xf>
    <x:xf numFmtId="0" fontId="7" fillId="32" borderId="22" xfId="0" applyNumberFormat="1" applyFont="1" applyFill="1" applyBorder="1" applyAlignment="1">
      <x:alignment horizontal="center" vertical="center" wrapText="0"/>
    </x:xf>
    <x:xf numFmtId="0" fontId="7" fillId="32" borderId="22" xfId="0" applyNumberFormat="1" applyFont="1" applyFill="1" applyBorder="1" applyAlignment="1">
      <x:alignment vertical="center" wrapText="1"/>
    </x:xf>
    <x:xf numFmtId="204" fontId="7" fillId="32" borderId="22" xfId="0" applyNumberFormat="1" applyFont="1" applyFill="1" applyBorder="1" applyAlignment="1">
      <x:alignment horizontal="center" vertical="center" wrapText="0"/>
    </x:xf>
    <x:xf numFmtId="0" fontId="7" fillId="32" borderId="20" xfId="0" applyNumberFormat="1" applyFont="1" applyFill="1" applyBorder="1" applyAlignment="1">
      <x:alignment horizontal="center" vertical="center" wrapText="1"/>
    </x:xf>
    <x:xf numFmtId="204" fontId="7" fillId="32" borderId="20" xfId="0" applyNumberFormat="1" applyFont="1" applyFill="1" applyBorder="1" applyAlignment="1">
      <x:alignment horizontal="center" vertical="center" wrapText="1"/>
    </x:xf>
    <x:xf numFmtId="203" fontId="7" fillId="32" borderId="21" xfId="0" applyNumberFormat="1" applyFont="1" applyFill="1" applyBorder="1" applyAlignment="1">
      <x:alignment horizontal="right" vertical="center" wrapText="1"/>
    </x:xf>
    <x:xf numFmtId="203" fontId="7" fillId="32" borderId="22" xfId="0" applyNumberFormat="1" applyFont="1" applyFill="1" applyBorder="1" applyAlignment="1">
      <x:alignment horizontal="right" vertical="center" wrapText="1"/>
    </x:xf>
    <x:xf numFmtId="0" fontId="1" fillId="32" borderId="20" xfId="0" applyNumberFormat="1" applyFont="1" applyFill="1" applyBorder="1" applyAlignment="1">
      <x:alignment horizontal="center" vertical="center" wrapText="1"/>
    </x:xf>
    <x:xf numFmtId="204" fontId="1" fillId="32" borderId="20" xfId="0" applyNumberFormat="1" applyFont="1" applyFill="1" applyBorder="1" applyAlignment="1">
      <x:alignment horizontal="center" vertical="center" wrapText="1"/>
    </x:xf>
    <x:xf numFmtId="203" fontId="1" fillId="32" borderId="22" xfId="0" applyNumberFormat="1" applyFont="1" applyFill="1" applyBorder="1" applyAlignment="1">
      <x:alignment horizontal="right" vertical="center" wrapText="1"/>
    </x:xf>
    <x:xf numFmtId="0" fontId="7" fillId="32" borderId="22" xfId="0" applyNumberFormat="1" applyFont="1" applyFill="1" applyBorder="1" applyAlignment="1">
      <x:alignment horizontal="center" vertical="center" wrapText="1"/>
    </x:xf>
    <x:xf numFmtId="204" fontId="7" fillId="32" borderId="22" xfId="0" applyNumberFormat="1" applyFont="1" applyFill="1" applyBorder="1" applyAlignment="1">
      <x:alignment horizontal="center" vertical="center" wrapText="1"/>
    </x:xf>
    <x:xf numFmtId="0" fontId="7" fillId="32" borderId="19" xfId="0" applyNumberFormat="1" applyFont="1" applyFill="1" applyBorder="1" applyAlignment="1">
      <x:alignment horizontal="center" vertical="center" wrapText="1"/>
    </x:xf>
    <x:xf numFmtId="0" fontId="7" fillId="32" borderId="19" xfId="0" applyNumberFormat="1" applyFont="1" applyFill="1" applyBorder="1" applyAlignment="1">
      <x:alignment vertical="center" wrapText="1"/>
    </x:xf>
    <x:xf numFmtId="204" fontId="7" fillId="32" borderId="19" xfId="0" applyNumberFormat="1" applyFont="1" applyFill="1" applyBorder="1" applyAlignment="1">
      <x:alignment horizontal="center" vertical="center" wrapText="1"/>
    </x:xf>
    <x:xf numFmtId="0" fontId="1" fillId="32" borderId="21" xfId="0" applyNumberFormat="1" applyFont="1" applyFill="1" applyBorder="1" applyAlignment="1">
      <x:alignment horizontal="center" vertical="center" wrapText="1"/>
    </x:xf>
    <x:xf numFmtId="0" fontId="1" fillId="32" borderId="21" xfId="0" applyNumberFormat="1" applyFont="1" applyFill="1" applyBorder="1" applyAlignment="1">
      <x:alignment vertical="center" wrapText="1"/>
    </x:xf>
    <x:xf numFmtId="204" fontId="1" fillId="32" borderId="21" xfId="0" applyNumberFormat="1" applyFont="1" applyFill="1" applyBorder="1" applyAlignment="1">
      <x:alignment horizontal="center" vertical="center" wrapText="1"/>
    </x:xf>
    <x:xf numFmtId="0" fontId="7" fillId="32" borderId="30" xfId="0" applyNumberFormat="1" applyFont="1" applyFill="1" applyBorder="1" applyAlignment="1">
      <x:alignment horizontal="center" vertical="center" wrapText="1"/>
    </x:xf>
    <x:xf numFmtId="0" fontId="7" fillId="32" borderId="30" xfId="0" applyNumberFormat="1" applyFont="1" applyFill="1" applyBorder="1" applyAlignment="1">
      <x:alignment vertical="center" wrapText="1"/>
    </x:xf>
    <x:xf numFmtId="204" fontId="7" fillId="32" borderId="30" xfId="0" applyNumberFormat="1" applyFont="1" applyFill="1" applyBorder="1" applyAlignment="1">
      <x:alignment horizontal="center" vertical="center" wrapText="1"/>
    </x:xf>
    <x:xf numFmtId="203" fontId="7" fillId="32" borderId="30" xfId="0" applyNumberFormat="1" applyFont="1" applyFill="1" applyBorder="1" applyAlignment="1">
      <x:alignment horizontal="right" vertical="center" wrapText="1"/>
    </x:xf>
    <x:xf numFmtId="0" fontId="7" fillId="32" borderId="27" xfId="0" applyNumberFormat="1" applyFont="1" applyFill="1" applyBorder="1" applyAlignment="1">
      <x:alignment horizontal="center" vertical="center" wrapText="1"/>
    </x:xf>
    <x:xf numFmtId="0" fontId="7" fillId="32" borderId="27" xfId="0" applyNumberFormat="1" applyFont="1" applyFill="1" applyBorder="1" applyAlignment="1">
      <x:alignment vertical="center" wrapText="1"/>
    </x:xf>
    <x:xf numFmtId="204" fontId="7" fillId="32" borderId="27" xfId="0" applyNumberFormat="1" applyFont="1" applyFill="1" applyBorder="1" applyAlignment="1">
      <x:alignment horizontal="center" vertical="center" wrapText="1"/>
    </x:xf>
    <x:xf numFmtId="203" fontId="7" fillId="32" borderId="27" xfId="0" applyNumberFormat="1" applyFont="1" applyFill="1" applyBorder="1" applyAlignment="1">
      <x:alignment horizontal="right" vertical="center" wrapText="1"/>
    </x:xf>
    <x:xf numFmtId="0" fontId="1" fillId="32" borderId="27" xfId="0" applyNumberFormat="1" applyFont="1" applyFill="1" applyBorder="1" applyAlignment="1">
      <x:alignment horizontal="center" vertical="center" wrapText="1"/>
    </x:xf>
    <x:xf numFmtId="0" fontId="1" fillId="32" borderId="27" xfId="0" applyNumberFormat="1" applyFont="1" applyFill="1" applyBorder="1" applyAlignment="1">
      <x:alignment vertical="center" wrapText="1"/>
    </x:xf>
    <x:xf numFmtId="204" fontId="1" fillId="32" borderId="27" xfId="0" applyNumberFormat="1" applyFont="1" applyFill="1" applyBorder="1" applyAlignment="1">
      <x:alignment horizontal="center" vertical="center" wrapText="1"/>
    </x:xf>
    <x:xf numFmtId="203" fontId="1" fillId="32" borderId="27" xfId="0" applyNumberFormat="1" applyFont="1" applyFill="1" applyBorder="1" applyAlignment="1">
      <x:alignment horizontal="right" vertical="center" wrapText="1"/>
    </x:xf>
    <x:xf numFmtId="0" fontId="1" fillId="32" borderId="28" xfId="0" applyNumberFormat="1" applyFont="1" applyFill="1" applyBorder="1" applyAlignment="1">
      <x:alignment horizontal="center" vertical="center" wrapText="1"/>
    </x:xf>
    <x:xf numFmtId="0" fontId="1" fillId="32" borderId="28" xfId="0" applyNumberFormat="1" applyFont="1" applyFill="1" applyBorder="1" applyAlignment="1">
      <x:alignment vertical="center" wrapText="1"/>
    </x:xf>
    <x:xf numFmtId="204" fontId="1" fillId="32" borderId="28" xfId="0" applyNumberFormat="1" applyFont="1" applyFill="1" applyBorder="1" applyAlignment="1">
      <x:alignment horizontal="center" vertical="center" wrapText="1"/>
    </x:xf>
    <x:xf numFmtId="203" fontId="1" fillId="32" borderId="28" xfId="0" applyNumberFormat="1" applyFont="1" applyFill="1" applyBorder="1" applyAlignment="1">
      <x:alignment horizontal="right" vertical="center" wrapText="1"/>
    </x:xf>
    <x:xf numFmtId="0" fontId="7" fillId="32" borderId="33" xfId="0" applyNumberFormat="1" applyFont="1" applyFill="1" applyBorder="1" applyAlignment="1">
      <x:alignment horizontal="center" vertical="center" wrapText="1"/>
    </x:xf>
    <x:xf numFmtId="0" fontId="7" fillId="32" borderId="33" xfId="0" applyNumberFormat="1" applyFont="1" applyFill="1" applyBorder="1" applyAlignment="1">
      <x:alignment vertical="center" wrapText="1"/>
    </x:xf>
    <x:xf numFmtId="204" fontId="7" fillId="32" borderId="33" xfId="0" applyNumberFormat="1" applyFont="1" applyFill="1" applyBorder="1" applyAlignment="1">
      <x:alignment horizontal="center" vertical="center" wrapText="1"/>
    </x:xf>
    <x:xf numFmtId="203" fontId="7" fillId="32" borderId="33" xfId="0" applyNumberFormat="1" applyFont="1" applyFill="1" applyBorder="1" applyAlignment="1">
      <x:alignment horizontal="right" vertical="center" wrapText="1"/>
    </x:xf>
    <x:xf numFmtId="0" fontId="7" fillId="32" borderId="34" xfId="0" applyNumberFormat="1" applyFont="1" applyFill="1" applyBorder="1" applyAlignment="1">
      <x:alignment horizontal="center" vertical="center" wrapText="1"/>
    </x:xf>
    <x:xf numFmtId="0" fontId="7" fillId="32" borderId="34" xfId="0" applyNumberFormat="1" applyFont="1" applyFill="1" applyBorder="1" applyAlignment="1">
      <x:alignment vertical="center" wrapText="1"/>
    </x:xf>
    <x:xf numFmtId="204" fontId="7" fillId="32" borderId="34" xfId="0" applyNumberFormat="1" applyFont="1" applyFill="1" applyBorder="1" applyAlignment="1">
      <x:alignment horizontal="center" vertical="center" wrapText="1"/>
    </x:xf>
    <x:xf numFmtId="203" fontId="7" fillId="32" borderId="34" xfId="0" applyNumberFormat="1" applyFont="1" applyFill="1" applyBorder="1" applyAlignment="1">
      <x:alignment horizontal="right" vertical="center" wrapText="1"/>
    </x:xf>
    <x:xf numFmtId="0" fontId="1" fillId="32" borderId="34" xfId="0" applyNumberFormat="1" applyFont="1" applyFill="1" applyBorder="1" applyAlignment="1">
      <x:alignment horizontal="center" vertical="center" wrapText="1"/>
    </x:xf>
    <x:xf numFmtId="0" fontId="1" fillId="32" borderId="34" xfId="0" applyNumberFormat="1" applyFont="1" applyFill="1" applyBorder="1" applyAlignment="1">
      <x:alignment vertical="center" wrapText="1"/>
    </x:xf>
    <x:xf numFmtId="204" fontId="1" fillId="32" borderId="34" xfId="0" applyNumberFormat="1" applyFont="1" applyFill="1" applyBorder="1" applyAlignment="1">
      <x:alignment horizontal="center" vertical="center" wrapText="1"/>
    </x:xf>
    <x:xf numFmtId="203" fontId="1" fillId="32" borderId="34" xfId="0" applyNumberFormat="1" applyFont="1" applyFill="1" applyBorder="1" applyAlignment="1">
      <x:alignment horizontal="right" vertical="center" wrapText="1"/>
    </x:xf>
    <x:xf numFmtId="0" fontId="1" fillId="32" borderId="35" xfId="0" applyNumberFormat="1" applyFont="1" applyFill="1" applyBorder="1" applyAlignment="1">
      <x:alignment horizontal="center" vertical="center" wrapText="1"/>
    </x:xf>
    <x:xf numFmtId="0" fontId="1" fillId="32" borderId="35" xfId="0" applyNumberFormat="1" applyFont="1" applyFill="1" applyBorder="1" applyAlignment="1">
      <x:alignment vertical="center" wrapText="1"/>
    </x:xf>
    <x:xf numFmtId="204" fontId="1" fillId="32" borderId="35" xfId="0" applyNumberFormat="1" applyFont="1" applyFill="1" applyBorder="1" applyAlignment="1">
      <x:alignment horizontal="center" vertical="center" wrapText="1"/>
    </x:xf>
    <x:xf numFmtId="203" fontId="1" fillId="32" borderId="35" xfId="0" applyNumberFormat="1" applyFont="1" applyFill="1" applyBorder="1" applyAlignment="1">
      <x:alignment horizontal="right" vertical="center" wrapText="1"/>
    </x:xf>
    <x:xf numFmtId="0" fontId="7" fillId="32" borderId="36" xfId="0" applyNumberFormat="1" applyFont="1" applyFill="1" applyBorder="1" applyAlignment="1">
      <x:alignment horizontal="center" vertical="center" wrapText="1"/>
    </x:xf>
    <x:xf numFmtId="0" fontId="7" fillId="32" borderId="37" xfId="0" applyNumberFormat="1" applyFont="1" applyFill="1" applyBorder="1" applyAlignment="1">
      <x:alignment vertical="center" wrapText="1"/>
    </x:xf>
    <x:xf numFmtId="204" fontId="7" fillId="32" borderId="37" xfId="0" applyNumberFormat="1" applyFont="1" applyFill="1" applyBorder="1" applyAlignment="1">
      <x:alignment horizontal="center" vertical="center" wrapText="1"/>
    </x:xf>
    <x:xf numFmtId="203" fontId="7" fillId="32" borderId="37" xfId="0" applyNumberFormat="1" applyFont="1" applyFill="1" applyBorder="1" applyAlignment="1">
      <x:alignment horizontal="right" vertical="center" wrapText="1"/>
    </x:xf>
    <x:xf numFmtId="203" fontId="7" fillId="32" borderId="38" xfId="0" applyNumberFormat="1" applyFont="1" applyFill="1" applyBorder="1" applyAlignment="1">
      <x:alignment horizontal="right" vertical="center" wrapText="1"/>
    </x:xf>
    <x:xf numFmtId="0" fontId="7" fillId="32" borderId="39" xfId="0" applyNumberFormat="1" applyFont="1" applyFill="1" applyBorder="1" applyAlignment="1">
      <x:alignment horizontal="center" vertical="center" wrapText="1"/>
    </x:xf>
    <x:xf numFmtId="0" fontId="7" fillId="32" borderId="40" xfId="0" applyNumberFormat="1" applyFont="1" applyFill="1" applyBorder="1" applyAlignment="1">
      <x:alignment vertical="center" wrapText="1"/>
    </x:xf>
    <x:xf numFmtId="204" fontId="7" fillId="32" borderId="40" xfId="0" applyNumberFormat="1" applyFont="1" applyFill="1" applyBorder="1" applyAlignment="1">
      <x:alignment horizontal="center" vertical="center" wrapText="1"/>
    </x:xf>
    <x:xf numFmtId="203" fontId="7" fillId="32" borderId="40" xfId="0" applyNumberFormat="1" applyFont="1" applyFill="1" applyBorder="1" applyAlignment="1">
      <x:alignment horizontal="right" vertical="center" wrapText="1"/>
    </x:xf>
    <x:xf numFmtId="203" fontId="7" fillId="32" borderId="41" xfId="0" applyNumberFormat="1" applyFont="1" applyFill="1" applyBorder="1" applyAlignment="1">
      <x:alignment horizontal="right" vertical="center" wrapText="1"/>
    </x:xf>
    <x:xf numFmtId="0" fontId="1" fillId="32" borderId="39" xfId="0" applyNumberFormat="1" applyFont="1" applyFill="1" applyBorder="1" applyAlignment="1">
      <x:alignment horizontal="center" vertical="center" wrapText="1"/>
    </x:xf>
    <x:xf numFmtId="0" fontId="1" fillId="32" borderId="40" xfId="0" applyNumberFormat="1" applyFont="1" applyFill="1" applyBorder="1" applyAlignment="1">
      <x:alignment vertical="center" wrapText="1"/>
    </x:xf>
    <x:xf numFmtId="204" fontId="1" fillId="32" borderId="40" xfId="0" applyNumberFormat="1" applyFont="1" applyFill="1" applyBorder="1" applyAlignment="1">
      <x:alignment horizontal="center" vertical="center" wrapText="1"/>
    </x:xf>
    <x:xf numFmtId="203" fontId="1" fillId="32" borderId="40" xfId="0" applyNumberFormat="1" applyFont="1" applyFill="1" applyBorder="1" applyAlignment="1">
      <x:alignment horizontal="right" vertical="center" wrapText="1"/>
    </x:xf>
    <x:xf numFmtId="203" fontId="1" fillId="32" borderId="41" xfId="0" applyNumberFormat="1" applyFont="1" applyFill="1" applyBorder="1" applyAlignment="1">
      <x:alignment horizontal="right" vertical="center" wrapText="1"/>
    </x:xf>
    <x:xf numFmtId="0" fontId="1" fillId="32" borderId="42" xfId="0" applyNumberFormat="1" applyFont="1" applyFill="1" applyBorder="1" applyAlignment="1">
      <x:alignment horizontal="center" vertical="center" wrapText="1"/>
    </x:xf>
    <x:xf numFmtId="0" fontId="1" fillId="32" borderId="43" xfId="0" applyNumberFormat="1" applyFont="1" applyFill="1" applyBorder="1" applyAlignment="1">
      <x:alignment vertical="center" wrapText="1"/>
    </x:xf>
    <x:xf numFmtId="204" fontId="1" fillId="32" borderId="43" xfId="0" applyNumberFormat="1" applyFont="1" applyFill="1" applyBorder="1" applyAlignment="1">
      <x:alignment horizontal="center" vertical="center" wrapText="1"/>
    </x:xf>
    <x:xf numFmtId="203" fontId="1" fillId="32" borderId="43" xfId="0" applyNumberFormat="1" applyFont="1" applyFill="1" applyBorder="1" applyAlignment="1">
      <x:alignment horizontal="right" vertical="center" wrapText="1"/>
    </x:xf>
    <x:xf numFmtId="203" fontId="1" fillId="32" borderId="44" xfId="0" applyNumberFormat="1" applyFont="1" applyFill="1" applyBorder="1" applyAlignment="1">
      <x:alignment horizontal="right" vertical="center" wrapText="1"/>
    </x:xf>
    <x:xf numFmtId="0" fontId="7" fillId="32" borderId="45" xfId="0" applyNumberFormat="1" applyFont="1" applyFill="1" applyBorder="1" applyAlignment="1">
      <x:alignment horizontal="center" vertical="center" wrapText="1"/>
    </x:xf>
    <x:xf numFmtId="0" fontId="7" fillId="32" borderId="46" xfId="0" applyNumberFormat="1" applyFont="1" applyFill="1" applyBorder="1" applyAlignment="1">
      <x:alignment vertical="center" wrapText="1"/>
    </x:xf>
    <x:xf numFmtId="204" fontId="7" fillId="32" borderId="46" xfId="0" applyNumberFormat="1" applyFont="1" applyFill="1" applyBorder="1" applyAlignment="1">
      <x:alignment horizontal="center" vertical="center" wrapText="1"/>
    </x:xf>
    <x:xf numFmtId="203" fontId="7" fillId="32" borderId="46" xfId="0" applyNumberFormat="1" applyFont="1" applyFill="1" applyBorder="1" applyAlignment="1">
      <x:alignment horizontal="right" vertical="center" wrapText="1"/>
    </x:xf>
    <x:xf numFmtId="203" fontId="7" fillId="32" borderId="47" xfId="0" applyNumberFormat="1" applyFont="1" applyFill="1" applyBorder="1" applyAlignment="1">
      <x:alignment horizontal="right" vertical="center" wrapText="1"/>
    </x:xf>
    <x:xf numFmtId="0" fontId="7" fillId="32" borderId="48" xfId="0" applyNumberFormat="1" applyFont="1" applyFill="1" applyBorder="1" applyAlignment="1">
      <x:alignment horizontal="center" vertical="center" wrapText="1"/>
    </x:xf>
    <x:xf numFmtId="0" fontId="7" fillId="32" borderId="49" xfId="0" applyNumberFormat="1" applyFont="1" applyFill="1" applyBorder="1" applyAlignment="1">
      <x:alignment vertical="center" wrapText="1"/>
    </x:xf>
    <x:xf numFmtId="204" fontId="7" fillId="32" borderId="49" xfId="0" applyNumberFormat="1" applyFont="1" applyFill="1" applyBorder="1" applyAlignment="1">
      <x:alignment horizontal="center" vertical="center" wrapText="1"/>
    </x:xf>
    <x:xf numFmtId="203" fontId="7" fillId="32" borderId="49" xfId="0" applyNumberFormat="1" applyFont="1" applyFill="1" applyBorder="1" applyAlignment="1">
      <x:alignment horizontal="right" vertical="center" wrapText="1"/>
    </x:xf>
    <x:xf numFmtId="203" fontId="7" fillId="32" borderId="50" xfId="0" applyNumberFormat="1" applyFont="1" applyFill="1" applyBorder="1" applyAlignment="1">
      <x:alignment horizontal="right" vertical="center" wrapText="1"/>
    </x:xf>
    <x:xf numFmtId="0" fontId="1" fillId="32" borderId="48" xfId="0" applyNumberFormat="1" applyFont="1" applyFill="1" applyBorder="1" applyAlignment="1">
      <x:alignment horizontal="center" vertical="center" wrapText="1"/>
    </x:xf>
    <x:xf numFmtId="0" fontId="1" fillId="32" borderId="49" xfId="0" applyNumberFormat="1" applyFont="1" applyFill="1" applyBorder="1" applyAlignment="1">
      <x:alignment vertical="center" wrapText="1"/>
    </x:xf>
    <x:xf numFmtId="204" fontId="1" fillId="32" borderId="49" xfId="0" applyNumberFormat="1" applyFont="1" applyFill="1" applyBorder="1" applyAlignment="1">
      <x:alignment horizontal="center" vertical="center" wrapText="1"/>
    </x:xf>
    <x:xf numFmtId="203" fontId="1" fillId="32" borderId="49" xfId="0" applyNumberFormat="1" applyFont="1" applyFill="1" applyBorder="1" applyAlignment="1">
      <x:alignment horizontal="right" vertical="center" wrapText="1"/>
    </x:xf>
    <x:xf numFmtId="203" fontId="1" fillId="32" borderId="50" xfId="0" applyNumberFormat="1" applyFont="1" applyFill="1" applyBorder="1" applyAlignment="1">
      <x:alignment horizontal="right" vertical="center" wrapText="1"/>
    </x:xf>
    <x:xf numFmtId="0" fontId="1" fillId="32" borderId="51" xfId="0" applyNumberFormat="1" applyFont="1" applyFill="1" applyBorder="1" applyAlignment="1">
      <x:alignment horizontal="center" vertical="center" wrapText="1"/>
    </x:xf>
    <x:xf numFmtId="0" fontId="1" fillId="32" borderId="52" xfId="0" applyNumberFormat="1" applyFont="1" applyFill="1" applyBorder="1" applyAlignment="1">
      <x:alignment vertical="center" wrapText="1"/>
    </x:xf>
    <x:xf numFmtId="204" fontId="1" fillId="32" borderId="52" xfId="0" applyNumberFormat="1" applyFont="1" applyFill="1" applyBorder="1" applyAlignment="1">
      <x:alignment horizontal="center" vertical="center" wrapText="1"/>
    </x:xf>
    <x:xf numFmtId="203" fontId="1" fillId="32" borderId="52" xfId="0" applyNumberFormat="1" applyFont="1" applyFill="1" applyBorder="1" applyAlignment="1">
      <x:alignment horizontal="right" vertical="center" wrapText="1"/>
    </x:xf>
    <x:xf numFmtId="203" fontId="1" fillId="32" borderId="53" xfId="0" applyNumberFormat="1" applyFont="1" applyFill="1" applyBorder="1" applyAlignment="1">
      <x:alignment horizontal="right" vertical="center" wrapText="1"/>
    </x:xf>
    <x:xf numFmtId="0" fontId="7" fillId="31" borderId="45" xfId="0" applyNumberFormat="1" applyFont="1" applyFill="1" applyBorder="1" applyAlignment="1">
      <x:alignment horizontal="center" vertical="center" wrapText="1"/>
    </x:xf>
    <x:xf numFmtId="0" fontId="7" fillId="31" borderId="46" xfId="0" applyNumberFormat="1" applyFont="1" applyFill="1" applyBorder="1" applyAlignment="1">
      <x:alignment vertical="center" wrapText="1"/>
    </x:xf>
    <x:xf numFmtId="204" fontId="7" fillId="31" borderId="46" xfId="0" applyNumberFormat="1" applyFont="1" applyFill="1" applyBorder="1" applyAlignment="1">
      <x:alignment horizontal="center" vertical="center" wrapText="1"/>
    </x:xf>
    <x:xf numFmtId="203" fontId="7" fillId="31" borderId="46" xfId="0" applyNumberFormat="1" applyFont="1" applyFill="1" applyBorder="1" applyAlignment="1">
      <x:alignment horizontal="right" vertical="center" wrapText="1"/>
    </x:xf>
    <x:xf numFmtId="203" fontId="7" fillId="31" borderId="47" xfId="0" applyNumberFormat="1" applyFont="1" applyFill="1" applyBorder="1" applyAlignment="1">
      <x:alignment horizontal="right" vertical="center" wrapText="1"/>
    </x:xf>
    <x:xf numFmtId="0" fontId="18" fillId="31" borderId="45" xfId="0" applyNumberFormat="1" applyFont="1" applyFill="1" applyBorder="1" applyAlignment="1">
      <x:alignment horizontal="center" vertical="center" wrapText="1"/>
    </x:xf>
    <x:xf numFmtId="0" fontId="18" fillId="31" borderId="46" xfId="0" applyNumberFormat="1" applyFont="1" applyFill="1" applyBorder="1" applyAlignment="1">
      <x:alignment vertical="center" wrapText="1"/>
    </x:xf>
    <x:xf numFmtId="204" fontId="18" fillId="31" borderId="46" xfId="0" applyNumberFormat="1" applyFont="1" applyFill="1" applyBorder="1" applyAlignment="1">
      <x:alignment horizontal="center" vertical="center" wrapText="1"/>
    </x:xf>
    <x:xf numFmtId="203" fontId="18" fillId="31" borderId="46" xfId="0" applyNumberFormat="1" applyFont="1" applyFill="1" applyBorder="1" applyAlignment="1">
      <x:alignment horizontal="right" vertical="center" wrapText="1"/>
    </x:xf>
    <x:xf numFmtId="203" fontId="18" fillId="31" borderId="47" xfId="0" applyNumberFormat="1" applyFont="1" applyFill="1" applyBorder="1" applyAlignment="1">
      <x:alignment horizontal="right" vertical="center" wrapText="1"/>
    </x:xf>
    <x:xf numFmtId="0" fontId="7" fillId="31" borderId="48" xfId="0" applyNumberFormat="1" applyFont="1" applyFill="1" applyBorder="1" applyAlignment="1">
      <x:alignment horizontal="center" vertical="center" wrapText="1"/>
    </x:xf>
    <x:xf numFmtId="0" fontId="7" fillId="31" borderId="49" xfId="0" applyNumberFormat="1" applyFont="1" applyFill="1" applyBorder="1" applyAlignment="1">
      <x:alignment vertical="center" wrapText="1"/>
    </x:xf>
    <x:xf numFmtId="204" fontId="7" fillId="31" borderId="49" xfId="0" applyNumberFormat="1" applyFont="1" applyFill="1" applyBorder="1" applyAlignment="1">
      <x:alignment horizontal="center" vertical="center" wrapText="1"/>
    </x:xf>
    <x:xf numFmtId="203" fontId="7" fillId="31" borderId="49" xfId="0" applyNumberFormat="1" applyFont="1" applyFill="1" applyBorder="1" applyAlignment="1">
      <x:alignment horizontal="right" vertical="center" wrapText="1"/>
    </x:xf>
    <x:xf numFmtId="203" fontId="7" fillId="31" borderId="50" xfId="0" applyNumberFormat="1" applyFont="1" applyFill="1" applyBorder="1" applyAlignment="1">
      <x:alignment horizontal="right" vertical="center" wrapText="1"/>
    </x:xf>
    <x:xf numFmtId="0" fontId="18" fillId="31" borderId="48" xfId="0" applyNumberFormat="1" applyFont="1" applyFill="1" applyBorder="1" applyAlignment="1">
      <x:alignment horizontal="center" vertical="center" wrapText="1"/>
    </x:xf>
    <x:xf numFmtId="0" fontId="18" fillId="31" borderId="49" xfId="0" applyNumberFormat="1" applyFont="1" applyFill="1" applyBorder="1" applyAlignment="1">
      <x:alignment vertical="center" wrapText="1"/>
    </x:xf>
    <x:xf numFmtId="204" fontId="18" fillId="31" borderId="49" xfId="0" applyNumberFormat="1" applyFont="1" applyFill="1" applyBorder="1" applyAlignment="1">
      <x:alignment horizontal="center" vertical="center" wrapText="1"/>
    </x:xf>
    <x:xf numFmtId="203" fontId="18" fillId="31" borderId="49" xfId="0" applyNumberFormat="1" applyFont="1" applyFill="1" applyBorder="1" applyAlignment="1">
      <x:alignment horizontal="right" vertical="center" wrapText="1"/>
    </x:xf>
    <x:xf numFmtId="203" fontId="18" fillId="31" borderId="50" xfId="0" applyNumberFormat="1" applyFont="1" applyFill="1" applyBorder="1" applyAlignment="1">
      <x:alignment horizontal="right" vertical="center" wrapText="1"/>
    </x:xf>
    <x:xf numFmtId="0" fontId="7" fillId="34" borderId="48" xfId="0" applyNumberFormat="1" applyFont="1" applyFill="1" applyBorder="1" applyAlignment="1">
      <x:alignment horizontal="center" vertical="center" wrapText="1"/>
    </x:xf>
    <x:xf numFmtId="0" fontId="7" fillId="34" borderId="49" xfId="0" applyNumberFormat="1" applyFont="1" applyFill="1" applyBorder="1" applyAlignment="1">
      <x:alignment vertical="center" wrapText="1"/>
    </x:xf>
    <x:xf numFmtId="204" fontId="7" fillId="34" borderId="49" xfId="0" applyNumberFormat="1" applyFont="1" applyFill="1" applyBorder="1" applyAlignment="1">
      <x:alignment horizontal="center" vertical="center" wrapText="1"/>
    </x:xf>
    <x:xf numFmtId="203" fontId="7" fillId="34" borderId="49" xfId="0" applyNumberFormat="1" applyFont="1" applyFill="1" applyBorder="1" applyAlignment="1">
      <x:alignment horizontal="right" vertical="center" wrapText="1"/>
    </x:xf>
    <x:xf numFmtId="203" fontId="7" fillId="34" borderId="50" xfId="0" applyNumberFormat="1" applyFont="1" applyFill="1" applyBorder="1" applyAlignment="1">
      <x:alignment horizontal="right" vertical="center" wrapText="1"/>
    </x:xf>
    <x:xf numFmtId="0" fontId="7" fillId="35" borderId="48" xfId="0" applyNumberFormat="1" applyFont="1" applyFill="1" applyBorder="1" applyAlignment="1">
      <x:alignment horizontal="center" vertical="center" wrapText="1"/>
    </x:xf>
    <x:xf numFmtId="0" fontId="7" fillId="35" borderId="49" xfId="0" applyNumberFormat="1" applyFont="1" applyFill="1" applyBorder="1" applyAlignment="1">
      <x:alignment vertical="center" wrapText="1"/>
    </x:xf>
    <x:xf numFmtId="204" fontId="7" fillId="35" borderId="49" xfId="0" applyNumberFormat="1" applyFont="1" applyFill="1" applyBorder="1" applyAlignment="1">
      <x:alignment horizontal="center" vertical="center" wrapText="1"/>
    </x:xf>
    <x:xf numFmtId="203" fontId="7" fillId="35" borderId="49" xfId="0" applyNumberFormat="1" applyFont="1" applyFill="1" applyBorder="1" applyAlignment="1">
      <x:alignment horizontal="right" vertical="center" wrapText="1"/>
    </x:xf>
    <x:xf numFmtId="203" fontId="7" fillId="35" borderId="50" xfId="0" applyNumberFormat="1" applyFont="1" applyFill="1" applyBorder="1" applyAlignment="1">
      <x:alignment horizontal="right" vertical="center" wrapText="1"/>
    </x:xf>
    <x:xf numFmtId="0" fontId="7" fillId="35" borderId="45" xfId="0" applyNumberFormat="1" applyFont="1" applyFill="1" applyBorder="1" applyAlignment="1">
      <x:alignment horizontal="center" vertical="center" wrapText="1"/>
    </x:xf>
    <x:xf numFmtId="0" fontId="7" fillId="35" borderId="46" xfId="0" applyNumberFormat="1" applyFont="1" applyFill="1" applyBorder="1" applyAlignment="1">
      <x:alignment vertical="center" wrapText="1"/>
    </x:xf>
    <x:xf numFmtId="204" fontId="7" fillId="35" borderId="46" xfId="0" applyNumberFormat="1" applyFont="1" applyFill="1" applyBorder="1" applyAlignment="1">
      <x:alignment horizontal="center" vertical="center" wrapText="1"/>
    </x:xf>
    <x:xf numFmtId="203" fontId="7" fillId="35" borderId="46" xfId="0" applyNumberFormat="1" applyFont="1" applyFill="1" applyBorder="1" applyAlignment="1">
      <x:alignment horizontal="right" vertical="center" wrapText="1"/>
    </x:xf>
    <x:xf numFmtId="0" fontId="1" fillId="35" borderId="48" xfId="0" applyNumberFormat="1" applyFont="1" applyFill="1" applyBorder="1" applyAlignment="1">
      <x:alignment horizontal="center" vertical="center" wrapText="1"/>
    </x:xf>
    <x:xf numFmtId="0" fontId="1" fillId="35" borderId="49" xfId="0" applyNumberFormat="1" applyFont="1" applyFill="1" applyBorder="1" applyAlignment="1">
      <x:alignment vertical="center" wrapText="1"/>
    </x:xf>
    <x:xf numFmtId="204" fontId="1" fillId="35" borderId="49" xfId="0" applyNumberFormat="1" applyFont="1" applyFill="1" applyBorder="1" applyAlignment="1">
      <x:alignment horizontal="center" vertical="center" wrapText="1"/>
    </x:xf>
    <x:xf numFmtId="203" fontId="1" fillId="35" borderId="49" xfId="0" applyNumberFormat="1" applyFont="1" applyFill="1" applyBorder="1" applyAlignment="1">
      <x:alignment horizontal="right" vertical="center" wrapText="1"/>
    </x:xf>
    <x:xf numFmtId="203" fontId="1" fillId="35" borderId="50" xfId="0" applyNumberFormat="1" applyFont="1" applyFill="1" applyBorder="1" applyAlignment="1">
      <x:alignment horizontal="right" vertical="center" wrapText="1"/>
    </x:xf>
    <x:xf numFmtId="0" fontId="7" fillId="34" borderId="54" xfId="0" applyNumberFormat="1" applyFont="1" applyFill="1" applyBorder="1" applyAlignment="1">
      <x:alignment horizontal="center" vertical="center" wrapText="1"/>
    </x:xf>
    <x:xf numFmtId="0" fontId="7" fillId="34" borderId="55" xfId="0" applyNumberFormat="1" applyFont="1" applyFill="1" applyBorder="1" applyAlignment="1">
      <x:alignment vertical="center" wrapText="1"/>
    </x:xf>
    <x:xf numFmtId="204" fontId="7" fillId="34" borderId="55" xfId="0" applyNumberFormat="1" applyFont="1" applyFill="1" applyBorder="1" applyAlignment="1">
      <x:alignment horizontal="center" vertical="center" wrapText="1"/>
    </x:xf>
    <x:xf numFmtId="203" fontId="7" fillId="34" borderId="55" xfId="0" applyNumberFormat="1" applyFont="1" applyFill="1" applyBorder="1" applyAlignment="1">
      <x:alignment horizontal="right" vertical="center" wrapText="1"/>
    </x:xf>
    <x:xf numFmtId="0" fontId="7" fillId="34" borderId="56" xfId="0" applyNumberFormat="1" applyFont="1" applyFill="1" applyBorder="1" applyAlignment="1">
      <x:alignment horizontal="center" vertical="center" wrapText="1"/>
    </x:xf>
    <x:xf numFmtId="0" fontId="7" fillId="34" borderId="57" xfId="0" applyNumberFormat="1" applyFont="1" applyFill="1" applyBorder="1" applyAlignment="1">
      <x:alignment vertical="center" wrapText="1"/>
    </x:xf>
    <x:xf numFmtId="204" fontId="7" fillId="34" borderId="57" xfId="0" applyNumberFormat="1" applyFont="1" applyFill="1" applyBorder="1" applyAlignment="1">
      <x:alignment horizontal="center" vertical="center" wrapText="1"/>
    </x:xf>
    <x:xf numFmtId="203" fontId="7" fillId="34" borderId="57" xfId="0" applyNumberFormat="1" applyFont="1" applyFill="1" applyBorder="1" applyAlignment="1">
      <x:alignment horizontal="right" vertical="center" wrapText="1"/>
    </x:xf>
    <x:xf numFmtId="0" fontId="7" fillId="34" borderId="58" xfId="0" applyNumberFormat="1" applyFont="1" applyFill="1" applyBorder="1" applyAlignment="1">
      <x:alignment horizontal="center" vertical="center" wrapText="1"/>
    </x:xf>
    <x:xf numFmtId="0" fontId="7" fillId="34" borderId="59" xfId="0" applyNumberFormat="1" applyFont="1" applyFill="1" applyBorder="1" applyAlignment="1">
      <x:alignment vertical="center" wrapText="1"/>
    </x:xf>
    <x:xf numFmtId="204" fontId="7" fillId="34" borderId="59" xfId="0" applyNumberFormat="1" applyFont="1" applyFill="1" applyBorder="1" applyAlignment="1">
      <x:alignment horizontal="center" vertical="center" wrapText="1"/>
    </x:xf>
    <x:xf numFmtId="203" fontId="7" fillId="34" borderId="59" xfId="0" applyNumberFormat="1" applyFont="1" applyFill="1" applyBorder="1" applyAlignment="1">
      <x:alignment horizontal="right" vertical="center" wrapText="1"/>
    </x:xf>
    <x:xf numFmtId="0" fontId="7" fillId="34" borderId="60" xfId="0" applyNumberFormat="1" applyFont="1" applyFill="1" applyBorder="1" applyAlignment="1">
      <x:alignment horizontal="center" vertical="center" wrapText="1"/>
    </x:xf>
    <x:xf numFmtId="0" fontId="7" fillId="34" borderId="61" xfId="0" applyNumberFormat="1" applyFont="1" applyFill="1" applyBorder="1" applyAlignment="1">
      <x:alignment vertical="center" wrapText="1"/>
    </x:xf>
    <x:xf numFmtId="204" fontId="7" fillId="34" borderId="61" xfId="0" applyNumberFormat="1" applyFont="1" applyFill="1" applyBorder="1" applyAlignment="1">
      <x:alignment horizontal="center" vertical="center" wrapText="1"/>
    </x:xf>
    <x:xf numFmtId="203" fontId="7" fillId="34" borderId="61" xfId="0" applyNumberFormat="1" applyFont="1" applyFill="1" applyBorder="1" applyAlignment="1">
      <x:alignment horizontal="right" vertical="center" wrapText="1"/>
    </x:xf>
    <x:xf numFmtId="0" fontId="1" fillId="34" borderId="51" xfId="0" applyNumberFormat="1" applyFont="1" applyFill="1" applyBorder="1" applyAlignment="1">
      <x:alignment horizontal="center" vertical="center" wrapText="1"/>
    </x:xf>
    <x:xf numFmtId="0" fontId="1" fillId="34" borderId="52" xfId="0" applyNumberFormat="1" applyFont="1" applyFill="1" applyBorder="1" applyAlignment="1">
      <x:alignment vertical="center" wrapText="1"/>
    </x:xf>
    <x:xf numFmtId="204" fontId="1" fillId="34" borderId="52" xfId="0" applyNumberFormat="1" applyFont="1" applyFill="1" applyBorder="1" applyAlignment="1">
      <x:alignment horizontal="center" vertical="center" wrapText="1"/>
    </x:xf>
    <x:xf numFmtId="203" fontId="1" fillId="34" borderId="52" xfId="0" applyNumberFormat="1" applyFont="1" applyFill="1" applyBorder="1" applyAlignment="1">
      <x:alignment horizontal="right" vertical="center" wrapText="1"/>
    </x:xf>
    <x:xf numFmtId="203" fontId="1" fillId="34" borderId="53" xfId="0" applyNumberFormat="1" applyFont="1" applyFill="1" applyBorder="1" applyAlignment="1">
      <x:alignment horizontal="right" vertical="center" wrapText="1"/>
    </x:xf>
    <x:xf numFmtId="0" fontId="7" fillId="34" borderId="51" xfId="0" applyNumberFormat="1" applyFont="1" applyFill="1" applyBorder="1" applyAlignment="1">
      <x:alignment horizontal="center" vertical="center" wrapText="1"/>
    </x:xf>
    <x:xf numFmtId="0" fontId="7" fillId="34" borderId="52" xfId="0" applyNumberFormat="1" applyFont="1" applyFill="1" applyBorder="1" applyAlignment="1">
      <x:alignment vertical="center" wrapText="1"/>
    </x:xf>
    <x:xf numFmtId="204" fontId="7" fillId="34" borderId="52" xfId="0" applyNumberFormat="1" applyFont="1" applyFill="1" applyBorder="1" applyAlignment="1">
      <x:alignment horizontal="center" vertical="center" wrapText="1"/>
    </x:xf>
    <x:xf numFmtId="203" fontId="7" fillId="34" borderId="52" xfId="0" applyNumberFormat="1" applyFont="1" applyFill="1" applyBorder="1" applyAlignment="1">
      <x:alignment horizontal="right" vertical="center" wrapText="1"/>
    </x:xf>
    <x:xf numFmtId="203" fontId="7" fillId="34" borderId="53" xfId="0" applyNumberFormat="1" applyFont="1" applyFill="1" applyBorder="1" applyAlignment="1">
      <x:alignment horizontal="right" vertical="center" wrapText="1"/>
    </x:xf>
    <x:xf numFmtId="0" fontId="7" fillId="34" borderId="62" xfId="0" applyNumberFormat="1" applyFont="1" applyFill="1" applyBorder="1" applyAlignment="1">
      <x:alignment horizontal="center" vertical="center" wrapText="1"/>
    </x:xf>
    <x:xf numFmtId="0" fontId="7" fillId="34" borderId="63" xfId="0" applyNumberFormat="1" applyFont="1" applyFill="1" applyBorder="1" applyAlignment="1">
      <x:alignment vertical="center" wrapText="1"/>
    </x:xf>
    <x:xf numFmtId="204" fontId="7" fillId="34" borderId="63" xfId="0" applyNumberFormat="1" applyFont="1" applyFill="1" applyBorder="1" applyAlignment="1">
      <x:alignment horizontal="center" vertical="center" wrapText="1"/>
    </x:xf>
    <x:xf numFmtId="203" fontId="7" fillId="34" borderId="63" xfId="0" applyNumberFormat="1" applyFont="1" applyFill="1" applyBorder="1" applyAlignment="1">
      <x:alignment horizontal="right" vertical="center" wrapText="1"/>
    </x:xf>
    <x:xf numFmtId="0" fontId="7" fillId="34" borderId="64" xfId="0" applyNumberFormat="1" applyFont="1" applyFill="1" applyBorder="1" applyAlignment="1">
      <x:alignment horizontal="center" vertical="center" wrapText="1"/>
    </x:xf>
    <x:xf numFmtId="0" fontId="7" fillId="34" borderId="65" xfId="0" applyNumberFormat="1" applyFont="1" applyFill="1" applyBorder="1" applyAlignment="1">
      <x:alignment vertical="center" wrapText="1"/>
    </x:xf>
    <x:xf numFmtId="204" fontId="7" fillId="34" borderId="65" xfId="0" applyNumberFormat="1" applyFont="1" applyFill="1" applyBorder="1" applyAlignment="1">
      <x:alignment horizontal="center" vertical="center" wrapText="1"/>
    </x:xf>
    <x:xf numFmtId="203" fontId="7" fillId="34" borderId="65" xfId="0" applyNumberFormat="1" applyFont="1" applyFill="1" applyBorder="1" applyAlignment="1">
      <x:alignment horizontal="right" vertical="center" wrapText="1"/>
    </x:xf>
    <x:xf numFmtId="0" fontId="1" fillId="31" xfId="0" applyNumberFormat="1" applyFont="1" applyFill="1" applyBorder="0" applyAlignment="1">
      <x:alignment vertical="center" wrapText="1"/>
    </x:xf>
    <x:xf numFmtId="203" fontId="1" fillId="31" xfId="0" applyNumberFormat="1" applyFont="1" applyFill="1" applyBorder="0" applyAlignment="1">
      <x:alignment vertical="center" wrapText="1"/>
    </x:xf>
    <x:xf numFmtId="0" fontId="37" fillId="31" xfId="0" applyNumberFormat="1" applyFont="1" applyFill="1" applyBorder="0" applyAlignment="1">
      <x:alignment vertical="center" wrapText="1"/>
    </x:xf>
    <x:xf numFmtId="203" fontId="37" fillId="31" xfId="0" applyNumberFormat="1" applyFont="1" applyFill="1" applyBorder="0" applyAlignment="1">
      <x:alignment vertical="center" wrapText="1"/>
    </x:xf>
    <x:xf numFmtId="0" fontId="37" fillId="31" xfId="0" applyNumberFormat="1" applyFont="1" applyFill="1" applyBorder="0" applyAlignment="1">
      <x:alignment horizontal="center" vertical="center" wrapText="1"/>
    </x:xf>
    <x:xf numFmtId="203" fontId="37" fillId="31" xfId="0" applyNumberFormat="1" applyFont="1" applyFill="1" applyBorder="0" applyAlignment="1">
      <x:alignment horizontal="center" vertical="center" wrapText="1"/>
    </x:xf>
    <x:xf numFmtId="0" fontId="1" fillId="33" borderId="5" xfId="0" applyNumberFormat="1" applyFont="1" applyFill="1" applyBorder="1" applyAlignment="1">
      <x:alignment vertical="center" wrapText="1"/>
    </x:xf>
    <x:xf numFmtId="203" fontId="1" fillId="33" xfId="0" applyNumberFormat="1" applyFont="1" applyFill="1" applyBorder="0" applyAlignment="1">
      <x:alignment vertical="center" wrapText="1"/>
    </x:xf>
    <x:xf numFmtId="203" fontId="1" fillId="33" borderId="6" xfId="0" applyNumberFormat="1" applyFont="1" applyFill="1" applyBorder="1" applyAlignment="1">
      <x:alignment vertical="center" wrapText="1"/>
    </x:xf>
    <x:xf numFmtId="0" fontId="7" fillId="33" borderId="5" xfId="0" applyNumberFormat="1" applyFont="1" applyFill="1" applyBorder="1" applyAlignment="1">
      <x:alignment vertical="center" wrapText="1"/>
    </x:xf>
    <x:xf numFmtId="203" fontId="7" fillId="33" xfId="0" applyNumberFormat="1" applyFont="1" applyFill="1" applyBorder="0" applyAlignment="1">
      <x:alignment vertical="center" wrapText="1"/>
    </x:xf>
    <x:xf numFmtId="203" fontId="7" fillId="33" borderId="6" xfId="0" applyNumberFormat="1" applyFont="1" applyFill="1" applyBorder="1" applyAlignment="1">
      <x:alignment vertical="center" wrapText="1"/>
    </x:xf>
    <x:xf numFmtId="203" fontId="7" fillId="33" xfId="0" applyNumberFormat="1" applyFont="1" applyFill="1" applyBorder="0" applyAlignment="1">
      <x:alignment horizontal="left" vertical="center" wrapText="1"/>
    </x:xf>
    <x:xf numFmtId="203" fontId="7" fillId="33" xfId="0" applyNumberFormat="1" applyFont="1" applyFill="1" applyBorder="0" applyAlignment="1">
      <x:alignment horizontal="right" vertical="center" wrapText="1"/>
    </x:xf>
    <x:xf numFmtId="203" fontId="7" fillId="33" borderId="6" xfId="0" applyNumberFormat="1" applyFont="1" applyFill="1" applyBorder="1" applyAlignment="1">
      <x:alignment horizontal="right" vertical="center" wrapText="1"/>
    </x:xf>
    <x:xf numFmtId="203" fontId="7" fillId="32" borderId="20" xfId="0" applyNumberFormat="1" applyFont="1" applyFill="1" applyBorder="1" applyAlignment="1">
      <x:alignment vertical="center" wrapText="1"/>
    </x:xf>
    <x:xf numFmtId="203" fontId="1" fillId="32" borderId="20" xfId="0" applyNumberFormat="1" applyFont="1" applyFill="1" applyBorder="1" applyAlignment="1">
      <x:alignment vertical="center" wrapText="1"/>
    </x:xf>
    <x:xf numFmtId="203" fontId="7" fillId="32" borderId="22" xfId="0" applyNumberFormat="1" applyFont="1" applyFill="1" applyBorder="1" applyAlignment="1">
      <x:alignment vertical="center" wrapText="1"/>
    </x:xf>
    <x:xf numFmtId="203" fontId="7" fillId="32" borderId="20" xfId="0" applyNumberFormat="1" applyFont="1" applyFill="1" applyBorder="1" applyAlignment="1">
      <x:alignment horizontal="center" vertical="center" wrapText="1"/>
    </x:xf>
    <x:xf numFmtId="203" fontId="7" fillId="32" borderId="19" xfId="0" applyNumberFormat="1" applyFont="1" applyFill="1" applyBorder="1" applyAlignment="1">
      <x:alignment vertical="center" wrapText="1"/>
    </x:xf>
    <x:xf numFmtId="203" fontId="7" fillId="32" borderId="30" xfId="0" applyNumberFormat="1" applyFont="1" applyFill="1" applyBorder="1" applyAlignment="1">
      <x:alignment vertical="center" wrapText="1"/>
    </x:xf>
    <x:xf numFmtId="203" fontId="1" fillId="32" borderId="27" xfId="0" applyNumberFormat="1" applyFont="1" applyFill="1" applyBorder="1" applyAlignment="1">
      <x:alignment vertical="center" wrapText="1"/>
    </x:xf>
    <x:xf numFmtId="203" fontId="7" fillId="32" borderId="27" xfId="0" applyNumberFormat="1" applyFont="1" applyFill="1" applyBorder="1" applyAlignment="1">
      <x:alignment vertical="center" wrapText="1"/>
    </x:xf>
    <x:xf numFmtId="203" fontId="7" fillId="32" borderId="27" xfId="0" applyNumberFormat="1" applyFont="1" applyFill="1" applyBorder="1" applyAlignment="1">
      <x:alignment horizontal="center" vertical="center" wrapText="1"/>
    </x:xf>
    <x:xf numFmtId="0" fontId="7" fillId="32" borderId="28" xfId="0" applyNumberFormat="1" applyFont="1" applyFill="1" applyBorder="1" applyAlignment="1">
      <x:alignment horizontal="center" vertical="center" wrapText="1"/>
    </x:xf>
    <x:xf numFmtId="203" fontId="7" fillId="32" borderId="28" xfId="0" applyNumberFormat="1" applyFont="1" applyFill="1" applyBorder="1" applyAlignment="1">
      <x:alignment vertical="center" wrapText="1"/>
    </x:xf>
    <x:xf numFmtId="204" fontId="7" fillId="32" borderId="28" xfId="0" applyNumberFormat="1" applyFont="1" applyFill="1" applyBorder="1" applyAlignment="1">
      <x:alignment horizontal="center" vertical="center" wrapText="1"/>
    </x:xf>
    <x:xf numFmtId="203" fontId="7" fillId="32" borderId="28" xfId="0" applyNumberFormat="1" applyFont="1" applyFill="1" applyBorder="1" applyAlignment="1">
      <x:alignment horizontal="right" vertical="center" wrapText="1"/>
    </x:xf>
    <x:xf numFmtId="203" fontId="7" fillId="32" borderId="33" xfId="0" applyNumberFormat="1" applyFont="1" applyFill="1" applyBorder="1" applyAlignment="1">
      <x:alignment vertical="center" wrapText="1"/>
    </x:xf>
    <x:xf numFmtId="203" fontId="1" fillId="32" borderId="34" xfId="0" applyNumberFormat="1" applyFont="1" applyFill="1" applyBorder="1" applyAlignment="1">
      <x:alignment vertical="center" wrapText="1"/>
    </x:xf>
    <x:xf numFmtId="203" fontId="7" fillId="32" borderId="34" xfId="0" applyNumberFormat="1" applyFont="1" applyFill="1" applyBorder="1" applyAlignment="1">
      <x:alignment vertical="center" wrapText="1"/>
    </x:xf>
    <x:xf numFmtId="203" fontId="7" fillId="32" borderId="34" xfId="0" applyNumberFormat="1" applyFont="1" applyFill="1" applyBorder="1" applyAlignment="1">
      <x:alignment horizontal="center" vertical="center" wrapText="1"/>
    </x:xf>
    <x:xf numFmtId="0" fontId="7" fillId="32" borderId="35" xfId="0" applyNumberFormat="1" applyFont="1" applyFill="1" applyBorder="1" applyAlignment="1">
      <x:alignment horizontal="center" vertical="center" wrapText="1"/>
    </x:xf>
    <x:xf numFmtId="203" fontId="7" fillId="32" borderId="35" xfId="0" applyNumberFormat="1" applyFont="1" applyFill="1" applyBorder="1" applyAlignment="1">
      <x:alignment vertical="center" wrapText="1"/>
    </x:xf>
    <x:xf numFmtId="204" fontId="7" fillId="32" borderId="35" xfId="0" applyNumberFormat="1" applyFont="1" applyFill="1" applyBorder="1" applyAlignment="1">
      <x:alignment horizontal="center" vertical="center" wrapText="1"/>
    </x:xf>
    <x:xf numFmtId="203" fontId="7" fillId="32" borderId="35" xfId="0" applyNumberFormat="1" applyFont="1" applyFill="1" applyBorder="1" applyAlignment="1">
      <x:alignment horizontal="right" vertical="center" wrapText="1"/>
    </x:xf>
    <x:xf numFmtId="203" fontId="7" fillId="32" borderId="37" xfId="0" applyNumberFormat="1" applyFont="1" applyFill="1" applyBorder="1" applyAlignment="1">
      <x:alignment vertical="center" wrapText="1"/>
    </x:xf>
    <x:xf numFmtId="203" fontId="1" fillId="32" borderId="40" xfId="0" applyNumberFormat="1" applyFont="1" applyFill="1" applyBorder="1" applyAlignment="1">
      <x:alignment vertical="center" wrapText="1"/>
    </x:xf>
    <x:xf numFmtId="203" fontId="7" fillId="32" borderId="40" xfId="0" applyNumberFormat="1" applyFont="1" applyFill="1" applyBorder="1" applyAlignment="1">
      <x:alignment vertical="center" wrapText="1"/>
    </x:xf>
    <x:xf numFmtId="203" fontId="7" fillId="32" borderId="40" xfId="0" applyNumberFormat="1" applyFont="1" applyFill="1" applyBorder="1" applyAlignment="1">
      <x:alignment horizontal="center" vertical="center" wrapText="1"/>
    </x:xf>
    <x:xf numFmtId="0" fontId="7" fillId="32" borderId="42" xfId="0" applyNumberFormat="1" applyFont="1" applyFill="1" applyBorder="1" applyAlignment="1">
      <x:alignment horizontal="center" vertical="center" wrapText="1"/>
    </x:xf>
    <x:xf numFmtId="203" fontId="7" fillId="32" borderId="43" xfId="0" applyNumberFormat="1" applyFont="1" applyFill="1" applyBorder="1" applyAlignment="1">
      <x:alignment vertical="center" wrapText="1"/>
    </x:xf>
    <x:xf numFmtId="204" fontId="7" fillId="32" borderId="43" xfId="0" applyNumberFormat="1" applyFont="1" applyFill="1" applyBorder="1" applyAlignment="1">
      <x:alignment horizontal="center" vertical="center" wrapText="1"/>
    </x:xf>
    <x:xf numFmtId="203" fontId="7" fillId="32" borderId="43" xfId="0" applyNumberFormat="1" applyFont="1" applyFill="1" applyBorder="1" applyAlignment="1">
      <x:alignment horizontal="right" vertical="center" wrapText="1"/>
    </x:xf>
    <x:xf numFmtId="203" fontId="7" fillId="32" borderId="44" xfId="0" applyNumberFormat="1" applyFont="1" applyFill="1" applyBorder="1" applyAlignment="1">
      <x:alignment horizontal="right" vertical="center" wrapText="1"/>
    </x:xf>
    <x:xf numFmtId="203" fontId="7" fillId="32" borderId="46" xfId="0" applyNumberFormat="1" applyFont="1" applyFill="1" applyBorder="1" applyAlignment="1">
      <x:alignment vertical="center" wrapText="1"/>
    </x:xf>
    <x:xf numFmtId="203" fontId="1" fillId="32" borderId="49" xfId="0" applyNumberFormat="1" applyFont="1" applyFill="1" applyBorder="1" applyAlignment="1">
      <x:alignment vertical="center" wrapText="1"/>
    </x:xf>
    <x:xf numFmtId="203" fontId="7" fillId="32" borderId="49" xfId="0" applyNumberFormat="1" applyFont="1" applyFill="1" applyBorder="1" applyAlignment="1">
      <x:alignment vertical="center" wrapText="1"/>
    </x:xf>
    <x:xf numFmtId="203" fontId="7" fillId="32" borderId="49" xfId="0" applyNumberFormat="1" applyFont="1" applyFill="1" applyBorder="1" applyAlignment="1">
      <x:alignment horizontal="center" vertical="center" wrapText="1"/>
    </x:xf>
    <x:xf numFmtId="0" fontId="7" fillId="32" borderId="51" xfId="0" applyNumberFormat="1" applyFont="1" applyFill="1" applyBorder="1" applyAlignment="1">
      <x:alignment horizontal="center" vertical="center" wrapText="1"/>
    </x:xf>
    <x:xf numFmtId="203" fontId="7" fillId="32" borderId="52" xfId="0" applyNumberFormat="1" applyFont="1" applyFill="1" applyBorder="1" applyAlignment="1">
      <x:alignment vertical="center" wrapText="1"/>
    </x:xf>
    <x:xf numFmtId="204" fontId="7" fillId="32" borderId="52" xfId="0" applyNumberFormat="1" applyFont="1" applyFill="1" applyBorder="1" applyAlignment="1">
      <x:alignment horizontal="center" vertical="center" wrapText="1"/>
    </x:xf>
    <x:xf numFmtId="203" fontId="7" fillId="32" borderId="52" xfId="0" applyNumberFormat="1" applyFont="1" applyFill="1" applyBorder="1" applyAlignment="1">
      <x:alignment horizontal="right" vertical="center" wrapText="1"/>
    </x:xf>
    <x:xf numFmtId="203" fontId="7" fillId="32" borderId="53" xfId="0" applyNumberFormat="1" applyFont="1" applyFill="1" applyBorder="1" applyAlignment="1">
      <x:alignment horizontal="right" vertical="center" wrapText="1"/>
    </x:xf>
    <x:xf numFmtId="0" fontId="1" fillId="34" borderId="48" xfId="0" applyNumberFormat="1" applyFont="1" applyFill="1" applyBorder="1" applyAlignment="1">
      <x:alignment horizontal="center" vertical="center" wrapText="1"/>
    </x:xf>
    <x:xf numFmtId="203" fontId="1" fillId="34" borderId="49" xfId="0" applyNumberFormat="1" applyFont="1" applyFill="1" applyBorder="1" applyAlignment="1">
      <x:alignment vertical="center" wrapText="1"/>
    </x:xf>
    <x:xf numFmtId="204" fontId="1" fillId="34" borderId="49" xfId="0" applyNumberFormat="1" applyFont="1" applyFill="1" applyBorder="1" applyAlignment="1">
      <x:alignment horizontal="center" vertical="center" wrapText="1"/>
    </x:xf>
    <x:xf numFmtId="203" fontId="1" fillId="34" borderId="49" xfId="0" applyNumberFormat="1" applyFont="1" applyFill="1" applyBorder="1" applyAlignment="1">
      <x:alignment horizontal="right" vertical="center" wrapText="1"/>
    </x:xf>
    <x:xf numFmtId="203" fontId="1" fillId="34" borderId="50" xfId="0" applyNumberFormat="1" applyFont="1" applyFill="1" applyBorder="1" applyAlignment="1">
      <x:alignment horizontal="right" vertical="center" wrapText="1"/>
    </x:xf>
    <x:xf numFmtId="203" fontId="7" fillId="34" borderId="49" xfId="0" applyNumberFormat="1" applyFont="1" applyFill="1" applyBorder="1" applyAlignment="1">
      <x:alignment vertical="center" wrapText="1"/>
    </x:xf>
    <x:xf numFmtId="203" fontId="7" fillId="35" borderId="49" xfId="0" applyNumberFormat="1" applyFont="1" applyFill="1" applyBorder="1" applyAlignment="1">
      <x:alignment vertical="center" wrapText="1"/>
    </x:xf>
    <x:xf numFmtId="203" fontId="7" fillId="35" borderId="46" xfId="0" applyNumberFormat="1" applyFont="1" applyFill="1" applyBorder="1" applyAlignment="1">
      <x:alignment vertical="center" wrapText="1"/>
    </x:xf>
    <x:xf numFmtId="203" fontId="1" fillId="35" borderId="49" xfId="0" applyNumberFormat="1" applyFont="1" applyFill="1" applyBorder="1" applyAlignment="1">
      <x:alignment vertical="center" wrapText="1"/>
    </x:xf>
    <x:xf numFmtId="203" fontId="7" fillId="35" borderId="49" xfId="0" applyNumberFormat="1" applyFont="1" applyFill="1" applyBorder="1" applyAlignment="1">
      <x:alignment horizontal="center" vertical="center" wrapText="1"/>
    </x:xf>
    <x:xf numFmtId="203" fontId="7" fillId="35" borderId="46" xfId="0" applyNumberFormat="1" applyFont="1" applyFill="1" applyBorder="1" applyAlignment="1">
      <x:alignment horizontal="center" vertical="center" wrapText="1"/>
    </x:xf>
    <x:xf numFmtId="203" fontId="7" fillId="34" borderId="52" xfId="0" applyNumberFormat="1" applyFont="1" applyFill="1" applyBorder="1" applyAlignment="1">
      <x:alignment vertical="center" wrapText="1"/>
    </x:xf>
    <x:xf numFmtId="203" fontId="7" fillId="34" borderId="63" xfId="0" applyNumberFormat="1" applyFont="1" applyFill="1" applyBorder="1" applyAlignment="1">
      <x:alignment vertical="center" wrapText="1"/>
    </x:xf>
    <x:xf numFmtId="203" fontId="7" fillId="34" borderId="65" xfId="0" applyNumberFormat="1" applyFont="1" applyFill="1" applyBorder="1" applyAlignment="1">
      <x:alignment vertical="center" wrapText="1"/>
    </x:xf>
    <x:xf numFmtId="203" fontId="7" fillId="34" borderId="61" xfId="0" applyNumberFormat="1" applyFont="1" applyFill="1" applyBorder="1" applyAlignment="1">
      <x:alignment vertical="center" wrapText="1"/>
    </x:xf>
    <x:xf numFmtId="203" fontId="7" fillId="36" borderId="49" xfId="0" applyNumberFormat="1" applyFont="1" applyFill="1" applyBorder="1" applyAlignment="1">
      <x:alignment horizontal="right" vertical="center" wrapText="1"/>
    </x:xf>
    <x:xf numFmtId="203" fontId="7" fillId="36" borderId="50" xfId="0" applyNumberFormat="1" applyFont="1" applyFill="1" applyBorder="1" applyAlignment="1">
      <x:alignment horizontal="right" vertical="center" wrapText="1"/>
    </x:xf>
    <x:xf numFmtId="203" fontId="7" fillId="36" borderId="46" xfId="0" applyNumberFormat="1" applyFont="1" applyFill="1" applyBorder="1" applyAlignment="1">
      <x:alignment horizontal="right" vertical="center" wrapText="1"/>
    </x:xf>
    <x:xf numFmtId="203" fontId="1" fillId="36" borderId="49" xfId="0" applyNumberFormat="1" applyFont="1" applyFill="1" applyBorder="1" applyAlignment="1">
      <x:alignment horizontal="right" vertical="center" wrapText="1"/>
    </x:xf>
    <x:xf numFmtId="203" fontId="1" fillId="36" borderId="50" xfId="0" applyNumberFormat="1" applyFont="1" applyFill="1" applyBorder="1" applyAlignment="1">
      <x:alignment horizontal="right" vertical="center" wrapText="1"/>
    </x:xf>
    <x:xf numFmtId="0" fontId="1" fillId="31" xfId="0" applyNumberFormat="1" applyFont="1" applyFill="1" applyBorder="0" applyAlignment="1">
      <x:alignment vertical="top" wrapText="1"/>
    </x:xf>
    <x:xf numFmtId="203" fontId="1" fillId="31" xfId="0" applyNumberFormat="1" applyFont="1" applyFill="1" applyBorder="0" applyAlignment="1">
      <x:alignment vertical="top" wrapText="1"/>
    </x:xf>
    <x:xf numFmtId="203" fontId="24" fillId="31" xfId="0" applyNumberFormat="1" applyFont="1" applyFill="1" applyBorder="0" applyAlignment="1">
      <x:alignment vertical="center" wrapText="1"/>
    </x:xf>
    <x:xf numFmtId="0" fontId="37" fillId="31" xfId="0" applyNumberFormat="1" applyFont="1" applyFill="1" applyBorder="0" applyAlignment="1">
      <x:alignment vertical="top" wrapText="1"/>
    </x:xf>
    <x:xf numFmtId="203" fontId="37" fillId="31" xfId="0" applyNumberFormat="1" applyFont="1" applyFill="1" applyBorder="0" applyAlignment="1">
      <x:alignment vertical="top" wrapText="1"/>
    </x:xf>
    <x:xf numFmtId="0" fontId="37" fillId="31" xfId="0" applyNumberFormat="1" applyFont="1" applyFill="1" applyBorder="0" applyAlignment="1">
      <x:alignment horizontal="center" vertical="top" wrapText="1"/>
    </x:xf>
    <x:xf numFmtId="203" fontId="37" fillId="31" xfId="0" applyNumberFormat="1" applyFont="1" applyFill="1" applyBorder="0" applyAlignment="1">
      <x:alignment horizontal="center" vertical="top" wrapText="1"/>
    </x:xf>
    <x:xf numFmtId="0" fontId="7" fillId="32" borderId="2" xfId="0" applyNumberFormat="1" applyFont="1" applyFill="1" applyBorder="1" applyAlignment="1">
      <x:alignment horizontal="left" vertical="top" wrapText="0"/>
    </x:xf>
    <x:xf numFmtId="203" fontId="7" fillId="32" borderId="4" xfId="0" applyNumberFormat="1" applyFont="1" applyFill="1" applyBorder="1" applyAlignment="1">
      <x:alignment horizontal="left" vertical="top" wrapText="0"/>
    </x:xf>
    <x:xf numFmtId="203" fontId="7" fillId="32" xfId="0" applyNumberFormat="1" applyFont="1" applyFill="1" applyBorder="0" applyAlignment="1">
      <x:alignment horizontal="left" vertical="top" wrapText="1"/>
    </x:xf>
    <x:xf numFmtId="0" fontId="7" fillId="32" borderId="7" xfId="0" applyNumberFormat="1" applyFont="1" applyFill="1" applyBorder="1" applyAlignment="1">
      <x:alignment horizontal="left" vertical="top" wrapText="0"/>
    </x:xf>
    <x:xf numFmtId="203" fontId="7" fillId="32" borderId="9" xfId="0" applyNumberFormat="1" applyFont="1" applyFill="1" applyBorder="1" applyAlignment="1">
      <x:alignment horizontal="left" vertical="top" wrapText="0"/>
    </x:xf>
    <x:xf numFmtId="0" fontId="7" fillId="32" borderId="2" xfId="0" applyNumberFormat="1" applyFont="1" applyFill="1" applyBorder="1" applyAlignment="1">
      <x:alignment horizontal="center" vertical="top" wrapText="0"/>
    </x:xf>
    <x:xf numFmtId="203" fontId="7" fillId="32" borderId="4" xfId="0" applyNumberFormat="1" applyFont="1" applyFill="1" applyBorder="1" applyAlignment="1">
      <x:alignment horizontal="center" vertical="top" wrapText="0"/>
    </x:xf>
    <x:xf numFmtId="203" fontId="7" fillId="32" xfId="0" applyNumberFormat="1" applyFont="1" applyFill="1" applyBorder="0" applyAlignment="1">
      <x:alignment horizontal="center" vertical="top" wrapText="1"/>
    </x:xf>
    <x:xf numFmtId="203" fontId="7" fillId="32" xfId="0" applyNumberFormat="1" applyFont="1" applyFill="1" applyBorder="0" applyAlignment="1">
      <x:alignment horizontal="center" vertical="center" wrapText="0"/>
    </x:xf>
    <x:xf numFmtId="0" fontId="7" fillId="32" borderId="7" xfId="0" applyNumberFormat="1" applyFont="1" applyFill="1" applyBorder="1" applyAlignment="1">
      <x:alignment horizontal="center" vertical="top" wrapText="0"/>
    </x:xf>
    <x:xf numFmtId="203" fontId="7" fillId="32" borderId="9" xfId="0" applyNumberFormat="1" applyFont="1" applyFill="1" applyBorder="1" applyAlignment="1">
      <x:alignment horizontal="center" vertical="top" wrapText="0"/>
    </x:xf>
    <x:xf numFmtId="0" fontId="7" fillId="32" borderId="2" xfId="0" applyNumberFormat="1" applyFont="1" applyFill="1" applyBorder="1" applyAlignment="1">
      <x:alignment horizontal="center" vertical="center" wrapText="0"/>
    </x:xf>
    <x:xf numFmtId="203" fontId="7" fillId="32" borderId="4" xfId="0" applyNumberFormat="1" applyFont="1" applyFill="1" applyBorder="1" applyAlignment="1">
      <x:alignment horizontal="center" vertical="center" wrapText="0"/>
    </x:xf>
    <x:xf numFmtId="203" fontId="7" fillId="32" xfId="0" applyNumberFormat="1" applyFont="1" applyFill="1" applyBorder="0" applyAlignment="1">
      <x:alignment horizontal="center" vertical="center" wrapText="1"/>
    </x:xf>
    <x:xf numFmtId="0" fontId="7" fillId="32" borderId="7" xfId="0" applyNumberFormat="1" applyFont="1" applyFill="1" applyBorder="1" applyAlignment="1">
      <x:alignment horizontal="center" vertical="center" wrapText="0"/>
    </x:xf>
    <x:xf numFmtId="203" fontId="7" fillId="32" borderId="9" xfId="0" applyNumberFormat="1" applyFont="1" applyFill="1" applyBorder="1" applyAlignment="1">
      <x:alignment horizontal="center" vertical="center" wrapText="0"/>
    </x:xf>
    <x:xf numFmtId="0" fontId="7" fillId="31" borderId="22" xfId="0" applyNumberFormat="1" applyFont="1" applyFill="1" applyBorder="1" applyAlignment="1">
      <x:alignment vertical="top" wrapText="1"/>
    </x:xf>
    <x:xf numFmtId="203" fontId="7" fillId="31" borderId="22" xfId="0" applyNumberFormat="1" applyFont="1" applyFill="1" applyBorder="1" applyAlignment="1">
      <x:alignment vertical="top" wrapText="1"/>
    </x:xf>
    <x:xf numFmtId="0" fontId="5" fillId="31" borderId="22" xfId="0" applyNumberFormat="1" applyFont="1" applyFill="1" applyBorder="1" applyAlignment="1">
      <x:alignment vertical="top" wrapText="1"/>
    </x:xf>
    <x:xf numFmtId="203" fontId="5" fillId="31" borderId="22" xfId="0" applyNumberFormat="1" applyFont="1" applyFill="1" applyBorder="1" applyAlignment="1">
      <x:alignment vertical="top" wrapText="1"/>
    </x:xf>
    <x:xf numFmtId="203" fontId="5" fillId="31" xfId="0" applyNumberFormat="1" applyFont="1" applyFill="1" applyBorder="0" applyAlignment="1">
      <x:alignment vertical="top" wrapText="1"/>
    </x:xf>
    <x:xf numFmtId="203" fontId="5" fillId="31" xfId="0" applyNumberFormat="1" applyFont="1" applyFill="1" applyBorder="0" applyAlignment="1">
      <x:alignment vertical="center" wrapText="1"/>
    </x:xf>
    <x:xf numFmtId="0" fontId="5" fillId="31" borderId="22" xfId="0" applyNumberFormat="1" applyFont="1" applyFill="1" applyBorder="1" applyAlignment="1">
      <x:alignment vertical="center" wrapText="1"/>
    </x:xf>
    <x:xf numFmtId="203" fontId="5" fillId="31" borderId="22" xfId="0" applyNumberFormat="1" applyFont="1" applyFill="1" applyBorder="1" applyAlignment="1">
      <x:alignment vertical="center" wrapText="1"/>
    </x:xf>
    <x:xf numFmtId="0" fontId="1" fillId="36" borderId="22" xfId="0" applyNumberFormat="1" applyFont="1" applyFill="1" applyBorder="1" applyAlignment="1">
      <x:alignment vertical="top" wrapText="1"/>
    </x:xf>
    <x:xf numFmtId="203" fontId="1" fillId="36" borderId="22" xfId="0" applyNumberFormat="1" applyFont="1" applyFill="1" applyBorder="1" applyAlignment="1">
      <x:alignment vertical="top" wrapText="1"/>
    </x:xf>
    <x:xf numFmtId="203" fontId="1" fillId="36" xfId="0" applyNumberFormat="1" applyFont="1" applyFill="1" applyBorder="0" applyAlignment="1">
      <x:alignment vertical="top" wrapText="1"/>
    </x:xf>
    <x:xf numFmtId="203" fontId="24" fillId="36" xfId="0" applyNumberFormat="1" applyFont="1" applyFill="1" applyBorder="0" applyAlignment="1">
      <x:alignment vertical="center" wrapText="1"/>
    </x:xf>
    <x:xf numFmtId="0" fontId="7" fillId="36" borderId="22" xfId="0" applyNumberFormat="1" applyFont="1" applyFill="1" applyBorder="1" applyAlignment="1">
      <x:alignment vertical="top" wrapText="1"/>
    </x:xf>
    <x:xf numFmtId="203" fontId="7" fillId="36" borderId="22" xfId="0" applyNumberFormat="1" applyFont="1" applyFill="1" applyBorder="1" applyAlignment="1">
      <x:alignment vertical="top" wrapText="1"/>
    </x:xf>
    <x:xf numFmtId="203" fontId="7" fillId="36" xfId="0" applyNumberFormat="1" applyFont="1" applyFill="1" applyBorder="0" applyAlignment="1">
      <x:alignment vertical="top" wrapText="1"/>
    </x:xf>
    <x:xf numFmtId="203" fontId="26" fillId="36" xfId="0" applyNumberFormat="1" applyFont="1" applyFill="1" applyBorder="0" applyAlignment="1">
      <x:alignment vertical="center" wrapText="1"/>
    </x:xf>
    <x:xf numFmtId="203" fontId="1" fillId="36" xfId="0" applyNumberFormat="1" applyFont="1" applyFill="1" applyBorder="0" applyAlignment="1">
      <x:alignment vertical="center" wrapText="1"/>
    </x:xf>
    <x:xf numFmtId="203" fontId="7" fillId="36" xfId="0" applyNumberFormat="1" applyFont="1" applyFill="1" applyBorder="0" applyAlignment="1">
      <x:alignment vertical="center" wrapText="1"/>
    </x:xf>
    <x:xf numFmtId="203" fontId="1" fillId="36" borderId="3" xfId="0" applyNumberFormat="1" applyFont="1" applyFill="1" applyBorder="1" applyAlignment="1">
      <x:alignment vertical="top" wrapText="1"/>
    </x:xf>
    <x:xf numFmtId="203" fontId="1" fillId="36" borderId="4" xfId="0" applyNumberFormat="1" applyFont="1" applyFill="1" applyBorder="1" applyAlignment="1">
      <x:alignment vertical="top" wrapText="1"/>
    </x:xf>
    <x:xf numFmtId="203" fontId="1" fillId="36" borderId="6" xfId="0" applyNumberFormat="1" applyFont="1" applyFill="1" applyBorder="1" applyAlignment="1">
      <x:alignment vertical="top" wrapText="1"/>
    </x:xf>
    <x:xf numFmtId="203" fontId="7" fillId="36" borderId="8" xfId="0" applyNumberFormat="1" applyFont="1" applyFill="1" applyBorder="1" applyAlignment="1">
      <x:alignment vertical="top" wrapText="1"/>
    </x:xf>
    <x:xf numFmtId="203" fontId="7" fillId="36" borderId="9" xfId="0" applyNumberFormat="1" applyFont="1" applyFill="1" applyBorder="1" applyAlignment="1">
      <x:alignment vertical="top" wrapText="1"/>
    </x:xf>
    <x:xf numFmtId="0" fontId="1" fillId="36" borderId="30" xfId="0" applyNumberFormat="1" applyFont="1" applyFill="1" applyBorder="1" applyAlignment="1">
      <x:alignment vertical="top" wrapText="1"/>
    </x:xf>
    <x:xf numFmtId="203" fontId="1" fillId="36" borderId="30" xfId="0" applyNumberFormat="1" applyFont="1" applyFill="1" applyBorder="1" applyAlignment="1">
      <x:alignment vertical="top" wrapText="1"/>
    </x:xf>
    <x:xf numFmtId="203" fontId="1" fillId="36" borderId="66" xfId="0" applyNumberFormat="1" applyFont="1" applyFill="1" applyBorder="1" applyAlignment="1">
      <x:alignment vertical="top" wrapText="1"/>
    </x:xf>
    <x:xf numFmtId="203" fontId="1" fillId="36" borderId="67" xfId="0" applyNumberFormat="1" applyFont="1" applyFill="1" applyBorder="1" applyAlignment="1">
      <x:alignment vertical="top" wrapText="1"/>
    </x:xf>
    <x:xf numFmtId="0" fontId="1" fillId="36" borderId="27" xfId="0" applyNumberFormat="1" applyFont="1" applyFill="1" applyBorder="1" applyAlignment="1">
      <x:alignment vertical="top" wrapText="1"/>
    </x:xf>
    <x:xf numFmtId="203" fontId="1" fillId="36" borderId="27" xfId="0" applyNumberFormat="1" applyFont="1" applyFill="1" applyBorder="1" applyAlignment="1">
      <x:alignment vertical="top" wrapText="1"/>
    </x:xf>
    <x:xf numFmtId="203" fontId="1" fillId="36" borderId="68" xfId="0" applyNumberFormat="1" applyFont="1" applyFill="1" applyBorder="1" applyAlignment="1">
      <x:alignment vertical="top" wrapText="1"/>
    </x:xf>
    <x:xf numFmtId="203" fontId="1" fillId="36" borderId="69" xfId="0" applyNumberFormat="1" applyFont="1" applyFill="1" applyBorder="1" applyAlignment="1">
      <x:alignment vertical="top" wrapText="1"/>
    </x:xf>
    <x:xf numFmtId="0" fontId="7" fillId="36" borderId="28" xfId="0" applyNumberFormat="1" applyFont="1" applyFill="1" applyBorder="1" applyAlignment="1">
      <x:alignment vertical="top" wrapText="1"/>
    </x:xf>
    <x:xf numFmtId="203" fontId="7" fillId="36" borderId="28" xfId="0" applyNumberFormat="1" applyFont="1" applyFill="1" applyBorder="1" applyAlignment="1">
      <x:alignment vertical="top" wrapText="1"/>
    </x:xf>
    <x:xf numFmtId="203" fontId="7" fillId="36" borderId="70" xfId="0" applyNumberFormat="1" applyFont="1" applyFill="1" applyBorder="1" applyAlignment="1">
      <x:alignment vertical="top" wrapText="1"/>
    </x:xf>
    <x:xf numFmtId="203" fontId="7" fillId="36" borderId="71" xfId="0" applyNumberFormat="1" applyFont="1" applyFill="1" applyBorder="1" applyAlignment="1">
      <x:alignment vertical="top" wrapText="1"/>
    </x:xf>
    <x:xf numFmtId="0" fontId="1" fillId="36" borderId="72" xfId="0" applyNumberFormat="1" applyFont="1" applyFill="1" applyBorder="1" applyAlignment="1">
      <x:alignment vertical="top" wrapText="1"/>
    </x:xf>
    <x:xf numFmtId="203" fontId="1" fillId="36" borderId="72" xfId="0" applyNumberFormat="1" applyFont="1" applyFill="1" applyBorder="1" applyAlignment="1">
      <x:alignment vertical="top" wrapText="1"/>
    </x:xf>
    <x:xf numFmtId="203" fontId="1" fillId="36" borderId="73" xfId="0" applyNumberFormat="1" applyFont="1" applyFill="1" applyBorder="1" applyAlignment="1">
      <x:alignment vertical="top" wrapText="1"/>
    </x:xf>
    <x:xf numFmtId="203" fontId="1" fillId="36" borderId="74" xfId="0" applyNumberFormat="1" applyFont="1" applyFill="1" applyBorder="1" applyAlignment="1">
      <x:alignment vertical="top" wrapText="1"/>
    </x:xf>
    <x:xf numFmtId="0" fontId="1" fillId="36" borderId="75" xfId="0" applyNumberFormat="1" applyFont="1" applyFill="1" applyBorder="1" applyAlignment="1">
      <x:alignment vertical="top" wrapText="1"/>
    </x:xf>
    <x:xf numFmtId="203" fontId="1" fillId="36" borderId="75" xfId="0" applyNumberFormat="1" applyFont="1" applyFill="1" applyBorder="1" applyAlignment="1">
      <x:alignment vertical="top" wrapText="1"/>
    </x:xf>
    <x:xf numFmtId="203" fontId="1" fillId="36" borderId="76" xfId="0" applyNumberFormat="1" applyFont="1" applyFill="1" applyBorder="1" applyAlignment="1">
      <x:alignment vertical="top" wrapText="1"/>
    </x:xf>
    <x:xf numFmtId="203" fontId="1" fillId="36" borderId="77" xfId="0" applyNumberFormat="1" applyFont="1" applyFill="1" applyBorder="1" applyAlignment="1">
      <x:alignment vertical="top" wrapText="1"/>
    </x:xf>
    <x:xf numFmtId="0" fontId="7" fillId="36" borderId="78" xfId="0" applyNumberFormat="1" applyFont="1" applyFill="1" applyBorder="1" applyAlignment="1">
      <x:alignment vertical="top" wrapText="1"/>
    </x:xf>
    <x:xf numFmtId="203" fontId="7" fillId="36" borderId="78" xfId="0" applyNumberFormat="1" applyFont="1" applyFill="1" applyBorder="1" applyAlignment="1">
      <x:alignment vertical="top" wrapText="1"/>
    </x:xf>
    <x:xf numFmtId="203" fontId="7" fillId="36" borderId="79" xfId="0" applyNumberFormat="1" applyFont="1" applyFill="1" applyBorder="1" applyAlignment="1">
      <x:alignment vertical="top" wrapText="1"/>
    </x:xf>
    <x:xf numFmtId="203" fontId="7" fillId="36" borderId="80" xfId="0" applyNumberFormat="1" applyFont="1" applyFill="1" applyBorder="1" applyAlignment="1">
      <x:alignment vertical="top" wrapText="1"/>
    </x:xf>
    <x:xf numFmtId="0" fontId="1" fillId="36" borderId="81" xfId="0" applyNumberFormat="1" applyFont="1" applyFill="1" applyBorder="1" applyAlignment="1">
      <x:alignment vertical="top" wrapText="1"/>
    </x:xf>
    <x:xf numFmtId="203" fontId="1" fillId="36" borderId="82" xfId="0" applyNumberFormat="1" applyFont="1" applyFill="1" applyBorder="1" applyAlignment="1">
      <x:alignment vertical="top" wrapText="1"/>
    </x:xf>
    <x:xf numFmtId="203" fontId="1" fillId="36" borderId="83" xfId="0" applyNumberFormat="1" applyFont="1" applyFill="1" applyBorder="1" applyAlignment="1">
      <x:alignment vertical="top" wrapText="1"/>
    </x:xf>
    <x:xf numFmtId="0" fontId="1" fillId="36" borderId="84" xfId="0" applyNumberFormat="1" applyFont="1" applyFill="1" applyBorder="1" applyAlignment="1">
      <x:alignment vertical="top" wrapText="1"/>
    </x:xf>
    <x:xf numFmtId="203" fontId="1" fillId="36" borderId="85" xfId="0" applyNumberFormat="1" applyFont="1" applyFill="1" applyBorder="1" applyAlignment="1">
      <x:alignment vertical="top" wrapText="1"/>
    </x:xf>
    <x:xf numFmtId="203" fontId="1" fillId="36" borderId="86" xfId="0" applyNumberFormat="1" applyFont="1" applyFill="1" applyBorder="1" applyAlignment="1">
      <x:alignment vertical="top" wrapText="1"/>
    </x:xf>
    <x:xf numFmtId="0" fontId="7" fillId="36" borderId="87" xfId="0" applyNumberFormat="1" applyFont="1" applyFill="1" applyBorder="1" applyAlignment="1">
      <x:alignment vertical="top" wrapText="1"/>
    </x:xf>
    <x:xf numFmtId="203" fontId="7" fillId="36" borderId="88" xfId="0" applyNumberFormat="1" applyFont="1" applyFill="1" applyBorder="1" applyAlignment="1">
      <x:alignment vertical="top" wrapText="1"/>
    </x:xf>
    <x:xf numFmtId="203" fontId="7" fillId="36" borderId="89" xfId="0" applyNumberFormat="1" applyFont="1" applyFill="1" applyBorder="1" applyAlignment="1">
      <x:alignment vertical="top" wrapText="1"/>
    </x:xf>
    <x:xf numFmtId="0" fontId="1" fillId="36" borderId="90" xfId="0" applyNumberFormat="1" applyFont="1" applyFill="1" applyBorder="1" applyAlignment="1">
      <x:alignment vertical="top" wrapText="1"/>
    </x:xf>
    <x:xf numFmtId="203" fontId="1" fillId="36" borderId="91" xfId="0" applyNumberFormat="1" applyFont="1" applyFill="1" applyBorder="1" applyAlignment="1">
      <x:alignment vertical="top" wrapText="1"/>
    </x:xf>
    <x:xf numFmtId="203" fontId="1" fillId="36" borderId="92" xfId="0" applyNumberFormat="1" applyFont="1" applyFill="1" applyBorder="1" applyAlignment="1">
      <x:alignment vertical="top" wrapText="1"/>
    </x:xf>
    <x:xf numFmtId="0" fontId="1" fillId="36" borderId="93" xfId="0" applyNumberFormat="1" applyFont="1" applyFill="1" applyBorder="1" applyAlignment="1">
      <x:alignment vertical="top" wrapText="1"/>
    </x:xf>
    <x:xf numFmtId="203" fontId="1" fillId="36" borderId="94" xfId="0" applyNumberFormat="1" applyFont="1" applyFill="1" applyBorder="1" applyAlignment="1">
      <x:alignment vertical="top" wrapText="1"/>
    </x:xf>
    <x:xf numFmtId="203" fontId="1" fillId="36" borderId="95" xfId="0" applyNumberFormat="1" applyFont="1" applyFill="1" applyBorder="1" applyAlignment="1">
      <x:alignment vertical="top" wrapText="1"/>
    </x:xf>
    <x:xf numFmtId="0" fontId="7" fillId="36" borderId="96" xfId="0" applyNumberFormat="1" applyFont="1" applyFill="1" applyBorder="1" applyAlignment="1">
      <x:alignment vertical="top" wrapText="1"/>
    </x:xf>
    <x:xf numFmtId="203" fontId="7" fillId="36" borderId="97" xfId="0" applyNumberFormat="1" applyFont="1" applyFill="1" applyBorder="1" applyAlignment="1">
      <x:alignment vertical="top" wrapText="1"/>
    </x:xf>
    <x:xf numFmtId="203" fontId="7" fillId="36" borderId="98" xfId="0" applyNumberFormat="1" applyFont="1" applyFill="1" applyBorder="1" applyAlignment="1">
      <x:alignment vertical="top" wrapText="1"/>
    </x:xf>
    <x:xf numFmtId="203" fontId="34" fillId="31" borderId="22" xfId="0" applyNumberFormat="1" applyFont="1" applyFill="1" applyBorder="1" applyAlignment="1">
      <x:alignment vertical="top" wrapText="1"/>
    </x:xf>
    <x:xf numFmtId="0" fontId="1" fillId="34" borderId="22" xfId="0" applyNumberFormat="1" applyFont="1" applyFill="1" applyBorder="1" applyAlignment="1">
      <x:alignment vertical="top" wrapText="1"/>
    </x:xf>
    <x:xf numFmtId="203" fontId="1" fillId="34" borderId="22" xfId="0" applyNumberFormat="1" applyFont="1" applyFill="1" applyBorder="1" applyAlignment="1">
      <x:alignment vertical="top" wrapText="1"/>
    </x:xf>
    <x:xf numFmtId="203" fontId="1" fillId="34" xfId="0" applyNumberFormat="1" applyFont="1" applyFill="1" applyBorder="0" applyAlignment="1">
      <x:alignment vertical="top" wrapText="1"/>
    </x:xf>
    <x:xf numFmtId="203" fontId="34" fillId="34" borderId="22" xfId="0" applyNumberFormat="1" applyFont="1" applyFill="1" applyBorder="1" applyAlignment="1">
      <x:alignment vertical="top" wrapText="1"/>
    </x:xf>
    <x:xf numFmtId="203" fontId="24" fillId="34" xfId="0" applyNumberFormat="1" applyFont="1" applyFill="1" applyBorder="0" applyAlignment="1">
      <x:alignment vertical="center" wrapText="1"/>
    </x:xf>
    <x:xf numFmtId="0" fontId="7" fillId="34" borderId="22" xfId="0" applyNumberFormat="1" applyFont="1" applyFill="1" applyBorder="1" applyAlignment="1">
      <x:alignment vertical="top" wrapText="1"/>
    </x:xf>
    <x:xf numFmtId="203" fontId="7" fillId="34" borderId="22" xfId="0" applyNumberFormat="1" applyFont="1" applyFill="1" applyBorder="1" applyAlignment="1">
      <x:alignment vertical="top" wrapText="1"/>
    </x:xf>
    <x:xf numFmtId="203" fontId="7" fillId="34" xfId="0" applyNumberFormat="1" applyFont="1" applyFill="1" applyBorder="0" applyAlignment="1">
      <x:alignment vertical="top" wrapText="1"/>
    </x:xf>
    <x:xf numFmtId="203" fontId="7" fillId="34" xfId="0" applyNumberFormat="1" applyFont="1" applyFill="1" applyBorder="0" applyAlignment="1">
      <x:alignment vertical="center" wrapText="1"/>
    </x:xf>
    <x:xf numFmtId="0" fontId="7" fillId="34" borderId="22" xfId="0" applyNumberFormat="1" applyFont="1" applyFill="1" applyBorder="1" applyAlignment="1">
      <x:alignment horizontal="center" vertical="top" wrapText="1"/>
    </x:xf>
    <x:xf numFmtId="203" fontId="7" fillId="34" borderId="22" xfId="0" applyNumberFormat="1" applyFont="1" applyFill="1" applyBorder="1" applyAlignment="1">
      <x:alignment horizontal="center" vertical="top" wrapText="1"/>
    </x:xf>
    <x:xf numFmtId="203" fontId="7" fillId="34" xfId="0" applyNumberFormat="1" applyFont="1" applyFill="1" applyBorder="0" applyAlignment="1">
      <x:alignment horizontal="center" vertical="top" wrapText="1"/>
    </x:xf>
    <x:xf numFmtId="203" fontId="7" fillId="34" xfId="0" applyNumberFormat="1" applyFont="1" applyFill="1" applyBorder="0" applyAlignment="1">
      <x:alignment horizontal="center" vertical="center" wrapText="1"/>
    </x:xf>
    <x:xf numFmtId="0" fontId="1" fillId="32" borderId="22" xfId="0" applyNumberFormat="1" applyFont="1" applyFill="1" applyBorder="1" applyAlignment="1">
      <x:alignment vertical="top" wrapText="1"/>
    </x:xf>
    <x:xf numFmtId="203" fontId="1" fillId="32" borderId="22" xfId="0" applyNumberFormat="1" applyFont="1" applyFill="1" applyBorder="1" applyAlignment="1">
      <x:alignment vertical="top" wrapText="1"/>
    </x:xf>
    <x:xf numFmtId="203" fontId="1" fillId="32" xfId="0" applyNumberFormat="1" applyFont="1" applyFill="1" applyBorder="0" applyAlignment="1">
      <x:alignment vertical="top" wrapText="1"/>
    </x:xf>
    <x:xf numFmtId="203" fontId="34" fillId="32" borderId="22" xfId="0" applyNumberFormat="1" applyFont="1" applyFill="1" applyBorder="1" applyAlignment="1">
      <x:alignment vertical="top" wrapText="1"/>
    </x:xf>
    <x:xf numFmtId="203" fontId="24" fillId="32" xfId="0" applyNumberFormat="1" applyFont="1" applyFill="1" applyBorder="0" applyAlignment="1">
      <x:alignment vertical="center" wrapText="1"/>
    </x:xf>
    <x:xf numFmtId="203" fontId="1" fillId="32" xfId="0" applyNumberFormat="1" applyFont="1" applyFill="1" applyBorder="0" applyAlignment="1">
      <x:alignment vertical="center" wrapText="1"/>
    </x:xf>
    <x:xf numFmtId="203" fontId="1" fillId="36" borderId="99" xfId="0" applyNumberFormat="1" applyFont="1" applyFill="1" applyBorder="1" applyAlignment="1">
      <x:alignment vertical="top" wrapText="1"/>
    </x:xf>
    <x:xf numFmtId="203" fontId="1" fillId="36" borderId="100" xfId="0" applyNumberFormat="1" applyFont="1" applyFill="1" applyBorder="1" applyAlignment="1">
      <x:alignment vertical="top" wrapText="1"/>
    </x:xf>
    <x:xf numFmtId="0" fontId="1" fillId="32" borderId="23" xfId="0" applyNumberFormat="1" applyFont="1" applyFill="1" applyBorder="1" applyAlignment="1">
      <x:alignment vertical="top" wrapText="1"/>
    </x:xf>
    <x:xf numFmtId="203" fontId="1" fillId="36" borderId="24" xfId="0" applyNumberFormat="1" applyFont="1" applyFill="1" applyBorder="1" applyAlignment="1">
      <x:alignment vertical="top" wrapText="1"/>
    </x:xf>
    <x:xf numFmtId="203" fontId="1" fillId="36" borderId="25" xfId="0" applyNumberFormat="1" applyFont="1" applyFill="1" applyBorder="1" applyAlignment="1">
      <x:alignment vertical="top" wrapText="1"/>
    </x:xf>
    <x:xf numFmtId="0" fontId="1" fillId="32" borderId="101" xfId="0" applyNumberFormat="1" applyFont="1" applyFill="1" applyBorder="1" applyAlignment="1">
      <x:alignment vertical="top" wrapText="1"/>
    </x:xf>
    <x:xf numFmtId="203" fontId="1" fillId="36" borderId="102" xfId="0" applyNumberFormat="1" applyFont="1" applyFill="1" applyBorder="1" applyAlignment="1">
      <x:alignment vertical="top" wrapText="1"/>
    </x:xf>
    <x:xf numFmtId="203" fontId="1" fillId="36" borderId="103" xfId="0" applyNumberFormat="1" applyFont="1" applyFill="1" applyBorder="1" applyAlignment="1">
      <x:alignment vertical="top" wrapText="1"/>
    </x:xf>
    <x:xf numFmtId="0" fontId="1" fillId="31" borderId="22" xfId="0" applyNumberFormat="1" applyFont="1" applyFill="1" applyBorder="1" applyAlignment="1">
      <x:alignment horizontal="left" vertical="center" wrapText="1"/>
    </x:xf>
    <x:xf numFmtId="203" fontId="1" fillId="31" borderId="22" xfId="0" applyNumberFormat="1" applyFont="1" applyFill="1" applyBorder="1" applyAlignment="1">
      <x:alignment vertical="center" wrapText="1"/>
    </x:xf>
    <x:xf numFmtId="203" fontId="1" fillId="31" borderId="22" xfId="0" applyNumberFormat="1" applyFont="1" applyFill="1" applyBorder="1" applyAlignment="1">
      <x:alignment horizontal="right" vertical="center" wrapText="1"/>
    </x:xf>
    <x:xf numFmtId="0" fontId="37" fillId="31" borderId="22" xfId="0" applyNumberFormat="1" applyFont="1" applyFill="1" applyBorder="1" applyAlignment="1">
      <x:alignment horizontal="left" vertical="center" wrapText="1"/>
    </x:xf>
    <x:xf numFmtId="203" fontId="37" fillId="31" borderId="22" xfId="0" applyNumberFormat="1" applyFont="1" applyFill="1" applyBorder="1" applyAlignment="1">
      <x:alignment vertical="center" wrapText="1"/>
    </x:xf>
    <x:xf numFmtId="203" fontId="37" fillId="31" borderId="22" xfId="0" applyNumberFormat="1" applyFont="1" applyFill="1" applyBorder="1" applyAlignment="1">
      <x:alignment horizontal="right" vertical="center" wrapText="1"/>
    </x:xf>
    <x:xf numFmtId="0" fontId="37" fillId="31" borderId="22" xfId="0" applyNumberFormat="1" applyFont="1" applyFill="1" applyBorder="1" applyAlignment="1">
      <x:alignment horizontal="center" vertical="center" wrapText="1"/>
    </x:xf>
    <x:xf numFmtId="203" fontId="37" fillId="31" borderId="22" xfId="0" applyNumberFormat="1" applyFont="1" applyFill="1" applyBorder="1" applyAlignment="1">
      <x:alignment horizontal="center" vertical="center" wrapText="1"/>
    </x:xf>
    <x:xf numFmtId="0" fontId="7" fillId="32" borderId="22" xfId="0" applyNumberFormat="1" applyFont="1" applyFill="1" applyBorder="1" applyAlignment="1">
      <x:alignment horizontal="left" vertical="center" wrapText="0"/>
    </x:xf>
    <x:xf numFmtId="203" fontId="7" fillId="32" borderId="22" xfId="0" applyNumberFormat="1" applyFont="1" applyFill="1" applyBorder="1" applyAlignment="1">
      <x:alignment horizontal="left" vertical="center" wrapText="1"/>
    </x:xf>
    <x:xf numFmtId="203" fontId="7" fillId="32" borderId="22" xfId="0" applyNumberFormat="1" applyFont="1" applyFill="1" applyBorder="1" applyAlignment="1">
      <x:alignment horizontal="center" vertical="center" wrapText="1"/>
    </x:xf>
    <x:xf numFmtId="0" fontId="7" fillId="31" borderId="22" xfId="0" applyNumberFormat="1" applyFont="1" applyFill="1" applyBorder="1" applyAlignment="1">
      <x:alignment horizontal="left" vertical="center" wrapText="1"/>
    </x:xf>
    <x:xf numFmtId="203" fontId="7" fillId="31" borderId="22" xfId="0" applyNumberFormat="1" applyFont="1" applyFill="1" applyBorder="1" applyAlignment="1">
      <x:alignment vertical="center" wrapText="1"/>
    </x:xf>
    <x:xf numFmtId="203" fontId="7" fillId="31" borderId="22" xfId="0" applyNumberFormat="1" applyFont="1" applyFill="1" applyBorder="1" applyAlignment="1">
      <x:alignment horizontal="right" vertical="center" wrapText="1"/>
    </x:xf>
    <x:xf numFmtId="0" fontId="0" fillId="31" borderId="0" xfId="0" applyNumberFormat="1" applyFont="1" applyFill="1" applyBorder="1"/>
    <x:xf numFmtId="0" fontId="5" fillId="31" borderId="22" xfId="0" applyNumberFormat="1" applyFont="1" applyFill="1" applyBorder="1" applyAlignment="1">
      <x:alignment horizontal="left" vertical="center" wrapText="1"/>
    </x:xf>
    <x:xf numFmtId="203" fontId="5" fillId="31" borderId="22" xfId="0" applyNumberFormat="1" applyFont="1" applyFill="1" applyBorder="1" applyAlignment="1">
      <x:alignment horizontal="right" vertical="center" wrapText="1"/>
    </x:xf>
    <x:xf numFmtId="0" fontId="5" fillId="31" borderId="0" xfId="0" applyNumberFormat="1" applyFont="1" applyFill="1" applyBorder="1"/>
    <x:xf numFmtId="0" fontId="5" fillId="31" borderId="0" xfId="0" applyNumberFormat="1" applyFont="1" applyFill="1" applyBorder="1" applyAlignment="1">
      <x:alignment vertical="center"/>
    </x:xf>
    <x:xf numFmtId="0" fontId="1" fillId="34" borderId="22" xfId="0" applyNumberFormat="1" applyFont="1" applyFill="1" applyBorder="1" applyAlignment="1">
      <x:alignment horizontal="left" vertical="center" wrapText="1"/>
    </x:xf>
    <x:xf numFmtId="203" fontId="1" fillId="34" borderId="22" xfId="0" applyNumberFormat="1" applyFont="1" applyFill="1" applyBorder="1" applyAlignment="1">
      <x:alignment vertical="center" wrapText="1"/>
    </x:xf>
    <x:xf numFmtId="203" fontId="1" fillId="34" borderId="22" xfId="0" applyNumberFormat="1" applyFont="1" applyFill="1" applyBorder="1" applyAlignment="1">
      <x:alignment horizontal="right" vertical="center" wrapText="1"/>
    </x:xf>
    <x:xf numFmtId="0" fontId="0" fillId="34" borderId="0" xfId="0" applyNumberFormat="1" applyFont="1" applyFill="1" applyBorder="1"/>
    <x:xf numFmtId="0" fontId="26" fillId="34" borderId="22" xfId="0" applyNumberFormat="1" applyFont="1" applyFill="1" applyBorder="1" applyAlignment="1">
      <x:alignment horizontal="left" vertical="center" wrapText="1"/>
    </x:xf>
    <x:xf numFmtId="203" fontId="26" fillId="34" borderId="22" xfId="0" applyNumberFormat="1" applyFont="1" applyFill="1" applyBorder="1" applyAlignment="1">
      <x:alignment vertical="center" wrapText="1"/>
    </x:xf>
    <x:xf numFmtId="203" fontId="26" fillId="34" borderId="22" xfId="0" applyNumberFormat="1" applyFont="1" applyFill="1" applyBorder="1" applyAlignment="1">
      <x:alignment horizontal="right" vertical="center" wrapText="1"/>
    </x:xf>
    <x:xf numFmtId="0" fontId="26" fillId="34" borderId="0" xfId="0" applyNumberFormat="1" applyFont="1" applyFill="1" applyBorder="1"/>
    <x:xf numFmtId="0" fontId="26" fillId="34" borderId="0" xfId="0" applyNumberFormat="1" applyFont="1" applyFill="1" applyBorder="1" applyAlignment="1">
      <x:alignment wrapText="1"/>
    </x:xf>
    <x:xf numFmtId="0" fontId="26" fillId="34" borderId="22" xfId="0" applyNumberFormat="1" applyFont="1" applyFill="1" applyBorder="1" applyAlignment="1">
      <x:alignment horizontal="center" vertical="center" wrapText="1"/>
    </x:xf>
    <x:xf numFmtId="203" fontId="26" fillId="34" borderId="22" xfId="0" applyNumberFormat="1" applyFont="1" applyFill="1" applyBorder="1" applyAlignment="1">
      <x:alignment horizontal="center" vertical="center" wrapText="1"/>
    </x:xf>
    <x:xf numFmtId="0" fontId="26" fillId="34" borderId="0" xfId="0" applyNumberFormat="1" applyFont="1" applyFill="1" applyBorder="1" applyAlignment="1">
      <x:alignment horizontal="center" wrapText="1"/>
    </x:xf>
    <x:xf numFmtId="0" fontId="26" fillId="34" borderId="4" xfId="0" applyNumberFormat="1" applyFont="1" applyFill="1" applyBorder="1" applyAlignment="1">
      <x:alignment horizontal="center" wrapText="1"/>
    </x:xf>
    <x:xf numFmtId="0" fontId="26" fillId="34" borderId="30" xfId="0" applyNumberFormat="1" applyFont="1" applyFill="1" applyBorder="1" applyAlignment="1">
      <x:alignment horizontal="center" vertical="center" wrapText="1"/>
    </x:xf>
    <x:xf numFmtId="203" fontId="26" fillId="34" borderId="30" xfId="0" applyNumberFormat="1" applyFont="1" applyFill="1" applyBorder="1" applyAlignment="1">
      <x:alignment horizontal="center" vertical="center" wrapText="1"/>
    </x:xf>
    <x:xf numFmtId="0" fontId="26" fillId="34" borderId="67" xfId="0" applyNumberFormat="1" applyFont="1" applyFill="1" applyBorder="1" applyAlignment="1">
      <x:alignment horizontal="center" wrapText="1"/>
    </x:xf>
    <x:xf numFmtId="0" fontId="0" fillId="0" borderId="69" xfId="0" applyNumberFormat="1" applyFont="1" applyFill="1" applyBorder="1"/>
    <x:xf numFmtId="0" fontId="0" fillId="0" borderId="71" xfId="0" applyNumberFormat="1" applyFont="1" applyFill="1" applyBorder="1"/>
    <x:xf numFmtId="0" fontId="26" fillId="34" borderId="72" xfId="0" applyNumberFormat="1" applyFont="1" applyFill="1" applyBorder="1" applyAlignment="1">
      <x:alignment horizontal="center" vertical="center" wrapText="1"/>
    </x:xf>
    <x:xf numFmtId="203" fontId="26" fillId="34" borderId="72" xfId="0" applyNumberFormat="1" applyFont="1" applyFill="1" applyBorder="1" applyAlignment="1">
      <x:alignment horizontal="center" vertical="center" wrapText="1"/>
    </x:xf>
    <x:xf numFmtId="0" fontId="26" fillId="34" borderId="74" xfId="0" applyNumberFormat="1" applyFont="1" applyFill="1" applyBorder="1" applyAlignment="1">
      <x:alignment horizontal="center" wrapText="1"/>
    </x:xf>
    <x:xf numFmtId="0" fontId="7" fillId="3" borderId="75" xfId="0" applyNumberFormat="1" applyFont="1" applyFill="1" applyBorder="1" applyAlignment="1">
      <x:alignment horizontal="left" vertical="center" wrapText="1"/>
    </x:xf>
    <x:xf numFmtId="203" fontId="7" fillId="3" borderId="75" xfId="0" applyNumberFormat="1" applyFont="1" applyFill="1" applyBorder="1" applyAlignment="1">
      <x:alignment vertical="center" wrapText="1"/>
    </x:xf>
    <x:xf numFmtId="203" fontId="7" fillId="3" borderId="75" xfId="0" applyNumberFormat="1" applyFont="1" applyFill="1" applyBorder="1" applyAlignment="1">
      <x:alignment horizontal="right" vertical="center" wrapText="1"/>
    </x:xf>
    <x:xf numFmtId="0" fontId="0" fillId="0" borderId="77" xfId="0" applyNumberFormat="1" applyFont="1" applyFill="1" applyBorder="1"/>
    <x:xf numFmtId="203" fontId="1" fillId="3" borderId="75" xfId="0" applyNumberFormat="1" applyFont="1" applyFill="1" applyBorder="1" applyAlignment="1">
      <x:alignment horizontal="right" vertical="center" wrapText="1"/>
    </x:xf>
    <x:xf numFmtId="0" fontId="1" fillId="3" borderId="75" xfId="0" applyNumberFormat="1" applyFont="1" applyFill="1" applyBorder="1" applyAlignment="1">
      <x:alignment horizontal="left" vertical="center" wrapText="1"/>
    </x:xf>
    <x:xf numFmtId="203" fontId="1" fillId="3" borderId="75" xfId="0" applyNumberFormat="1" applyFont="1" applyFill="1" applyBorder="1" applyAlignment="1">
      <x:alignment vertical="center" wrapText="1"/>
    </x:xf>
    <x:xf numFmtId="0" fontId="1" fillId="3" borderId="78" xfId="0" applyNumberFormat="1" applyFont="1" applyFill="1" applyBorder="1" applyAlignment="1">
      <x:alignment horizontal="left" vertical="center" wrapText="1"/>
    </x:xf>
    <x:xf numFmtId="203" fontId="1" fillId="3" borderId="78" xfId="0" applyNumberFormat="1" applyFont="1" applyFill="1" applyBorder="1" applyAlignment="1">
      <x:alignment vertical="center" wrapText="1"/>
    </x:xf>
    <x:xf numFmtId="203" fontId="1" fillId="3" borderId="78" xfId="0" applyNumberFormat="1" applyFont="1" applyFill="1" applyBorder="1" applyAlignment="1">
      <x:alignment horizontal="right" vertical="center" wrapText="1"/>
    </x:xf>
    <x:xf numFmtId="0" fontId="0" fillId="0" borderId="80" xfId="0" applyNumberFormat="1" applyFont="1" applyFill="1" applyBorder="1"/>
    <x:xf numFmtId="0" fontId="26" fillId="34" borderId="81" xfId="0" applyNumberFormat="1" applyFont="1" applyFill="1" applyBorder="1" applyAlignment="1">
      <x:alignment horizontal="center" vertical="center" wrapText="1"/>
    </x:xf>
    <x:xf numFmtId="203" fontId="26" fillId="34" borderId="82" xfId="0" applyNumberFormat="1" applyFont="1" applyFill="1" applyBorder="1" applyAlignment="1">
      <x:alignment horizontal="center" vertical="center" wrapText="1"/>
    </x:xf>
    <x:xf numFmtId="0" fontId="26" fillId="34" borderId="83" xfId="0" applyNumberFormat="1" applyFont="1" applyFill="1" applyBorder="1" applyAlignment="1">
      <x:alignment horizontal="center" wrapText="1"/>
    </x:xf>
    <x:xf numFmtId="0" fontId="7" fillId="3" borderId="84" xfId="0" applyNumberFormat="1" applyFont="1" applyFill="1" applyBorder="1" applyAlignment="1">
      <x:alignment horizontal="left" vertical="center" wrapText="1"/>
    </x:xf>
    <x:xf numFmtId="203" fontId="7" fillId="3" borderId="85" xfId="0" applyNumberFormat="1" applyFont="1" applyFill="1" applyBorder="1" applyAlignment="1">
      <x:alignment vertical="center" wrapText="1"/>
    </x:xf>
    <x:xf numFmtId="203" fontId="7" fillId="3" borderId="85" xfId="0" applyNumberFormat="1" applyFont="1" applyFill="1" applyBorder="1" applyAlignment="1">
      <x:alignment horizontal="right" vertical="center" wrapText="1"/>
    </x:xf>
    <x:xf numFmtId="0" fontId="0" fillId="0" borderId="86" xfId="0" applyNumberFormat="1" applyFont="1" applyFill="1" applyBorder="1"/>
    <x:xf numFmtId="203" fontId="1" fillId="3" borderId="85" xfId="0" applyNumberFormat="1" applyFont="1" applyFill="1" applyBorder="1" applyAlignment="1">
      <x:alignment horizontal="right" vertical="center" wrapText="1"/>
    </x:xf>
    <x:xf numFmtId="0" fontId="1" fillId="3" borderId="84" xfId="0" applyNumberFormat="1" applyFont="1" applyFill="1" applyBorder="1" applyAlignment="1">
      <x:alignment horizontal="left" vertical="center" wrapText="1"/>
    </x:xf>
    <x:xf numFmtId="203" fontId="1" fillId="3" borderId="85" xfId="0" applyNumberFormat="1" applyFont="1" applyFill="1" applyBorder="1" applyAlignment="1">
      <x:alignment vertical="center" wrapText="1"/>
    </x:xf>
    <x:xf numFmtId="0" fontId="1" fillId="3" borderId="87" xfId="0" applyNumberFormat="1" applyFont="1" applyFill="1" applyBorder="1" applyAlignment="1">
      <x:alignment horizontal="left" vertical="center" wrapText="1"/>
    </x:xf>
    <x:xf numFmtId="203" fontId="1" fillId="3" borderId="88" xfId="0" applyNumberFormat="1" applyFont="1" applyFill="1" applyBorder="1" applyAlignment="1">
      <x:alignment vertical="center" wrapText="1"/>
    </x:xf>
    <x:xf numFmtId="203" fontId="1" fillId="3" borderId="88" xfId="0" applyNumberFormat="1" applyFont="1" applyFill="1" applyBorder="1" applyAlignment="1">
      <x:alignment horizontal="right" vertical="center" wrapText="1"/>
    </x:xf>
    <x:xf numFmtId="0" fontId="0" fillId="0" borderId="89" xfId="0" applyNumberFormat="1" applyFont="1" applyFill="1" applyBorder="1"/>
    <x:xf numFmtId="0" fontId="26" fillId="34" borderId="90" xfId="0" applyNumberFormat="1" applyFont="1" applyFill="1" applyBorder="1" applyAlignment="1">
      <x:alignment horizontal="center" vertical="center" wrapText="1"/>
    </x:xf>
    <x:xf numFmtId="203" fontId="26" fillId="34" borderId="91" xfId="0" applyNumberFormat="1" applyFont="1" applyFill="1" applyBorder="1" applyAlignment="1">
      <x:alignment horizontal="center" vertical="center" wrapText="1"/>
    </x:xf>
    <x:xf numFmtId="0" fontId="26" fillId="34" borderId="92" xfId="0" applyNumberFormat="1" applyFont="1" applyFill="1" applyBorder="1" applyAlignment="1">
      <x:alignment horizontal="center" wrapText="1"/>
    </x:xf>
    <x:xf numFmtId="0" fontId="7" fillId="3" borderId="93" xfId="0" applyNumberFormat="1" applyFont="1" applyFill="1" applyBorder="1" applyAlignment="1">
      <x:alignment horizontal="left" vertical="center" wrapText="1"/>
    </x:xf>
    <x:xf numFmtId="203" fontId="7" fillId="3" borderId="94" xfId="0" applyNumberFormat="1" applyFont="1" applyFill="1" applyBorder="1" applyAlignment="1">
      <x:alignment vertical="center" wrapText="1"/>
    </x:xf>
    <x:xf numFmtId="203" fontId="7" fillId="3" borderId="94" xfId="0" applyNumberFormat="1" applyFont="1" applyFill="1" applyBorder="1" applyAlignment="1">
      <x:alignment horizontal="right" vertical="center" wrapText="1"/>
    </x:xf>
    <x:xf numFmtId="0" fontId="0" fillId="0" borderId="95" xfId="0" applyNumberFormat="1" applyFont="1" applyFill="1" applyBorder="1"/>
    <x:xf numFmtId="203" fontId="1" fillId="3" borderId="94" xfId="0" applyNumberFormat="1" applyFont="1" applyFill="1" applyBorder="1" applyAlignment="1">
      <x:alignment horizontal="right" vertical="center" wrapText="1"/>
    </x:xf>
    <x:xf numFmtId="0" fontId="1" fillId="3" borderId="93" xfId="0" applyNumberFormat="1" applyFont="1" applyFill="1" applyBorder="1" applyAlignment="1">
      <x:alignment horizontal="left" vertical="center" wrapText="1"/>
    </x:xf>
    <x:xf numFmtId="203" fontId="1" fillId="3" borderId="94" xfId="0" applyNumberFormat="1" applyFont="1" applyFill="1" applyBorder="1" applyAlignment="1">
      <x:alignment vertical="center" wrapText="1"/>
    </x:xf>
    <x:xf numFmtId="0" fontId="1" fillId="3" borderId="96" xfId="0" applyNumberFormat="1" applyFont="1" applyFill="1" applyBorder="1" applyAlignment="1">
      <x:alignment horizontal="left" vertical="center" wrapText="1"/>
    </x:xf>
    <x:xf numFmtId="203" fontId="1" fillId="3" borderId="97" xfId="0" applyNumberFormat="1" applyFont="1" applyFill="1" applyBorder="1" applyAlignment="1">
      <x:alignment vertical="center" wrapText="1"/>
    </x:xf>
    <x:xf numFmtId="203" fontId="1" fillId="3" borderId="97" xfId="0" applyNumberFormat="1" applyFont="1" applyFill="1" applyBorder="1" applyAlignment="1">
      <x:alignment horizontal="right" vertical="center" wrapText="1"/>
    </x:xf>
    <x:xf numFmtId="0" fontId="0" fillId="0" borderId="98" xfId="0" applyNumberFormat="1" applyFont="1" applyFill="1" applyBorder="1"/>
    <x:xf numFmtId="203" fontId="7" fillId="36" borderId="94" xfId="0" applyNumberFormat="1" applyFont="1" applyFill="1" applyBorder="1" applyAlignment="1">
      <x:alignment vertical="center" wrapText="1"/>
    </x:xf>
    <x:xf numFmtId="203" fontId="7" fillId="36" borderId="94" xfId="0" applyNumberFormat="1" applyFont="1" applyFill="1" applyBorder="1" applyAlignment="1">
      <x:alignment horizontal="right" vertical="center" wrapText="1"/>
    </x:xf>
    <x:xf numFmtId="203" fontId="1" fillId="36" borderId="94" xfId="0" applyNumberFormat="1" applyFont="1" applyFill="1" applyBorder="1" applyAlignment="1">
      <x:alignment horizontal="right" vertical="center" wrapText="1"/>
    </x:xf>
    <x:xf numFmtId="203" fontId="1" fillId="36" borderId="94" xfId="0" applyNumberFormat="1" applyFont="1" applyFill="1" applyBorder="1" applyAlignment="1">
      <x:alignment vertical="center" wrapText="1"/>
    </x:xf>
    <x:xf numFmtId="0" fontId="0" fillId="36" borderId="95" xfId="0" applyNumberFormat="1" applyFont="1" applyFill="1" applyBorder="1"/>
    <x:xf numFmtId="203" fontId="0" fillId="36" borderId="95" xfId="0" applyNumberFormat="1" applyFont="1" applyFill="1" applyBorder="1"/>
    <x:xf numFmtId="203" fontId="0" fillId="0" borderId="98" xfId="0" applyNumberFormat="1" applyFont="1" applyFill="1" applyBorder="1"/>
    <x:xf numFmtId="205" fontId="7" fillId="36" borderId="94" xfId="0" applyNumberFormat="1" applyFont="1" applyFill="1" applyBorder="1" applyAlignment="1">
      <x:alignment horizontal="right" vertical="center" wrapText="1"/>
    </x:xf>
    <x:xf numFmtId="205" fontId="1" fillId="36" borderId="94" xfId="0" applyNumberFormat="1" applyFont="1" applyFill="1" applyBorder="1" applyAlignment="1">
      <x:alignment horizontal="right" vertical="center" wrapText="1"/>
    </x:xf>
    <x:xf numFmtId="0" fontId="1" fillId="35" borderId="96" xfId="0" applyNumberFormat="1" applyFont="1" applyFill="1" applyBorder="1" applyAlignment="1">
      <x:alignment horizontal="left" vertical="center" wrapText="1"/>
    </x:xf>
    <x:xf numFmtId="203" fontId="1" fillId="35" borderId="97" xfId="0" applyNumberFormat="1" applyFont="1" applyFill="1" applyBorder="1" applyAlignment="1">
      <x:alignment vertical="center" wrapText="1"/>
    </x:xf>
    <x:xf numFmtId="203" fontId="1" fillId="35" borderId="97" xfId="0" applyNumberFormat="1" applyFont="1" applyFill="1" applyBorder="1" applyAlignment="1">
      <x:alignment horizontal="right" vertical="center" wrapText="1"/>
    </x:xf>
    <x:xf numFmtId="203" fontId="0" fillId="35" borderId="98" xfId="0" applyNumberFormat="1" applyFont="1" applyFill="1" applyBorder="1"/>
    <x:xf numFmtId="0" fontId="7" fillId="35" borderId="96" xfId="0" applyNumberFormat="1" applyFont="1" applyFill="1" applyBorder="1" applyAlignment="1">
      <x:alignment horizontal="left" vertical="center" wrapText="1"/>
    </x:xf>
    <x:xf numFmtId="203" fontId="7" fillId="35" borderId="97" xfId="0" applyNumberFormat="1" applyFont="1" applyFill="1" applyBorder="1" applyAlignment="1">
      <x:alignment vertical="center" wrapText="1"/>
    </x:xf>
    <x:xf numFmtId="203" fontId="7" fillId="35" borderId="97" xfId="0" applyNumberFormat="1" applyFont="1" applyFill="1" applyBorder="1" applyAlignment="1">
      <x:alignment horizontal="right" vertical="center" wrapText="1"/>
    </x:xf>
    <x:xf numFmtId="203" fontId="7" fillId="35" borderId="98" xfId="0" applyNumberFormat="1" applyFont="1" applyFill="1" applyBorder="1"/>
    <x:xf numFmtId="0" fontId="7" fillId="35" borderId="104" xfId="0" applyNumberFormat="1" applyFont="1" applyFill="1" applyBorder="1" applyAlignment="1">
      <x:alignment horizontal="left" vertical="center" wrapText="1"/>
    </x:xf>
    <x:xf numFmtId="203" fontId="7" fillId="35" borderId="105" xfId="0" applyNumberFormat="1" applyFont="1" applyFill="1" applyBorder="1" applyAlignment="1">
      <x:alignment vertical="center" wrapText="1"/>
    </x:xf>
    <x:xf numFmtId="203" fontId="7" fillId="35" borderId="105" xfId="0" applyNumberFormat="1" applyFont="1" applyFill="1" applyBorder="1" applyAlignment="1">
      <x:alignment horizontal="right" vertical="center" wrapText="1"/>
    </x:xf>
    <x:xf numFmtId="203" fontId="7" fillId="35" borderId="105" xfId="0" applyNumberFormat="1" applyFont="1" applyFill="1" applyBorder="1"/>
    <x:xf numFmtId="0" fontId="7" fillId="34" borderId="22" xfId="0" applyNumberFormat="1" applyFont="1" applyFill="1" applyBorder="1" applyAlignment="1">
      <x:alignment horizontal="left" vertical="center" wrapText="1"/>
    </x:xf>
    <x:xf numFmtId="203" fontId="7" fillId="34" borderId="22" xfId="0" applyNumberFormat="1" applyFont="1" applyFill="1" applyBorder="1" applyAlignment="1">
      <x:alignment horizontal="center" vertical="center" wrapText="1"/>
    </x:xf>
    <x:xf numFmtId="203" fontId="7" fillId="34" borderId="22" xfId="0" applyNumberFormat="1" applyFont="1" applyFill="1" applyBorder="1" applyAlignment="1">
      <x:alignment horizontal="right" vertical="center" wrapText="1"/>
    </x:xf>
    <x:xf numFmtId="0" fontId="7" fillId="34" borderId="22" xfId="0" applyNumberFormat="1" applyFont="1" applyFill="1" applyBorder="1" applyAlignment="1">
      <x:alignment horizontal="center" vertical="center" wrapText="1"/>
    </x:xf>
    <x:xf numFmtId="0" fontId="24" fillId="3" borderId="5" xfId="0" applyNumberFormat="1" applyFont="1" applyFill="1" applyBorder="1" applyAlignment="1">
      <x:alignment horizontal="left" vertical="center" wrapText="1"/>
    </x:xf>
    <x:xf numFmtId="203" fontId="24" fillId="3" borderId="6" xfId="0" applyNumberFormat="1" applyFont="1" applyFill="1" applyBorder="1" applyAlignment="1">
      <x:alignment vertical="center" wrapText="1"/>
    </x:xf>
    <x:xf numFmtId="0" fontId="26" fillId="3" borderId="5" xfId="0" applyNumberFormat="1" applyFont="1" applyFill="1" applyBorder="1" applyAlignment="1">
      <x:alignment horizontal="left" vertical="center" wrapText="1"/>
    </x:xf>
    <x:xf numFmtId="203" fontId="26" fillId="3" borderId="6" xfId="0" applyNumberFormat="1" applyFont="1" applyFill="1" applyBorder="1" applyAlignment="1">
      <x:alignment vertical="center" wrapText="1"/>
    </x:xf>
    <x:xf numFmtId="0" fontId="26" fillId="3" borderId="7" xfId="0" applyNumberFormat="1" applyFont="1" applyFill="1" applyBorder="1" applyAlignment="1">
      <x:alignment horizontal="left" vertical="center" wrapText="1"/>
    </x:xf>
    <x:xf numFmtId="203" fontId="26" fillId="3" borderId="8" xfId="0" applyNumberFormat="1" applyFont="1" applyFill="1" applyBorder="1" applyAlignment="1">
      <x:alignment vertical="center" wrapText="1"/>
    </x:xf>
    <x:xf numFmtId="203" fontId="26" fillId="3" borderId="9" xfId="0" applyNumberFormat="1" applyFont="1" applyFill="1" applyBorder="1" applyAlignment="1">
      <x:alignment vertical="center" wrapText="1"/>
    </x:xf>
    <x:xf numFmtId="0" fontId="7" fillId="34" borderId="30" xfId="0" applyNumberFormat="1" applyFont="1" applyFill="1" applyBorder="1" applyAlignment="1">
      <x:alignment horizontal="center" vertical="center" wrapText="1"/>
    </x:xf>
    <x:xf numFmtId="203" fontId="7" fillId="34" borderId="30" xfId="0" applyNumberFormat="1" applyFont="1" applyFill="1" applyBorder="1" applyAlignment="1">
      <x:alignment horizontal="center" vertical="center" wrapText="1"/>
    </x:xf>
    <x:xf numFmtId="0" fontId="24" fillId="3" borderId="106" xfId="0" applyNumberFormat="1" applyFont="1" applyFill="1" applyBorder="1" applyAlignment="1">
      <x:alignment horizontal="left" vertical="center" wrapText="1"/>
    </x:xf>
    <x:xf numFmtId="203" fontId="24" fillId="3" borderId="68" xfId="0" applyNumberFormat="1" applyFont="1" applyFill="1" applyBorder="1" applyAlignment="1">
      <x:alignment vertical="center" wrapText="1"/>
    </x:xf>
    <x:xf numFmtId="203" fontId="24" fillId="3" borderId="69" xfId="0" applyNumberFormat="1" applyFont="1" applyFill="1" applyBorder="1" applyAlignment="1">
      <x:alignment vertical="center" wrapText="1"/>
    </x:xf>
    <x:xf numFmtId="0" fontId="26" fillId="3" borderId="106" xfId="0" applyNumberFormat="1" applyFont="1" applyFill="1" applyBorder="1" applyAlignment="1">
      <x:alignment horizontal="left" vertical="center" wrapText="1"/>
    </x:xf>
    <x:xf numFmtId="203" fontId="26" fillId="3" borderId="68" xfId="0" applyNumberFormat="1" applyFont="1" applyFill="1" applyBorder="1" applyAlignment="1">
      <x:alignment vertical="center" wrapText="1"/>
    </x:xf>
    <x:xf numFmtId="203" fontId="26" fillId="3" borderId="69" xfId="0" applyNumberFormat="1" applyFont="1" applyFill="1" applyBorder="1" applyAlignment="1">
      <x:alignment vertical="center" wrapText="1"/>
    </x:xf>
    <x:xf numFmtId="0" fontId="26" fillId="3" borderId="107" xfId="0" applyNumberFormat="1" applyFont="1" applyFill="1" applyBorder="1" applyAlignment="1">
      <x:alignment horizontal="left" vertical="center" wrapText="1"/>
    </x:xf>
    <x:xf numFmtId="203" fontId="26" fillId="3" borderId="70" xfId="0" applyNumberFormat="1" applyFont="1" applyFill="1" applyBorder="1" applyAlignment="1">
      <x:alignment vertical="center" wrapText="1"/>
    </x:xf>
    <x:xf numFmtId="203" fontId="26" fillId="3" borderId="71" xfId="0" applyNumberFormat="1" applyFont="1" applyFill="1" applyBorder="1" applyAlignment="1">
      <x:alignment vertical="center" wrapText="1"/>
    </x:xf>
    <x:xf numFmtId="0" fontId="7" fillId="34" borderId="72" xfId="0" applyNumberFormat="1" applyFont="1" applyFill="1" applyBorder="1" applyAlignment="1">
      <x:alignment horizontal="center" vertical="center" wrapText="1"/>
    </x:xf>
    <x:xf numFmtId="203" fontId="7" fillId="34" borderId="72" xfId="0" applyNumberFormat="1" applyFont="1" applyFill="1" applyBorder="1" applyAlignment="1">
      <x:alignment horizontal="center" vertical="center" wrapText="1"/>
    </x:xf>
    <x:xf numFmtId="0" fontId="24" fillId="3" borderId="108" xfId="0" applyNumberFormat="1" applyFont="1" applyFill="1" applyBorder="1" applyAlignment="1">
      <x:alignment horizontal="left" vertical="center" wrapText="1"/>
    </x:xf>
    <x:xf numFmtId="203" fontId="24" fillId="3" borderId="76" xfId="0" applyNumberFormat="1" applyFont="1" applyFill="1" applyBorder="1" applyAlignment="1">
      <x:alignment vertical="center" wrapText="1"/>
    </x:xf>
    <x:xf numFmtId="203" fontId="24" fillId="3" borderId="77" xfId="0" applyNumberFormat="1" applyFont="1" applyFill="1" applyBorder="1" applyAlignment="1">
      <x:alignment vertical="center" wrapText="1"/>
    </x:xf>
    <x:xf numFmtId="0" fontId="26" fillId="3" borderId="108" xfId="0" applyNumberFormat="1" applyFont="1" applyFill="1" applyBorder="1" applyAlignment="1">
      <x:alignment horizontal="left" vertical="center" wrapText="1"/>
    </x:xf>
    <x:xf numFmtId="203" fontId="26" fillId="3" borderId="76" xfId="0" applyNumberFormat="1" applyFont="1" applyFill="1" applyBorder="1" applyAlignment="1">
      <x:alignment vertical="center" wrapText="1"/>
    </x:xf>
    <x:xf numFmtId="203" fontId="26" fillId="3" borderId="77" xfId="0" applyNumberFormat="1" applyFont="1" applyFill="1" applyBorder="1" applyAlignment="1">
      <x:alignment vertical="center" wrapText="1"/>
    </x:xf>
    <x:xf numFmtId="0" fontId="26" fillId="3" borderId="109" xfId="0" applyNumberFormat="1" applyFont="1" applyFill="1" applyBorder="1" applyAlignment="1">
      <x:alignment horizontal="left" vertical="center" wrapText="1"/>
    </x:xf>
    <x:xf numFmtId="203" fontId="26" fillId="3" borderId="79" xfId="0" applyNumberFormat="1" applyFont="1" applyFill="1" applyBorder="1" applyAlignment="1">
      <x:alignment vertical="center" wrapText="1"/>
    </x:xf>
    <x:xf numFmtId="203" fontId="26" fillId="3" borderId="80" xfId="0" applyNumberFormat="1" applyFont="1" applyFill="1" applyBorder="1" applyAlignment="1">
      <x:alignment vertical="center" wrapText="1"/>
    </x:xf>
    <x:xf numFmtId="0" fontId="7" fillId="34" borderId="81" xfId="0" applyNumberFormat="1" applyFont="1" applyFill="1" applyBorder="1" applyAlignment="1">
      <x:alignment horizontal="center" vertical="center" wrapText="1"/>
    </x:xf>
    <x:xf numFmtId="203" fontId="7" fillId="34" borderId="82" xfId="0" applyNumberFormat="1" applyFont="1" applyFill="1" applyBorder="1" applyAlignment="1">
      <x:alignment horizontal="center" vertical="center" wrapText="1"/>
    </x:xf>
    <x:xf numFmtId="203" fontId="7" fillId="34" borderId="83" xfId="0" applyNumberFormat="1" applyFont="1" applyFill="1" applyBorder="1" applyAlignment="1">
      <x:alignment horizontal="center" vertical="center" wrapText="1"/>
    </x:xf>
    <x:xf numFmtId="203" fontId="1" fillId="3" borderId="86" xfId="0" applyNumberFormat="1" applyFont="1" applyFill="1" applyBorder="1" applyAlignment="1">
      <x:alignment horizontal="right" vertical="center" wrapText="1"/>
    </x:xf>
    <x:xf numFmtId="0" fontId="24" fillId="3" borderId="84" xfId="0" applyNumberFormat="1" applyFont="1" applyFill="1" applyBorder="1" applyAlignment="1">
      <x:alignment horizontal="left" vertical="center" wrapText="1"/>
    </x:xf>
    <x:xf numFmtId="203" fontId="24" fillId="3" borderId="85" xfId="0" applyNumberFormat="1" applyFont="1" applyFill="1" applyBorder="1" applyAlignment="1">
      <x:alignment vertical="center" wrapText="1"/>
    </x:xf>
    <x:xf numFmtId="203" fontId="24" fillId="3" borderId="86" xfId="0" applyNumberFormat="1" applyFont="1" applyFill="1" applyBorder="1" applyAlignment="1">
      <x:alignment vertical="center" wrapText="1"/>
    </x:xf>
    <x:xf numFmtId="0" fontId="26" fillId="3" borderId="84" xfId="0" applyNumberFormat="1" applyFont="1" applyFill="1" applyBorder="1" applyAlignment="1">
      <x:alignment horizontal="left" vertical="center" wrapText="1"/>
    </x:xf>
    <x:xf numFmtId="203" fontId="26" fillId="3" borderId="85" xfId="0" applyNumberFormat="1" applyFont="1" applyFill="1" applyBorder="1" applyAlignment="1">
      <x:alignment vertical="center" wrapText="1"/>
    </x:xf>
    <x:xf numFmtId="203" fontId="26" fillId="3" borderId="86" xfId="0" applyNumberFormat="1" applyFont="1" applyFill="1" applyBorder="1" applyAlignment="1">
      <x:alignment vertical="center" wrapText="1"/>
    </x:xf>
    <x:xf numFmtId="0" fontId="26" fillId="3" borderId="87" xfId="0" applyNumberFormat="1" applyFont="1" applyFill="1" applyBorder="1" applyAlignment="1">
      <x:alignment horizontal="left" vertical="center" wrapText="1"/>
    </x:xf>
    <x:xf numFmtId="203" fontId="26" fillId="3" borderId="88" xfId="0" applyNumberFormat="1" applyFont="1" applyFill="1" applyBorder="1" applyAlignment="1">
      <x:alignment vertical="center" wrapText="1"/>
    </x:xf>
    <x:xf numFmtId="203" fontId="26" fillId="3" borderId="89" xfId="0" applyNumberFormat="1" applyFont="1" applyFill="1" applyBorder="1" applyAlignment="1">
      <x:alignment vertical="center" wrapText="1"/>
    </x:xf>
    <x:xf numFmtId="0" fontId="7" fillId="34" borderId="90" xfId="0" applyNumberFormat="1" applyFont="1" applyFill="1" applyBorder="1" applyAlignment="1">
      <x:alignment horizontal="center" vertical="center" wrapText="1"/>
    </x:xf>
    <x:xf numFmtId="203" fontId="7" fillId="34" borderId="91" xfId="0" applyNumberFormat="1" applyFont="1" applyFill="1" applyBorder="1" applyAlignment="1">
      <x:alignment horizontal="center" vertical="center" wrapText="1"/>
    </x:xf>
    <x:xf numFmtId="203" fontId="7" fillId="34" borderId="92" xfId="0" applyNumberFormat="1" applyFont="1" applyFill="1" applyBorder="1" applyAlignment="1">
      <x:alignment horizontal="center" vertical="center" wrapText="1"/>
    </x:xf>
    <x:xf numFmtId="203" fontId="1" fillId="3" borderId="95" xfId="0" applyNumberFormat="1" applyFont="1" applyFill="1" applyBorder="1" applyAlignment="1">
      <x:alignment horizontal="right" vertical="center" wrapText="1"/>
    </x:xf>
    <x:xf numFmtId="0" fontId="24" fillId="3" borderId="93" xfId="0" applyNumberFormat="1" applyFont="1" applyFill="1" applyBorder="1" applyAlignment="1">
      <x:alignment horizontal="left" vertical="center" wrapText="1"/>
    </x:xf>
    <x:xf numFmtId="203" fontId="24" fillId="3" borderId="94" xfId="0" applyNumberFormat="1" applyFont="1" applyFill="1" applyBorder="1" applyAlignment="1">
      <x:alignment vertical="center" wrapText="1"/>
    </x:xf>
    <x:xf numFmtId="203" fontId="24" fillId="3" borderId="95" xfId="0" applyNumberFormat="1" applyFont="1" applyFill="1" applyBorder="1" applyAlignment="1">
      <x:alignment vertical="center" wrapText="1"/>
    </x:xf>
    <x:xf numFmtId="0" fontId="26" fillId="3" borderId="93" xfId="0" applyNumberFormat="1" applyFont="1" applyFill="1" applyBorder="1" applyAlignment="1">
      <x:alignment horizontal="left" vertical="center" wrapText="1"/>
    </x:xf>
    <x:xf numFmtId="203" fontId="26" fillId="3" borderId="94" xfId="0" applyNumberFormat="1" applyFont="1" applyFill="1" applyBorder="1" applyAlignment="1">
      <x:alignment vertical="center" wrapText="1"/>
    </x:xf>
    <x:xf numFmtId="203" fontId="26" fillId="3" borderId="95" xfId="0" applyNumberFormat="1" applyFont="1" applyFill="1" applyBorder="1" applyAlignment="1">
      <x:alignment vertical="center" wrapText="1"/>
    </x:xf>
    <x:xf numFmtId="0" fontId="26" fillId="3" borderId="96" xfId="0" applyNumberFormat="1" applyFont="1" applyFill="1" applyBorder="1" applyAlignment="1">
      <x:alignment horizontal="left" vertical="center" wrapText="1"/>
    </x:xf>
    <x:xf numFmtId="203" fontId="26" fillId="3" borderId="97" xfId="0" applyNumberFormat="1" applyFont="1" applyFill="1" applyBorder="1" applyAlignment="1">
      <x:alignment vertical="center" wrapText="1"/>
    </x:xf>
    <x:xf numFmtId="203" fontId="26" fillId="3" borderId="98" xfId="0" applyNumberFormat="1" applyFont="1" applyFill="1" applyBorder="1" applyAlignment="1">
      <x:alignment vertical="center" wrapText="1"/>
    </x:xf>
    <x:xf numFmtId="0" fontId="1" fillId="32" borderId="93" xfId="0" applyNumberFormat="1" applyFont="1" applyFill="1" applyBorder="1" applyAlignment="1">
      <x:alignment horizontal="left" vertical="center" wrapText="1"/>
    </x:xf>
    <x:xf numFmtId="203" fontId="1" fillId="32" borderId="94" xfId="0" applyNumberFormat="1" applyFont="1" applyFill="1" applyBorder="1" applyAlignment="1">
      <x:alignment vertical="center" wrapText="1"/>
    </x:xf>
    <x:xf numFmtId="203" fontId="1" fillId="32" borderId="94" xfId="0" applyNumberFormat="1" applyFont="1" applyFill="1" applyBorder="1" applyAlignment="1">
      <x:alignment horizontal="right" vertical="center" wrapText="1"/>
    </x:xf>
    <x:xf numFmtId="203" fontId="1" fillId="32" borderId="95" xfId="0" applyNumberFormat="1" applyFont="1" applyFill="1" applyBorder="1" applyAlignment="1">
      <x:alignment horizontal="right" vertical="center" wrapText="1"/>
    </x:xf>
    <x:xf numFmtId="0" fontId="24" fillId="32" borderId="93" xfId="0" applyNumberFormat="1" applyFont="1" applyFill="1" applyBorder="1" applyAlignment="1">
      <x:alignment horizontal="left" vertical="center" wrapText="1"/>
    </x:xf>
    <x:xf numFmtId="203" fontId="24" fillId="32" borderId="94" xfId="0" applyNumberFormat="1" applyFont="1" applyFill="1" applyBorder="1" applyAlignment="1">
      <x:alignment vertical="center" wrapText="1"/>
    </x:xf>
    <x:xf numFmtId="203" fontId="24" fillId="32" borderId="95" xfId="0" applyNumberFormat="1" applyFont="1" applyFill="1" applyBorder="1" applyAlignment="1">
      <x:alignment vertical="center" wrapText="1"/>
    </x:xf>
    <x:xf numFmtId="0" fontId="26" fillId="32" borderId="93" xfId="0" applyNumberFormat="1" applyFont="1" applyFill="1" applyBorder="1" applyAlignment="1">
      <x:alignment horizontal="left" vertical="center" wrapText="1"/>
    </x:xf>
    <x:xf numFmtId="203" fontId="26" fillId="32" borderId="94" xfId="0" applyNumberFormat="1" applyFont="1" applyFill="1" applyBorder="1" applyAlignment="1">
      <x:alignment vertical="center" wrapText="1"/>
    </x:xf>
    <x:xf numFmtId="203" fontId="26" fillId="32" borderId="95" xfId="0" applyNumberFormat="1" applyFont="1" applyFill="1" applyBorder="1" applyAlignment="1">
      <x:alignment vertical="center" wrapText="1"/>
    </x:xf>
    <x:xf numFmtId="203" fontId="1" fillId="32" borderId="95" xfId="0" applyNumberFormat="1" applyFont="1" applyFill="1" applyBorder="1" applyAlignment="1">
      <x:alignment vertical="center" wrapText="1"/>
    </x:xf>
    <x:xf numFmtId="0" fontId="7" fillId="32" borderId="93" xfId="0" applyNumberFormat="1" applyFont="1" applyFill="1" applyBorder="1" applyAlignment="1">
      <x:alignment horizontal="left" vertical="center" wrapText="1"/>
    </x:xf>
    <x:xf numFmtId="203" fontId="7" fillId="32" borderId="94" xfId="0" applyNumberFormat="1" applyFont="1" applyFill="1" applyBorder="1" applyAlignment="1">
      <x:alignment vertical="center" wrapText="1"/>
    </x:xf>
    <x:xf numFmtId="203" fontId="7" fillId="32" borderId="95" xfId="0" applyNumberFormat="1" applyFont="1" applyFill="1" applyBorder="1" applyAlignment="1">
      <x:alignment vertical="center" wrapText="1"/>
    </x:xf>
    <x:xf numFmtId="203" fontId="26" fillId="3" borderId="97" xfId="0" applyNumberFormat="1" applyFont="1" applyFill="1" applyBorder="1" applyAlignment="1">
      <x:alignment horizontal="right" vertical="center" wrapText="1"/>
    </x:xf>
    <x:xf numFmtId="203" fontId="1" fillId="37" borderId="94" xfId="0" applyNumberFormat="1" applyFont="1" applyFill="1" applyBorder="1" applyAlignment="1">
      <x:alignment horizontal="right" vertical="center" wrapText="1"/>
    </x:xf>
    <x:xf numFmtId="203" fontId="1" fillId="37" borderId="95" xfId="0" applyNumberFormat="1" applyFont="1" applyFill="1" applyBorder="1" applyAlignment="1">
      <x:alignment horizontal="right" vertical="center" wrapText="1"/>
    </x:xf>
    <x:xf numFmtId="203" fontId="1" fillId="37" borderId="94" xfId="0" applyNumberFormat="1" applyFont="1" applyFill="1" applyBorder="1" applyAlignment="1">
      <x:alignment vertical="center" wrapText="1"/>
    </x:xf>
    <x:xf numFmtId="203" fontId="1" fillId="37" borderId="95" xfId="0" applyNumberFormat="1" applyFont="1" applyFill="1" applyBorder="1" applyAlignment="1">
      <x:alignment vertical="center" wrapText="1"/>
    </x:xf>
    <x:xf numFmtId="203" fontId="7" fillId="37" borderId="94" xfId="0" applyNumberFormat="1" applyFont="1" applyFill="1" applyBorder="1" applyAlignment="1">
      <x:alignment vertical="center" wrapText="1"/>
    </x:xf>
    <x:xf numFmtId="203" fontId="7" fillId="37" borderId="95" xfId="0" applyNumberFormat="1" applyFont="1" applyFill="1" applyBorder="1" applyAlignment="1">
      <x:alignment vertical="center" wrapText="1"/>
    </x:xf>
    <x:xf numFmtId="0" fontId="26" fillId="35" borderId="96" xfId="0" applyNumberFormat="1" applyFont="1" applyFill="1" applyBorder="1" applyAlignment="1">
      <x:alignment horizontal="left" vertical="center" wrapText="1"/>
    </x:xf>
    <x:xf numFmtId="203" fontId="26" fillId="35" borderId="97" xfId="0" applyNumberFormat="1" applyFont="1" applyFill="1" applyBorder="1" applyAlignment="1">
      <x:alignment horizontal="right" vertical="center" wrapText="1"/>
    </x:xf>
    <x:xf numFmtId="203" fontId="26" fillId="35" borderId="97" xfId="0" applyNumberFormat="1" applyFont="1" applyFill="1" applyBorder="1" applyAlignment="1">
      <x:alignment vertical="center" wrapText="1"/>
    </x:xf>
    <x:xf numFmtId="203" fontId="26" fillId="35" borderId="98" xfId="0" applyNumberFormat="1" applyFont="1" applyFill="1" applyBorder="1" applyAlignment="1">
      <x:alignment vertical="center" wrapText="1"/>
    </x:xf>
    <x:xf numFmtId="203" fontId="7" fillId="35" borderId="98" xfId="0" applyNumberFormat="1" applyFont="1" applyFill="1" applyBorder="1" applyAlignment="1">
      <x:alignment vertical="center" wrapText="1"/>
    </x:xf>
    <x:xf numFmtId="0" fontId="7" fillId="35" borderId="101" xfId="0" applyNumberFormat="1" applyFont="1" applyFill="1" applyBorder="1" applyAlignment="1">
      <x:alignment horizontal="left" vertical="center" wrapText="1"/>
    </x:xf>
    <x:xf numFmtId="203" fontId="7" fillId="35" borderId="102" xfId="0" applyNumberFormat="1" applyFont="1" applyFill="1" applyBorder="1" applyAlignment="1">
      <x:alignment horizontal="right" vertical="center" wrapText="1"/>
    </x:xf>
    <x:xf numFmtId="203" fontId="7" fillId="35" borderId="102" xfId="0" applyNumberFormat="1" applyFont="1" applyFill="1" applyBorder="1" applyAlignment="1">
      <x:alignment vertical="center" wrapText="1"/>
    </x:xf>
    <x:xf numFmtId="0" fontId="7" fillId="35" borderId="110" xfId="0" applyNumberFormat="1" applyFont="1" applyFill="1" applyBorder="1" applyAlignment="1">
      <x:alignment horizontal="left" vertical="center" wrapText="1"/>
    </x:xf>
    <x:xf numFmtId="203" fontId="7" fillId="35" borderId="111" xfId="0" applyNumberFormat="1" applyFont="1" applyFill="1" applyBorder="1" applyAlignment="1">
      <x:alignment horizontal="right" vertical="center" wrapText="1"/>
    </x:xf>
    <x:xf numFmtId="203" fontId="7" fillId="35" borderId="111" xfId="0" applyNumberFormat="1" applyFont="1" applyFill="1" applyBorder="1" applyAlignment="1">
      <x:alignment vertical="center" wrapText="1"/>
    </x:xf>
    <x:xf numFmtId="203" fontId="7" fillId="34" borderId="22" xfId="0" applyNumberFormat="1" applyFont="1" applyFill="1" applyBorder="1" applyAlignment="1">
      <x:alignment vertical="center" wrapText="1"/>
    </x:xf>
    <x:xf numFmtId="203" fontId="7" fillId="3" borderId="86" xfId="0" applyNumberFormat="1" applyFont="1" applyFill="1" applyBorder="1" applyAlignment="1">
      <x:alignment horizontal="right" vertical="center" wrapText="1"/>
    </x:xf>
    <x:xf numFmtId="203" fontId="1" fillId="3" borderId="89" xfId="0" applyNumberFormat="1" applyFont="1" applyFill="1" applyBorder="1" applyAlignment="1">
      <x:alignment horizontal="right" vertical="center" wrapText="1"/>
    </x:xf>
    <x:xf numFmtId="203" fontId="7" fillId="3" borderId="95" xfId="0" applyNumberFormat="1" applyFont="1" applyFill="1" applyBorder="1" applyAlignment="1">
      <x:alignment horizontal="right" vertical="center" wrapText="1"/>
    </x:xf>
    <x:xf numFmtId="203" fontId="1" fillId="3" borderId="98" xfId="0" applyNumberFormat="1" applyFont="1" applyFill="1" applyBorder="1" applyAlignment="1">
      <x:alignment horizontal="right" vertical="center" wrapText="1"/>
    </x:xf>
    <x:xf numFmtId="203" fontId="7" fillId="32" borderId="95" xfId="0" applyNumberFormat="1" applyFont="1" applyFill="1" applyBorder="1" applyAlignment="1">
      <x:alignment horizontal="right" vertical="center" wrapText="1"/>
    </x:xf>
    <x:xf numFmtId="203" fontId="7" fillId="37" borderId="95" xfId="0" applyNumberFormat="1" applyFont="1" applyFill="1" applyBorder="1" applyAlignment="1">
      <x:alignment horizontal="right" vertical="center" wrapText="1"/>
    </x:xf>
    <x:xf numFmtId="203" fontId="1" fillId="35" borderId="98" xfId="0" applyNumberFormat="1" applyFont="1" applyFill="1" applyBorder="1" applyAlignment="1">
      <x:alignment horizontal="right" vertical="center" wrapText="1"/>
    </x:xf>
    <x:xf numFmtId="203" fontId="7" fillId="35" borderId="98" xfId="0" applyNumberFormat="1" applyFont="1" applyFill="1" applyBorder="1" applyAlignment="1">
      <x:alignment horizontal="right" vertical="center" wrapText="1"/>
    </x:xf>
    <x:xf numFmtId="0" fontId="7" fillId="3" borderId="28" xfId="0" applyNumberFormat="1" applyFont="1" applyFill="1" applyBorder="1" applyAlignment="1">
      <x:alignment horizontal="left" vertical="center" wrapText="1"/>
    </x:xf>
    <x:xf numFmtId="0" fontId="7" fillId="3" borderId="28" xfId="0" applyNumberFormat="1" applyFont="1" applyFill="1" applyBorder="1" applyAlignment="1">
      <x:alignment vertical="center" wrapText="1"/>
    </x:xf>
    <x:xf numFmtId="0" fontId="1" fillId="3" borderId="75" xfId="0" applyNumberFormat="1" applyFont="1" applyFill="1" applyBorder="1" applyAlignment="1">
      <x:alignment vertical="center" wrapText="1"/>
    </x:xf>
    <x:xf numFmtId="0" fontId="21" fillId="3" borderId="75" xfId="0" applyNumberFormat="1" applyFont="1" applyFill="1" applyBorder="1" applyAlignment="1">
      <x:alignment horizontal="left" vertical="center" wrapText="1"/>
    </x:xf>
    <x:xf numFmtId="203" fontId="21" fillId="3" borderId="75" xfId="0" applyNumberFormat="1" applyFont="1" applyFill="1" applyBorder="1" applyAlignment="1">
      <x:alignment horizontal="right" vertical="center" wrapText="1"/>
    </x:xf>
    <x:xf numFmtId="0" fontId="7" fillId="3" borderId="78" xfId="0" applyNumberFormat="1" applyFont="1" applyFill="1" applyBorder="1" applyAlignment="1">
      <x:alignment horizontal="left" vertical="center" wrapText="1"/>
    </x:xf>
    <x:xf numFmtId="0" fontId="7" fillId="3" borderId="78" xfId="0" applyNumberFormat="1" applyFont="1" applyFill="1" applyBorder="1" applyAlignment="1">
      <x:alignment vertical="center" wrapText="1"/>
    </x:xf>
    <x:xf numFmtId="203" fontId="7" fillId="3" borderId="78" xfId="0" applyNumberFormat="1" applyFont="1" applyFill="1" applyBorder="1" applyAlignment="1">
      <x:alignment horizontal="right" vertical="center" wrapText="1"/>
    </x:xf>
    <x:xf numFmtId="0" fontId="1" fillId="3" borderId="85" xfId="0" applyNumberFormat="1" applyFont="1" applyFill="1" applyBorder="1" applyAlignment="1">
      <x:alignment vertical="center" wrapText="1"/>
    </x:xf>
    <x:xf numFmtId="0" fontId="21" fillId="3" borderId="84" xfId="0" applyNumberFormat="1" applyFont="1" applyFill="1" applyBorder="1" applyAlignment="1">
      <x:alignment horizontal="left" vertical="center" wrapText="1"/>
    </x:xf>
    <x:xf numFmtId="0" fontId="21" fillId="3" borderId="85" xfId="0" applyNumberFormat="1" applyFont="1" applyFill="1" applyBorder="1" applyAlignment="1">
      <x:alignment horizontal="left" vertical="center" wrapText="1"/>
    </x:xf>
    <x:xf numFmtId="203" fontId="21" fillId="3" borderId="86" xfId="0" applyNumberFormat="1" applyFont="1" applyFill="1" applyBorder="1" applyAlignment="1">
      <x:alignment horizontal="right" vertical="center" wrapText="1"/>
    </x:xf>
    <x:xf numFmtId="0" fontId="7" fillId="3" borderId="87" xfId="0" applyNumberFormat="1" applyFont="1" applyFill="1" applyBorder="1" applyAlignment="1">
      <x:alignment horizontal="left" vertical="center" wrapText="1"/>
    </x:xf>
    <x:xf numFmtId="0" fontId="7" fillId="3" borderId="88" xfId="0" applyNumberFormat="1" applyFont="1" applyFill="1" applyBorder="1" applyAlignment="1">
      <x:alignment vertical="center" wrapText="1"/>
    </x:xf>
    <x:xf numFmtId="203" fontId="7" fillId="3" borderId="89" xfId="0" applyNumberFormat="1" applyFont="1" applyFill="1" applyBorder="1" applyAlignment="1">
      <x:alignment horizontal="right" vertical="center" wrapText="1"/>
    </x:xf>
    <x:xf numFmtId="0" fontId="1" fillId="3" borderId="94" xfId="0" applyNumberFormat="1" applyFont="1" applyFill="1" applyBorder="1" applyAlignment="1">
      <x:alignment vertical="center" wrapText="1"/>
    </x:xf>
    <x:xf numFmtId="0" fontId="21" fillId="3" borderId="93" xfId="0" applyNumberFormat="1" applyFont="1" applyFill="1" applyBorder="1" applyAlignment="1">
      <x:alignment horizontal="left" vertical="center" wrapText="1"/>
    </x:xf>
    <x:xf numFmtId="0" fontId="21" fillId="3" borderId="94" xfId="0" applyNumberFormat="1" applyFont="1" applyFill="1" applyBorder="1" applyAlignment="1">
      <x:alignment horizontal="left" vertical="center" wrapText="1"/>
    </x:xf>
    <x:xf numFmtId="203" fontId="21" fillId="3" borderId="95" xfId="0" applyNumberFormat="1" applyFont="1" applyFill="1" applyBorder="1" applyAlignment="1">
      <x:alignment horizontal="right" vertical="center" wrapText="1"/>
    </x:xf>
    <x:xf numFmtId="0" fontId="7" fillId="3" borderId="96" xfId="0" applyNumberFormat="1" applyFont="1" applyFill="1" applyBorder="1" applyAlignment="1">
      <x:alignment horizontal="left" vertical="center" wrapText="1"/>
    </x:xf>
    <x:xf numFmtId="0" fontId="7" fillId="3" borderId="97" xfId="0" applyNumberFormat="1" applyFont="1" applyFill="1" applyBorder="1" applyAlignment="1">
      <x:alignment vertical="center" wrapText="1"/>
    </x:xf>
    <x:xf numFmtId="203" fontId="7" fillId="3" borderId="98" xfId="0" applyNumberFormat="1" applyFont="1" applyFill="1" applyBorder="1" applyAlignment="1">
      <x:alignment horizontal="right" vertical="center" wrapText="1"/>
    </x:xf>
    <x:xf numFmtId="0" fontId="21" fillId="36" borderId="94" xfId="0" applyNumberFormat="1" applyFont="1" applyFill="1" applyBorder="1" applyAlignment="1">
      <x:alignment horizontal="left" vertical="center" wrapText="1"/>
    </x:xf>
    <x:xf numFmtId="0" fontId="1" fillId="36" borderId="94" xfId="0" applyNumberFormat="1" applyFont="1" applyFill="1" applyBorder="1" applyAlignment="1">
      <x:alignment vertical="center" wrapText="1"/>
    </x:xf>
    <x:xf numFmtId="203" fontId="21" fillId="36" borderId="94" xfId="0" applyNumberFormat="1" applyFont="1" applyFill="1" applyBorder="1" applyAlignment="1">
      <x:alignment horizontal="left" vertical="center" wrapText="1"/>
    </x:xf>
    <x:xf numFmtId="203" fontId="7" fillId="3" borderId="97" xfId="0" applyNumberFormat="1" applyFont="1" applyFill="1" applyBorder="1" applyAlignment="1">
      <x:alignment vertical="center" wrapText="1"/>
    </x:xf>
    <x:xf numFmtId="0" fontId="7" fillId="35" borderId="93" xfId="0" applyNumberFormat="1" applyFont="1" applyFill="1" applyBorder="1" applyAlignment="1">
      <x:alignment horizontal="left" vertical="center" wrapText="1"/>
    </x:xf>
    <x:xf numFmtId="203" fontId="7" fillId="35" borderId="94" xfId="0" applyNumberFormat="1" applyFont="1" applyFill="1" applyBorder="1" applyAlignment="1">
      <x:alignment vertical="center" wrapText="1"/>
    </x:xf>
    <x:xf numFmtId="203" fontId="7" fillId="35" borderId="95" xfId="0" applyNumberFormat="1" applyFont="1" applyFill="1" applyBorder="1" applyAlignment="1">
      <x:alignment horizontal="right" vertical="center" wrapText="1"/>
    </x:xf>
    <x:xf numFmtId="0" fontId="1" fillId="35" borderId="93" xfId="0" applyNumberFormat="1" applyFont="1" applyFill="1" applyBorder="1" applyAlignment="1">
      <x:alignment horizontal="left" vertical="center" wrapText="1"/>
    </x:xf>
    <x:xf numFmtId="203" fontId="1" fillId="35" borderId="94" xfId="0" applyNumberFormat="1" applyFont="1" applyFill="1" applyBorder="1" applyAlignment="1">
      <x:alignment vertical="center" wrapText="1"/>
    </x:xf>
    <x:xf numFmtId="0" fontId="1" fillId="35" borderId="94" xfId="0" applyNumberFormat="1" applyFont="1" applyFill="1" applyBorder="1" applyAlignment="1">
      <x:alignment vertical="center" wrapText="1"/>
    </x:xf>
    <x:xf numFmtId="203" fontId="1" fillId="35" borderId="95" xfId="0" applyNumberFormat="1" applyFont="1" applyFill="1" applyBorder="1" applyAlignment="1">
      <x:alignment horizontal="right" vertical="center" wrapText="1"/>
    </x:xf>
    <x:xf numFmtId="0" fontId="7" fillId="35" borderId="94" xfId="0" applyNumberFormat="1" applyFont="1" applyFill="1" applyBorder="1" applyAlignment="1">
      <x:alignment vertical="center" wrapText="1"/>
    </x:xf>
    <x:xf numFmtId="0" fontId="7" fillId="35" borderId="97" xfId="0" applyNumberFormat="1" applyFont="1" applyFill="1" applyBorder="1" applyAlignment="1">
      <x:alignment vertical="center" wrapText="1"/>
    </x:xf>
    <x:xf numFmtId="0" fontId="7" fillId="35" borderId="105" xfId="0" applyNumberFormat="1" applyFont="1" applyFill="1" applyBorder="1" applyAlignment="1">
      <x:alignment vertical="center" wrapText="1"/>
    </x:xf>
    <x:xf numFmtId="203" fontId="7" fillId="3" borderId="28" xfId="0" applyNumberFormat="1" applyFont="1" applyFill="1" applyBorder="1" applyAlignment="1">
      <x:alignment vertical="center" wrapText="1"/>
    </x:xf>
    <x:xf numFmtId="203" fontId="7" fillId="3" borderId="78" xfId="0" applyNumberFormat="1" applyFont="1" applyFill="1" applyBorder="1" applyAlignment="1">
      <x:alignment vertical="center" wrapText="1"/>
    </x:xf>
    <x:xf numFmtId="203" fontId="7" fillId="3" borderId="88" xfId="0" applyNumberFormat="1" applyFont="1" applyFill="1" applyBorder="1" applyAlignment="1">
      <x:alignment vertical="center" wrapText="1"/>
    </x:xf>
    <x:xf numFmtId="203" fontId="7" fillId="3" borderId="97" xfId="0" applyNumberFormat="1" applyFont="1" applyFill="1" applyBorder="1" applyAlignment="1">
      <x:alignment horizontal="right" vertical="center" wrapText="1"/>
    </x:xf>
    <x:xf numFmtId="203" fontId="7" fillId="3" borderId="75" xfId="0" applyNumberFormat="1" applyFont="1" applyFill="1" applyBorder="1" applyAlignment="1">
      <x:alignment horizontal="center" vertical="center" wrapText="1"/>
    </x:xf>
    <x:xf numFmtId="203" fontId="7" fillId="3" borderId="85" xfId="0" applyNumberFormat="1" applyFont="1" applyFill="1" applyBorder="1" applyAlignment="1">
      <x:alignment horizontal="center" vertical="center" wrapText="1"/>
    </x:xf>
    <x:xf numFmtId="203" fontId="7" fillId="3" borderId="94" xfId="0" applyNumberFormat="1" applyFont="1" applyFill="1" applyBorder="1" applyAlignment="1">
      <x:alignment horizontal="center" vertical="center" wrapText="1"/>
    </x:xf>
    <x:xf numFmtId="203" fontId="7" fillId="32" borderId="94" xfId="0" applyNumberFormat="1" applyFont="1" applyFill="1" applyBorder="1" applyAlignment="1">
      <x:alignment horizontal="center" vertical="center" wrapText="1"/>
    </x:xf>
    <x:xf numFmtId="203" fontId="7" fillId="36" borderId="94" xfId="0" applyNumberFormat="1" applyFont="1" applyFill="1" applyBorder="1" applyAlignment="1">
      <x:alignment horizontal="center" vertical="center" wrapText="1"/>
    </x:xf>
    <x:xf numFmtId="203" fontId="7" fillId="37" borderId="94" xfId="0" applyNumberFormat="1" applyFont="1" applyFill="1" applyBorder="1" applyAlignment="1">
      <x:alignment horizontal="center" vertical="center" wrapText="1"/>
    </x:xf>
    <x:xf numFmtId="0" fontId="1" fillId="31" borderId="22" xfId="0" applyNumberFormat="1" applyFont="1" applyFill="1" applyBorder="1" applyAlignment="1">
      <x:alignment vertical="center" wrapText="1"/>
    </x:xf>
    <x:xf numFmtId="0" fontId="1" fillId="34" borderId="22" xfId="0" applyNumberFormat="1" applyFont="1" applyFill="1" applyBorder="1" applyAlignment="1">
      <x:alignment vertical="center" wrapText="1"/>
    </x:xf>
    <x:xf numFmtId="0" fontId="7" fillId="34" borderId="22" xfId="0" applyNumberFormat="1" applyFont="1" applyFill="1" applyBorder="1" applyAlignment="1">
      <x:alignment vertical="center" wrapText="1"/>
    </x:xf>
    <x:xf numFmtId="0" fontId="7" fillId="3" borderId="75" xfId="0" applyNumberFormat="1" applyFont="1" applyFill="1" applyBorder="1" applyAlignment="1">
      <x:alignment vertical="center" wrapText="1"/>
    </x:xf>
    <x:xf numFmtId="0" fontId="1" fillId="3" borderId="78" xfId="0" applyNumberFormat="1" applyFont="1" applyFill="1" applyBorder="1" applyAlignment="1">
      <x:alignment vertical="center" wrapText="1"/>
    </x:xf>
    <x:xf numFmtId="0" fontId="7" fillId="34" borderId="82" xfId="0" applyNumberFormat="1" applyFont="1" applyFill="1" applyBorder="1" applyAlignment="1">
      <x:alignment horizontal="center" vertical="center" wrapText="1"/>
    </x:xf>
    <x:xf numFmtId="0" fontId="7" fillId="3" borderId="85" xfId="0" applyNumberFormat="1" applyFont="1" applyFill="1" applyBorder="1" applyAlignment="1">
      <x:alignment vertical="center" wrapText="1"/>
    </x:xf>
    <x:xf numFmtId="0" fontId="1" fillId="3" borderId="88" xfId="0" applyNumberFormat="1" applyFont="1" applyFill="1" applyBorder="1" applyAlignment="1">
      <x:alignment vertical="center" wrapText="1"/>
    </x:xf>
    <x:xf numFmtId="0" fontId="7" fillId="34" borderId="91" xfId="0" applyNumberFormat="1" applyFont="1" applyFill="1" applyBorder="1" applyAlignment="1">
      <x:alignment horizontal="center" vertical="center" wrapText="1"/>
    </x:xf>
    <x:xf numFmtId="0" fontId="7" fillId="3" borderId="94" xfId="0" applyNumberFormat="1" applyFont="1" applyFill="1" applyBorder="1" applyAlignment="1">
      <x:alignment vertical="center" wrapText="1"/>
    </x:xf>
    <x:xf numFmtId="0" fontId="1" fillId="3" borderId="97" xfId="0" applyNumberFormat="1" applyFont="1" applyFill="1" applyBorder="1" applyAlignment="1">
      <x:alignment vertical="center" wrapText="1"/>
    </x:xf>
    <x:xf numFmtId="0" fontId="7" fillId="32" borderId="94" xfId="0" applyNumberFormat="1" applyFont="1" applyFill="1" applyBorder="1" applyAlignment="1">
      <x:alignment vertical="center" wrapText="1"/>
    </x:xf>
    <x:xf numFmtId="0" fontId="1" fillId="32" borderId="94" xfId="0" applyNumberFormat="1" applyFont="1" applyFill="1" applyBorder="1" applyAlignment="1">
      <x:alignment vertical="center" wrapText="1"/>
    </x:xf>
    <x:xf numFmtId="0" fontId="7" fillId="36" borderId="94" xfId="0" applyNumberFormat="1" applyFont="1" applyFill="1" applyBorder="1" applyAlignment="1">
      <x:alignment vertical="center" wrapText="1"/>
    </x:xf>
    <x:xf numFmtId="0" fontId="7" fillId="37" borderId="94" xfId="0" applyNumberFormat="1" applyFont="1" applyFill="1" applyBorder="1" applyAlignment="1">
      <x:alignment vertical="center" wrapText="1"/>
    </x:xf>
    <x:xf numFmtId="0" fontId="1" fillId="37" borderId="94" xfId="0" applyNumberFormat="1" applyFont="1" applyFill="1" applyBorder="1" applyAlignment="1">
      <x:alignment vertical="center" wrapText="1"/>
    </x:xf>
    <x:xf numFmtId="0" fontId="1" fillId="35" borderId="97" xfId="0" applyNumberFormat="1" applyFont="1" applyFill="1" applyBorder="1" applyAlignment="1">
      <x:alignment vertical="center" wrapText="1"/>
    </x:xf>
    <x:xf numFmtId="0" fontId="7" fillId="35" borderId="102" xfId="0" applyNumberFormat="1" applyFont="1" applyFill="1" applyBorder="1" applyAlignment="1">
      <x:alignment vertical="center" wrapText="1"/>
    </x:xf>
    <x:xf numFmtId="0" fontId="7" fillId="35" borderId="111" xfId="0" applyNumberFormat="1" applyFont="1" applyFill="1" applyBorder="1" applyAlignment="1">
      <x:alignment vertical="center" wrapText="1"/>
    </x:xf>
    <x:xf numFmtId="0" fontId="0" fillId="36" borderId="0" xfId="0" applyNumberFormat="1" applyFont="1" applyFill="1" applyBorder="1"/>
    <x:xf numFmtId="203" fontId="1" fillId="36" borderId="22" xfId="0" applyNumberFormat="1" applyFont="1" applyFill="1" applyBorder="1" applyAlignment="1">
      <x:alignment horizontal="right" vertical="center" wrapText="1"/>
    </x:xf>
    <x:xf numFmtId="203" fontId="0" fillId="36" borderId="0" xfId="0" applyNumberFormat="1" applyFont="1" applyFill="1" applyBorder="1"/>
    <x:xf numFmtId="0" fontId="26" fillId="34" borderId="22" xfId="0" applyNumberFormat="1" applyFont="1" applyFill="1" applyBorder="1" applyAlignment="1">
      <x:alignment vertical="center" wrapText="1"/>
    </x:xf>
    <x:xf numFmtId="0" fontId="26" fillId="34" borderId="3" xfId="0" applyNumberFormat="1" applyFont="1" applyFill="1" applyBorder="1" applyAlignment="1">
      <x:alignment horizontal="center" wrapText="1"/>
    </x:xf>
    <x:xf numFmtId="0" fontId="26" fillId="34" borderId="66" xfId="0" applyNumberFormat="1" applyFont="1" applyFill="1" applyBorder="1" applyAlignment="1">
      <x:alignment horizontal="center" wrapText="1"/>
    </x:xf>
    <x:xf numFmtId="0" fontId="0" fillId="0" borderId="68" xfId="0" applyNumberFormat="1" applyFont="1" applyFill="1" applyBorder="1"/>
    <x:xf numFmtId="0" fontId="0" fillId="0" borderId="70" xfId="0" applyNumberFormat="1" applyFont="1" applyFill="1" applyBorder="1"/>
    <x:xf numFmtId="0" fontId="26" fillId="34" borderId="73" xfId="0" applyNumberFormat="1" applyFont="1" applyFill="1" applyBorder="1" applyAlignment="1">
      <x:alignment horizontal="center" wrapText="1"/>
    </x:xf>
    <x:xf numFmtId="0" fontId="0" fillId="0" borderId="76" xfId="0" applyNumberFormat="1" applyFont="1" applyFill="1" applyBorder="1"/>
    <x:xf numFmtId="0" fontId="0" fillId="0" borderId="79" xfId="0" applyNumberFormat="1" applyFont="1" applyFill="1" applyBorder="1"/>
    <x:xf numFmtId="0" fontId="26" fillId="34" borderId="82" xfId="0" applyNumberFormat="1" applyFont="1" applyFill="1" applyBorder="1" applyAlignment="1">
      <x:alignment horizontal="center" vertical="center" wrapText="1"/>
    </x:xf>
    <x:xf numFmtId="0" fontId="26" fillId="34" borderId="82" xfId="0" applyNumberFormat="1" applyFont="1" applyFill="1" applyBorder="1" applyAlignment="1">
      <x:alignment horizontal="center" wrapText="1"/>
    </x:xf>
    <x:xf numFmtId="0" fontId="0" fillId="0" borderId="85" xfId="0" applyNumberFormat="1" applyFont="1" applyFill="1" applyBorder="1"/>
    <x:xf numFmtId="0" fontId="0" fillId="0" borderId="88" xfId="0" applyNumberFormat="1" applyFont="1" applyFill="1" applyBorder="1"/>
    <x:xf numFmtId="0" fontId="26" fillId="34" borderId="91" xfId="0" applyNumberFormat="1" applyFont="1" applyFill="1" applyBorder="1" applyAlignment="1">
      <x:alignment horizontal="center" vertical="center" wrapText="1"/>
    </x:xf>
    <x:xf numFmtId="0" fontId="26" fillId="34" borderId="91" xfId="0" applyNumberFormat="1" applyFont="1" applyFill="1" applyBorder="1" applyAlignment="1">
      <x:alignment horizontal="center" wrapText="1"/>
    </x:xf>
    <x:xf numFmtId="0" fontId="0" fillId="0" borderId="94" xfId="0" applyNumberFormat="1" applyFont="1" applyFill="1" applyBorder="1"/>
    <x:xf numFmtId="0" fontId="0" fillId="0" borderId="97" xfId="0" applyNumberFormat="1" applyFont="1" applyFill="1" applyBorder="1"/>
    <x:xf numFmtId="0" fontId="0" fillId="36" borderId="94" xfId="0" applyNumberFormat="1" applyFont="1" applyFill="1" applyBorder="1"/>
    <x:xf numFmtId="203" fontId="0" fillId="36" borderId="94" xfId="0" applyNumberFormat="1" applyFont="1" applyFill="1" applyBorder="1"/>
    <x:xf numFmtId="203" fontId="0" fillId="0" borderId="97" xfId="0" applyNumberFormat="1" applyFont="1" applyFill="1" applyBorder="1"/>
    <x:xf numFmtId="203" fontId="0" fillId="35" borderId="97" xfId="0" applyNumberFormat="1" applyFont="1" applyFill="1" applyBorder="1"/>
    <x:xf numFmtId="0" fontId="0" fillId="35" borderId="98" xfId="0" applyNumberFormat="1" applyFont="1" applyFill="1" applyBorder="1"/>
    <x:xf numFmtId="203" fontId="7" fillId="35" borderId="97" xfId="0" applyNumberFormat="1" applyFont="1" applyFill="1" applyBorder="1"/>
    <x:xf numFmtId="0" fontId="7" fillId="35" borderId="98" xfId="0" applyNumberFormat="1" applyFont="1" applyFill="1" applyBorder="1"/>
    <x:xf numFmtId="0" fontId="7" fillId="35" borderId="105" xfId="0" applyNumberFormat="1" applyFont="1" applyFill="1" applyBorder="1"/>
    <x:xf numFmtId="0" fontId="0" fillId="0" borderId="2" xfId="0" applyNumberFormat="1" applyFont="1" applyFill="1" applyBorder="1" applyAlignment="1">
      <x:alignment horizontal="left"/>
    </x:xf>
    <x:xf numFmtId="0" fontId="0" fillId="0" borderId="7" xfId="0" applyNumberFormat="1" applyFont="1" applyFill="1" applyBorder="1" applyAlignment="1">
      <x:alignment horizontal="left"/>
    </x:xf>
    <x:xf numFmtId="0" fontId="0" fillId="0" borderId="112" xfId="0" applyNumberFormat="1" applyFont="1" applyFill="1" applyBorder="1" applyAlignment="1">
      <x:alignment horizontal="left"/>
    </x:xf>
    <x:xf numFmtId="0" fontId="0" fillId="0" borderId="66" xfId="0" applyNumberFormat="1" applyFont="1" applyFill="1" applyBorder="1"/>
    <x:xf numFmtId="0" fontId="0" fillId="0" borderId="67" xfId="0" applyNumberFormat="1" applyFont="1" applyFill="1" applyBorder="1"/>
    <x:xf numFmtId="0" fontId="0" fillId="0" borderId="107" xfId="0" applyNumberFormat="1" applyFont="1" applyFill="1" applyBorder="1" applyAlignment="1">
      <x:alignment horizontal="left"/>
    </x:xf>
    <x:xf numFmtId="0" fontId="0" fillId="0" borderId="113" xfId="0" applyNumberFormat="1" applyFont="1" applyFill="1" applyBorder="1" applyAlignment="1">
      <x:alignment horizontal="left"/>
    </x:xf>
    <x:xf numFmtId="0" fontId="0" fillId="0" borderId="73" xfId="0" applyNumberFormat="1" applyFont="1" applyFill="1" applyBorder="1"/>
    <x:xf numFmtId="0" fontId="0" fillId="0" borderId="74" xfId="0" applyNumberFormat="1" applyFont="1" applyFill="1" applyBorder="1"/>
    <x:xf numFmtId="0" fontId="0" fillId="0" borderId="109" xfId="0" applyNumberFormat="1" applyFont="1" applyFill="1" applyBorder="1" applyAlignment="1">
      <x:alignment horizontal="left"/>
    </x:xf>
    <x:xf numFmtId="0" fontId="0" fillId="0" borderId="81" xfId="0" applyNumberFormat="1" applyFont="1" applyFill="1" applyBorder="1" applyAlignment="1">
      <x:alignment horizontal="left"/>
    </x:xf>
    <x:xf numFmtId="0" fontId="0" fillId="0" borderId="82" xfId="0" applyNumberFormat="1" applyFont="1" applyFill="1" applyBorder="1"/>
    <x:xf numFmtId="0" fontId="0" fillId="0" borderId="83" xfId="0" applyNumberFormat="1" applyFont="1" applyFill="1" applyBorder="1"/>
    <x:xf numFmtId="0" fontId="0" fillId="0" borderId="87" xfId="0" applyNumberFormat="1" applyFont="1" applyFill="1" applyBorder="1" applyAlignment="1">
      <x:alignment horizontal="left"/>
    </x:xf>
    <x:xf numFmtId="0" fontId="0" fillId="0" borderId="90" xfId="0" applyNumberFormat="1" applyFont="1" applyFill="1" applyBorder="1" applyAlignment="1">
      <x:alignment horizontal="left"/>
    </x:xf>
    <x:xf numFmtId="0" fontId="0" fillId="0" borderId="91" xfId="0" applyNumberFormat="1" applyFont="1" applyFill="1" applyBorder="1"/>
    <x:xf numFmtId="0" fontId="0" fillId="0" borderId="92" xfId="0" applyNumberFormat="1" applyFont="1" applyFill="1" applyBorder="1"/>
    <x:xf numFmtId="0" fontId="0" fillId="0" borderId="96" xfId="0" applyNumberFormat="1" applyFont="1" applyFill="1" applyBorder="1" applyAlignment="1">
      <x:alignment horizontal="left"/>
    </x:xf>
    <x:xf numFmtId="203" fontId="0" fillId="36" borderId="3" xfId="0" applyNumberFormat="1" applyFont="1" applyFill="1" applyBorder="1"/>
    <x:xf numFmtId="203" fontId="0" fillId="36" borderId="4" xfId="0" applyNumberFormat="1" applyFont="1" applyFill="1" applyBorder="1"/>
    <x:xf numFmtId="203" fontId="0" fillId="36" borderId="66" xfId="0" applyNumberFormat="1" applyFont="1" applyFill="1" applyBorder="1"/>
    <x:xf numFmtId="203" fontId="0" fillId="36" borderId="67" xfId="0" applyNumberFormat="1" applyFont="1" applyFill="1" applyBorder="1"/>
    <x:xf numFmtId="203" fontId="1" fillId="36" borderId="28" xfId="0" applyNumberFormat="1" applyFont="1" applyFill="1" applyBorder="1" applyAlignment="1">
      <x:alignment horizontal="right" vertical="center" wrapText="1"/>
    </x:xf>
    <x:xf numFmtId="203" fontId="0" fillId="36" borderId="73" xfId="0" applyNumberFormat="1" applyFont="1" applyFill="1" applyBorder="1"/>
    <x:xf numFmtId="203" fontId="0" fillId="36" borderId="74" xfId="0" applyNumberFormat="1" applyFont="1" applyFill="1" applyBorder="1"/>
    <x:xf numFmtId="203" fontId="1" fillId="36" borderId="78" xfId="0" applyNumberFormat="1" applyFont="1" applyFill="1" applyBorder="1" applyAlignment="1">
      <x:alignment horizontal="right" vertical="center" wrapText="1"/>
    </x:xf>
    <x:xf numFmtId="203" fontId="0" fillId="36" borderId="82" xfId="0" applyNumberFormat="1" applyFont="1" applyFill="1" applyBorder="1"/>
    <x:xf numFmtId="203" fontId="0" fillId="36" borderId="83" xfId="0" applyNumberFormat="1" applyFont="1" applyFill="1" applyBorder="1"/>
    <x:xf numFmtId="203" fontId="1" fillId="36" borderId="88" xfId="0" applyNumberFormat="1" applyFont="1" applyFill="1" applyBorder="1" applyAlignment="1">
      <x:alignment horizontal="right" vertical="center" wrapText="1"/>
    </x:xf>
    <x:xf numFmtId="203" fontId="1" fillId="36" borderId="89" xfId="0" applyNumberFormat="1" applyFont="1" applyFill="1" applyBorder="1" applyAlignment="1">
      <x:alignment horizontal="right" vertical="center" wrapText="1"/>
    </x:xf>
    <x:xf numFmtId="203" fontId="0" fillId="36" borderId="91" xfId="0" applyNumberFormat="1" applyFont="1" applyFill="1" applyBorder="1"/>
    <x:xf numFmtId="203" fontId="0" fillId="36" borderId="92" xfId="0" applyNumberFormat="1" applyFont="1" applyFill="1" applyBorder="1"/>
    <x:xf numFmtId="203" fontId="1" fillId="36" borderId="97" xfId="0" applyNumberFormat="1" applyFont="1" applyFill="1" applyBorder="1" applyAlignment="1">
      <x:alignment horizontal="right" vertical="center" wrapText="1"/>
    </x:xf>
    <x:xf numFmtId="203" fontId="1" fillId="36" borderId="98" xfId="0" applyNumberFormat="1" applyFont="1" applyFill="1" applyBorder="1" applyAlignment="1">
      <x:alignment horizontal="right" vertical="center" wrapText="1"/>
    </x:xf>
    <x:xf numFmtId="0" fontId="0" fillId="33" borderId="90" xfId="0" applyNumberFormat="1" applyFont="1" applyFill="1" applyBorder="1" applyAlignment="1">
      <x:alignment horizontal="left"/>
    </x:xf>
    <x:xf numFmtId="0" fontId="0" fillId="33" borderId="91" xfId="0" applyNumberFormat="1" applyFont="1" applyFill="1" applyBorder="1"/>
    <x:xf numFmtId="0" fontId="0" fillId="33" borderId="92" xfId="0" applyNumberFormat="1" applyFont="1" applyFill="1" applyBorder="1"/>
    <x:xf numFmtId="0" fontId="0" fillId="33" borderId="96" xfId="0" applyNumberFormat="1" applyFont="1" applyFill="1" applyBorder="1" applyAlignment="1">
      <x:alignment horizontal="left"/>
    </x:xf>
    <x:xf numFmtId="0" fontId="0" fillId="33" borderId="97" xfId="0" applyNumberFormat="1" applyFont="1" applyFill="1" applyBorder="1"/>
    <x:xf numFmtId="0" fontId="0" fillId="33" borderId="98" xfId="0" applyNumberFormat="1" applyFont="1" applyFill="1" applyBorder="1"/>
    <x:xf numFmtId="0" fontId="7" fillId="33" borderId="90" xfId="0" applyNumberFormat="1" applyFont="1" applyFill="1" applyBorder="1" applyAlignment="1">
      <x:alignment horizontal="left"/>
    </x:xf>
    <x:xf numFmtId="0" fontId="7" fillId="33" borderId="91" xfId="0" applyNumberFormat="1" applyFont="1" applyFill="1" applyBorder="1"/>
    <x:xf numFmtId="0" fontId="7" fillId="33" borderId="92" xfId="0" applyNumberFormat="1" applyFont="1" applyFill="1" applyBorder="1"/>
    <x:xf numFmtId="0" fontId="7" fillId="33" borderId="96" xfId="0" applyNumberFormat="1" applyFont="1" applyFill="1" applyBorder="1" applyAlignment="1">
      <x:alignment horizontal="left"/>
    </x:xf>
    <x:xf numFmtId="0" fontId="7" fillId="33" borderId="97" xfId="0" applyNumberFormat="1" applyFont="1" applyFill="1" applyBorder="1"/>
    <x:xf numFmtId="0" fontId="7" fillId="33" borderId="98" xfId="0" applyNumberFormat="1" applyFont="1" applyFill="1" applyBorder="1"/>
    <x:xf numFmtId="0" fontId="1" fillId="3" borderId="72" xfId="0" applyNumberFormat="1" applyFont="1" applyFill="1" applyBorder="1" applyAlignment="1">
      <x:alignment horizontal="left" vertical="center" wrapText="1"/>
    </x:xf>
    <x:xf numFmtId="0" fontId="1" fillId="3" borderId="72" xfId="0" applyNumberFormat="1" applyFont="1" applyFill="1" applyBorder="1" applyAlignment="1">
      <x:alignment vertical="center" wrapText="1"/>
    </x:xf>
    <x:xf numFmtId="203" fontId="1" fillId="3" borderId="72" xfId="0" applyNumberFormat="1" applyFont="1" applyFill="1" applyBorder="1" applyAlignment="1">
      <x:alignment horizontal="right" vertical="center" wrapText="1"/>
    </x:xf>
    <x:xf numFmtId="0" fontId="1" fillId="3" borderId="81" xfId="0" applyNumberFormat="1" applyFont="1" applyFill="1" applyBorder="1" applyAlignment="1">
      <x:alignment horizontal="left" vertical="center" wrapText="1"/>
    </x:xf>
    <x:xf numFmtId="0" fontId="1" fillId="3" borderId="82" xfId="0" applyNumberFormat="1" applyFont="1" applyFill="1" applyBorder="1" applyAlignment="1">
      <x:alignment vertical="center" wrapText="1"/>
    </x:xf>
    <x:xf numFmtId="203" fontId="1" fillId="3" borderId="82" xfId="0" applyNumberFormat="1" applyFont="1" applyFill="1" applyBorder="1" applyAlignment="1">
      <x:alignment horizontal="right" vertical="center" wrapText="1"/>
    </x:xf>
    <x:xf numFmtId="203" fontId="1" fillId="3" borderId="83" xfId="0" applyNumberFormat="1" applyFont="1" applyFill="1" applyBorder="1" applyAlignment="1">
      <x:alignment horizontal="right" vertical="center" wrapText="1"/>
    </x:xf>
    <x:xf numFmtId="203" fontId="7" fillId="3" borderId="88" xfId="0" applyNumberFormat="1" applyFont="1" applyFill="1" applyBorder="1" applyAlignment="1">
      <x:alignment horizontal="right" vertical="center" wrapText="1"/>
    </x:xf>
    <x:xf numFmtId="0" fontId="1" fillId="3" borderId="90" xfId="0" applyNumberFormat="1" applyFont="1" applyFill="1" applyBorder="1" applyAlignment="1">
      <x:alignment horizontal="left" vertical="center" wrapText="1"/>
    </x:xf>
    <x:xf numFmtId="0" fontId="1" fillId="3" borderId="91" xfId="0" applyNumberFormat="1" applyFont="1" applyFill="1" applyBorder="1" applyAlignment="1">
      <x:alignment vertical="center" wrapText="1"/>
    </x:xf>
    <x:xf numFmtId="203" fontId="1" fillId="3" borderId="91" xfId="0" applyNumberFormat="1" applyFont="1" applyFill="1" applyBorder="1" applyAlignment="1">
      <x:alignment horizontal="right" vertical="center" wrapText="1"/>
    </x:xf>
    <x:xf numFmtId="203" fontId="1" fillId="3" borderId="92" xfId="0" applyNumberFormat="1" applyFont="1" applyFill="1" applyBorder="1" applyAlignment="1">
      <x:alignment horizontal="right" vertical="center" wrapText="1"/>
    </x:xf>
    <x:xf numFmtId="0" fontId="1" fillId="34" borderId="90" xfId="0" applyNumberFormat="1" applyFont="1" applyFill="1" applyBorder="1" applyAlignment="1">
      <x:alignment horizontal="left" vertical="center" wrapText="1"/>
    </x:xf>
    <x:xf numFmtId="0" fontId="1" fillId="34" borderId="91" xfId="0" applyNumberFormat="1" applyFont="1" applyFill="1" applyBorder="1" applyAlignment="1">
      <x:alignment vertical="center" wrapText="1"/>
    </x:xf>
    <x:xf numFmtId="203" fontId="1" fillId="34" borderId="91" xfId="0" applyNumberFormat="1" applyFont="1" applyFill="1" applyBorder="1" applyAlignment="1">
      <x:alignment horizontal="right" vertical="center" wrapText="1"/>
    </x:xf>
    <x:xf numFmtId="203" fontId="1" fillId="34" borderId="92" xfId="0" applyNumberFormat="1" applyFont="1" applyFill="1" applyBorder="1" applyAlignment="1">
      <x:alignment horizontal="right" vertical="center" wrapText="1"/>
    </x:xf>
    <x:xf numFmtId="0" fontId="7" fillId="34" borderId="90" xfId="0" applyNumberFormat="1" applyFont="1" applyFill="1" applyBorder="1" applyAlignment="1">
      <x:alignment horizontal="left" vertical="center" wrapText="1"/>
    </x:xf>
    <x:xf numFmtId="0" fontId="7" fillId="34" borderId="91" xfId="0" applyNumberFormat="1" applyFont="1" applyFill="1" applyBorder="1" applyAlignment="1">
      <x:alignment vertical="center" wrapText="1"/>
    </x:xf>
    <x:xf numFmtId="203" fontId="7" fillId="34" borderId="91" xfId="0" applyNumberFormat="1" applyFont="1" applyFill="1" applyBorder="1" applyAlignment="1">
      <x:alignment horizontal="right" vertical="center" wrapText="1"/>
    </x:xf>
    <x:xf numFmtId="203" fontId="7" fillId="34" borderId="92" xfId="0" applyNumberFormat="1" applyFont="1" applyFill="1" applyBorder="1" applyAlignment="1">
      <x:alignment horizontal="right" vertical="center" wrapText="1"/>
    </x:xf>
    <x:xf numFmtId="0" fontId="7" fillId="36" borderId="97" xfId="0" applyNumberFormat="1" applyFont="1" applyFill="1" applyBorder="1" applyAlignment="1">
      <x:alignment vertical="center" wrapText="1"/>
    </x:xf>
    <x:xf numFmtId="203" fontId="7" fillId="36" borderId="97" xfId="0" applyNumberFormat="1" applyFont="1" applyFill="1" applyBorder="1" applyAlignment="1">
      <x:alignment horizontal="right" vertical="center" wrapText="1"/>
    </x:xf>
    <x:xf numFmtId="203" fontId="7" fillId="36" borderId="97" xfId="0" applyNumberFormat="1" applyFont="1" applyFill="1" applyBorder="1" applyAlignment="1">
      <x:alignment vertical="center" wrapText="1"/>
    </x:xf>
    <x:xf numFmtId="203" fontId="1" fillId="35" borderId="94" xfId="0" applyNumberFormat="1" applyFont="1" applyFill="1" applyBorder="1" applyAlignment="1">
      <x:alignment horizontal="right" vertical="center" wrapText="1"/>
    </x:xf>
    <x:xf numFmtId="203" fontId="7" fillId="35" borderId="94" xfId="0" applyNumberFormat="1" applyFont="1" applyFill="1" applyBorder="1" applyAlignment="1">
      <x:alignment horizontal="right" vertical="center" wrapText="1"/>
    </x:xf>
    <x:xf numFmtId="0" fontId="7" fillId="35" borderId="114" xfId="0" applyNumberFormat="1" applyFont="1" applyFill="1" applyBorder="1" applyAlignment="1">
      <x:alignment horizontal="left" vertical="center" wrapText="1"/>
    </x:xf>
    <x:xf numFmtId="203" fontId="7" fillId="35" borderId="115" xfId="0" applyNumberFormat="1" applyFont="1" applyFill="1" applyBorder="1" applyAlignment="1">
      <x:alignment vertical="center" wrapText="1"/>
    </x:xf>
    <x:xf numFmtId="203" fontId="7" fillId="35" borderId="115" xfId="0" applyNumberFormat="1" applyFont="1" applyFill="1" applyBorder="1" applyAlignment="1">
      <x:alignment horizontal="right" vertical="center" wrapText="1"/>
    </x:xf>
    <x:xf numFmtId="0" fontId="24" fillId="3" borderId="7" xfId="0" applyNumberFormat="1" applyFont="1" applyFill="1" applyBorder="1" applyAlignment="1">
      <x:alignment horizontal="left" vertical="center" wrapText="1"/>
    </x:xf>
    <x:xf numFmtId="203" fontId="24" fillId="3" borderId="8" xfId="0" applyNumberFormat="1" applyFont="1" applyFill="1" applyBorder="1" applyAlignment="1">
      <x:alignment vertical="center" wrapText="1"/>
    </x:xf>
    <x:xf numFmtId="203" fontId="24" fillId="3" borderId="9" xfId="0" applyNumberFormat="1" applyFont="1" applyFill="1" applyBorder="1" applyAlignment="1">
      <x:alignment vertical="center" wrapText="1"/>
    </x:xf>
    <x:xf numFmtId="0" fontId="24" fillId="3" borderId="107" xfId="0" applyNumberFormat="1" applyFont="1" applyFill="1" applyBorder="1" applyAlignment="1">
      <x:alignment horizontal="left" vertical="center" wrapText="1"/>
    </x:xf>
    <x:xf numFmtId="203" fontId="24" fillId="3" borderId="70" xfId="0" applyNumberFormat="1" applyFont="1" applyFill="1" applyBorder="1" applyAlignment="1">
      <x:alignment vertical="center" wrapText="1"/>
    </x:xf>
    <x:xf numFmtId="203" fontId="24" fillId="3" borderId="71" xfId="0" applyNumberFormat="1" applyFont="1" applyFill="1" applyBorder="1" applyAlignment="1">
      <x:alignment vertical="center" wrapText="1"/>
    </x:xf>
    <x:xf numFmtId="0" fontId="24" fillId="3" borderId="109" xfId="0" applyNumberFormat="1" applyFont="1" applyFill="1" applyBorder="1" applyAlignment="1">
      <x:alignment horizontal="left" vertical="center" wrapText="1"/>
    </x:xf>
    <x:xf numFmtId="203" fontId="24" fillId="3" borderId="79" xfId="0" applyNumberFormat="1" applyFont="1" applyFill="1" applyBorder="1" applyAlignment="1">
      <x:alignment vertical="center" wrapText="1"/>
    </x:xf>
    <x:xf numFmtId="203" fontId="24" fillId="3" borderId="80" xfId="0" applyNumberFormat="1" applyFont="1" applyFill="1" applyBorder="1" applyAlignment="1">
      <x:alignment vertical="center" wrapText="1"/>
    </x:xf>
    <x:xf numFmtId="0" fontId="24" fillId="3" borderId="87" xfId="0" applyNumberFormat="1" applyFont="1" applyFill="1" applyBorder="1" applyAlignment="1">
      <x:alignment horizontal="left" vertical="center" wrapText="1"/>
    </x:xf>
    <x:xf numFmtId="203" fontId="24" fillId="3" borderId="88" xfId="0" applyNumberFormat="1" applyFont="1" applyFill="1" applyBorder="1" applyAlignment="1">
      <x:alignment vertical="center" wrapText="1"/>
    </x:xf>
    <x:xf numFmtId="203" fontId="24" fillId="3" borderId="89" xfId="0" applyNumberFormat="1" applyFont="1" applyFill="1" applyBorder="1" applyAlignment="1">
      <x:alignment vertical="center" wrapText="1"/>
    </x:xf>
    <x:xf numFmtId="0" fontId="24" fillId="3" borderId="96" xfId="0" applyNumberFormat="1" applyFont="1" applyFill="1" applyBorder="1" applyAlignment="1">
      <x:alignment horizontal="left" vertical="center" wrapText="1"/>
    </x:xf>
    <x:xf numFmtId="203" fontId="24" fillId="3" borderId="97" xfId="0" applyNumberFormat="1" applyFont="1" applyFill="1" applyBorder="1" applyAlignment="1">
      <x:alignment vertical="center" wrapText="1"/>
    </x:xf>
    <x:xf numFmtId="203" fontId="24" fillId="3" borderId="98" xfId="0" applyNumberFormat="1" applyFont="1" applyFill="1" applyBorder="1" applyAlignment="1">
      <x:alignment vertical="center" wrapText="1"/>
    </x:xf>
    <x:xf numFmtId="203" fontId="24" fillId="3" borderId="97" xfId="0" applyNumberFormat="1" applyFont="1" applyFill="1" applyBorder="1" applyAlignment="1">
      <x:alignment horizontal="right" vertical="center" wrapText="1"/>
    </x:xf>
    <x:xf numFmtId="0" fontId="24" fillId="35" borderId="96" xfId="0" applyNumberFormat="1" applyFont="1" applyFill="1" applyBorder="1" applyAlignment="1">
      <x:alignment horizontal="left" vertical="center" wrapText="1"/>
    </x:xf>
    <x:xf numFmtId="203" fontId="24" fillId="35" borderId="97" xfId="0" applyNumberFormat="1" applyFont="1" applyFill="1" applyBorder="1" applyAlignment="1">
      <x:alignment horizontal="right" vertical="center" wrapText="1"/>
    </x:xf>
    <x:xf numFmtId="203" fontId="24" fillId="35" borderId="97" xfId="0" applyNumberFormat="1" applyFont="1" applyFill="1" applyBorder="1" applyAlignment="1">
      <x:alignment vertical="center" wrapText="1"/>
    </x:xf>
    <x:xf numFmtId="203" fontId="24" fillId="35" borderId="98" xfId="0" applyNumberFormat="1" applyFont="1" applyFill="1" applyBorder="1" applyAlignment="1">
      <x:alignment vertical="center" wrapText="1"/>
    </x:xf>
    <x:xf numFmtId="0" fontId="21" fillId="32" borderId="93" xfId="0" applyNumberFormat="1" applyFont="1" applyFill="1" applyBorder="1" applyAlignment="1">
      <x:alignment horizontal="left" vertical="center" wrapText="1"/>
    </x:xf>
    <x:xf numFmtId="0" fontId="21" fillId="32" borderId="94" xfId="0" applyNumberFormat="1" applyFont="1" applyFill="1" applyBorder="1" applyAlignment="1">
      <x:alignment horizontal="left" vertical="center" wrapText="1"/>
    </x:xf>
    <x:xf numFmtId="203" fontId="21" fillId="32" borderId="95" xfId="0" applyNumberFormat="1" applyFont="1" applyFill="1" applyBorder="1" applyAlignment="1">
      <x:alignment horizontal="right" vertical="center" wrapText="1"/>
    </x:xf>
    <x:xf numFmtId="203" fontId="21" fillId="36" borderId="94" xfId="0" applyNumberFormat="1" applyFont="1" applyFill="1" applyBorder="1" applyAlignment="1">
      <x:alignment horizontal="right" vertical="center" wrapText="1"/>
    </x:xf>
    <x:xf numFmtId="0" fontId="21" fillId="37" borderId="94" xfId="0" applyNumberFormat="1" applyFont="1" applyFill="1" applyBorder="1" applyAlignment="1">
      <x:alignment horizontal="left" vertical="center" wrapText="1"/>
    </x:xf>
    <x:xf numFmtId="203" fontId="21" fillId="37" borderId="95" xfId="0" applyNumberFormat="1" applyFont="1" applyFill="1" applyBorder="1" applyAlignment="1">
      <x:alignment horizontal="right" vertical="center" wrapText="1"/>
    </x:xf>
    <x:xf numFmtId="0" fontId="7" fillId="3" borderId="72" xfId="0" applyNumberFormat="1" applyFont="1" applyFill="1" applyBorder="1" applyAlignment="1">
      <x:alignment horizontal="left" vertical="center" wrapText="1"/>
    </x:xf>
    <x:xf numFmtId="203" fontId="7" fillId="3" borderId="72" xfId="0" applyNumberFormat="1" applyFont="1" applyFill="1" applyBorder="1" applyAlignment="1">
      <x:alignment vertical="center" wrapText="1"/>
    </x:xf>
    <x:xf numFmtId="203" fontId="7" fillId="3" borderId="72" xfId="0" applyNumberFormat="1" applyFont="1" applyFill="1" applyBorder="1" applyAlignment="1">
      <x:alignment horizontal="right" vertical="center" wrapText="1"/>
    </x:xf>
    <x:xf numFmtId="0" fontId="7" fillId="3" borderId="81" xfId="0" applyNumberFormat="1" applyFont="1" applyFill="1" applyBorder="1" applyAlignment="1">
      <x:alignment horizontal="left" vertical="center" wrapText="1"/>
    </x:xf>
    <x:xf numFmtId="203" fontId="7" fillId="3" borderId="82" xfId="0" applyNumberFormat="1" applyFont="1" applyFill="1" applyBorder="1" applyAlignment="1">
      <x:alignment vertical="center" wrapText="1"/>
    </x:xf>
    <x:xf numFmtId="203" fontId="7" fillId="3" borderId="83" xfId="0" applyNumberFormat="1" applyFont="1" applyFill="1" applyBorder="1" applyAlignment="1">
      <x:alignment horizontal="right" vertical="center" wrapText="1"/>
    </x:xf>
    <x:xf numFmtId="0" fontId="7" fillId="3" borderId="90" xfId="0" applyNumberFormat="1" applyFont="1" applyFill="1" applyBorder="1" applyAlignment="1">
      <x:alignment horizontal="left" vertical="center" wrapText="1"/>
    </x:xf>
    <x:xf numFmtId="203" fontId="7" fillId="3" borderId="91" xfId="0" applyNumberFormat="1" applyFont="1" applyFill="1" applyBorder="1" applyAlignment="1">
      <x:alignment vertical="center" wrapText="1"/>
    </x:xf>
    <x:xf numFmtId="203" fontId="7" fillId="3" borderId="92" xfId="0" applyNumberFormat="1" applyFont="1" applyFill="1" applyBorder="1" applyAlignment="1">
      <x:alignment horizontal="right" vertical="center" wrapText="1"/>
    </x:xf>
    <x:xf numFmtId="203" fontId="7" fillId="34" borderId="91" xfId="0" applyNumberFormat="1" applyFont="1" applyFill="1" applyBorder="1" applyAlignment="1">
      <x:alignment vertical="center" wrapText="1"/>
    </x:xf>
    <x:xf numFmtId="0" fontId="7" fillId="20" xfId="0" applyNumberFormat="1" applyFont="1" applyFill="1" applyBorder="0" applyAlignment="1">
      <x:alignment horizontal="left" vertical="center" wrapText="0"/>
    </x:xf>
    <x:xf numFmtId="203" fontId="7" fillId="20" xfId="0" applyNumberFormat="1" applyFont="1" applyFill="1" applyBorder="0" applyAlignment="1">
      <x:alignment horizontal="left" vertical="center" wrapText="0"/>
    </x:xf>
    <x:xf numFmtId="0" fontId="37" fillId="20" xfId="0" applyNumberFormat="1" applyFont="1" applyFill="1" applyBorder="0" applyAlignment="1">
      <x:alignment horizontal="left" vertical="center" wrapText="0"/>
    </x:xf>
    <x:xf numFmtId="203" fontId="37" fillId="20" xfId="0" applyNumberFormat="1" applyFont="1" applyFill="1" applyBorder="0" applyAlignment="1">
      <x:alignment horizontal="left" vertical="center" wrapText="0"/>
    </x:xf>
    <x:xf numFmtId="0" fontId="37" fillId="20" xfId="0" applyNumberFormat="1" applyFont="1" applyFill="1" applyBorder="0" applyAlignment="1">
      <x:alignment horizontal="center" vertical="center" wrapText="0"/>
    </x:xf>
    <x:xf numFmtId="203" fontId="37" fillId="20" xfId="0" applyNumberFormat="1" applyFont="1" applyFill="1" applyBorder="0" applyAlignment="1">
      <x:alignment horizontal="center" vertical="center" wrapText="0"/>
    </x:xf>
    <x:xf numFmtId="0" fontId="6" fillId="3" borderId="2" xfId="0" applyNumberFormat="1" applyFont="1" applyFill="1" applyBorder="1" applyAlignment="1">
      <x:alignment horizontal="left" vertical="center" wrapText="0"/>
    </x:xf>
    <x:xf numFmtId="0" fontId="6" fillId="3" borderId="3" xfId="0" applyNumberFormat="1" applyFont="1" applyFill="1" applyBorder="1" applyAlignment="1">
      <x:alignment horizontal="left" vertical="center" wrapText="0"/>
    </x:xf>
    <x:xf numFmtId="203" fontId="6" fillId="3" borderId="3" xfId="0" applyNumberFormat="1" applyFont="1" applyFill="1" applyBorder="1" applyAlignment="1">
      <x:alignment horizontal="left" vertical="center" wrapText="0"/>
    </x:xf>
    <x:xf numFmtId="203" fontId="6" fillId="3" borderId="4" xfId="0" applyNumberFormat="1" applyFont="1" applyFill="1" applyBorder="1" applyAlignment="1">
      <x:alignment horizontal="left" vertical="center" wrapText="0"/>
    </x:xf>
    <x:xf numFmtId="0" fontId="6" fillId="3" borderId="2" xfId="0" applyNumberFormat="1" applyFont="1" applyFill="1" applyBorder="1" applyAlignment="1">
      <x:alignment horizontal="center" vertical="center" wrapText="0"/>
    </x:xf>
    <x:xf numFmtId="0" fontId="6" fillId="3" borderId="3" xfId="0" applyNumberFormat="1" applyFont="1" applyFill="1" applyBorder="1" applyAlignment="1">
      <x:alignment horizontal="center" vertical="center" wrapText="0"/>
    </x:xf>
    <x:xf numFmtId="203" fontId="6" fillId="3" borderId="3" xfId="0" applyNumberFormat="1" applyFont="1" applyFill="1" applyBorder="1" applyAlignment="1">
      <x:alignment horizontal="center" vertical="center" wrapText="0"/>
    </x:xf>
    <x:xf numFmtId="203" fontId="6" fillId="3" borderId="4" xfId="0" applyNumberFormat="1" applyFont="1" applyFill="1" applyBorder="1" applyAlignment="1">
      <x:alignment horizontal="center" vertical="center" wrapText="0"/>
    </x:xf>
    <x:xf numFmtId="0" fontId="38" fillId="3" borderId="5" xfId="0" applyNumberFormat="1" applyFont="1" applyFill="1" applyBorder="1" applyAlignment="1">
      <x:alignment horizontal="left" vertical="center" wrapText="0"/>
    </x:xf>
    <x:xf numFmtId="0" fontId="38" fillId="3" xfId="0" applyNumberFormat="1" applyFont="1" applyFill="1" applyBorder="0" applyAlignment="1">
      <x:alignment horizontal="left" vertical="center" wrapText="0"/>
    </x:xf>
    <x:xf numFmtId="203" fontId="38" fillId="3" xfId="0" applyNumberFormat="1" applyFont="1" applyFill="1" applyBorder="0" applyAlignment="1">
      <x:alignment horizontal="left" vertical="center" wrapText="0"/>
    </x:xf>
    <x:xf numFmtId="203" fontId="38" fillId="3" borderId="6" xfId="0" applyNumberFormat="1" applyFont="1" applyFill="1" applyBorder="1" applyAlignment="1">
      <x:alignment horizontal="left" vertical="center" wrapText="0"/>
    </x:xf>
    <x:xf numFmtId="0" fontId="38" fillId="3" borderId="5" xfId="0" applyNumberFormat="1" applyFont="1" applyFill="1" applyBorder="1" applyAlignment="1">
      <x:alignment horizontal="center" vertical="center" wrapText="0"/>
    </x:xf>
    <x:xf numFmtId="0" fontId="38" fillId="3" xfId="0" applyNumberFormat="1" applyFont="1" applyFill="1" applyBorder="0" applyAlignment="1">
      <x:alignment horizontal="center" vertical="center" wrapText="0"/>
    </x:xf>
    <x:xf numFmtId="203" fontId="38" fillId="3" xfId="0" applyNumberFormat="1" applyFont="1" applyFill="1" applyBorder="0" applyAlignment="1">
      <x:alignment horizontal="center" vertical="center" wrapText="0"/>
    </x:xf>
    <x:xf numFmtId="203" fontId="38" fillId="3" borderId="6" xfId="0" applyNumberFormat="1" applyFont="1" applyFill="1" applyBorder="1" applyAlignment="1">
      <x:alignment horizontal="center" vertical="center" wrapText="0"/>
    </x:xf>
    <x:xf numFmtId="0" fontId="7" fillId="20" borderId="22" xfId="0" applyNumberFormat="1" applyFont="1" applyFill="1" applyBorder="1" applyAlignment="1">
      <x:alignment horizontal="center" vertical="center" wrapText="1"/>
    </x:xf>
    <x:xf numFmtId="203" fontId="7" fillId="20" borderId="22" xfId="0" applyNumberFormat="1" applyFont="1" applyFill="1" applyBorder="1" applyAlignment="1">
      <x:alignment horizontal="center" vertical="center" wrapText="1"/>
    </x:xf>
    <x:xf numFmtId="200" fontId="7" fillId="20" borderId="22" xfId="0" applyNumberFormat="1" applyFont="1" applyFill="1" applyBorder="1" applyAlignment="1">
      <x:alignment horizontal="center" vertical="center" wrapText="1"/>
    </x:xf>
    <x:xf numFmtId="0" fontId="18" fillId="20" borderId="22" xfId="0" applyNumberFormat="1" applyFont="1" applyFill="1" applyBorder="1" applyAlignment="1">
      <x:alignment horizontal="center" vertical="center" wrapText="1"/>
    </x:xf>
    <x:xf numFmtId="203" fontId="18" fillId="20" borderId="22" xfId="0" applyNumberFormat="1" applyFont="1" applyFill="1" applyBorder="1" applyAlignment="1">
      <x:alignment horizontal="center" vertical="center" wrapText="1"/>
    </x:xf>
    <x:xf numFmtId="200" fontId="18" fillId="20" borderId="22" xfId="0" applyNumberFormat="1" applyFont="1" applyFill="1" applyBorder="1" applyAlignment="1">
      <x:alignment horizontal="center" vertical="center" wrapText="1"/>
    </x:xf>
    <x:xf numFmtId="0" fontId="18" fillId="20" borderId="23" xfId="0" applyNumberFormat="1" applyFont="1" applyFill="1" applyBorder="1" applyAlignment="1">
      <x:alignment horizontal="center" vertical="center" wrapText="1"/>
    </x:xf>
    <x:xf numFmtId="0" fontId="18" fillId="20" borderId="24" xfId="0" applyNumberFormat="1" applyFont="1" applyFill="1" applyBorder="1" applyAlignment="1">
      <x:alignment horizontal="center" vertical="center" wrapText="1"/>
    </x:xf>
    <x:xf numFmtId="203" fontId="18" fillId="20" borderId="24" xfId="0" applyNumberFormat="1" applyFont="1" applyFill="1" applyBorder="1" applyAlignment="1">
      <x:alignment horizontal="center" vertical="center" wrapText="1"/>
    </x:xf>
    <x:xf numFmtId="200" fontId="18" fillId="20" borderId="24" xfId="0" applyNumberFormat="1" applyFont="1" applyFill="1" applyBorder="1" applyAlignment="1">
      <x:alignment horizontal="center" vertical="center" wrapText="1"/>
    </x:xf>
    <x:xf numFmtId="200" fontId="18" fillId="20" borderId="25" xfId="0" applyNumberFormat="1" applyFont="1" applyFill="1" applyBorder="1" applyAlignment="1">
      <x:alignment horizontal="center" vertical="center" wrapText="1"/>
    </x:xf>
    <x:xf numFmtId="0" fontId="1" fillId="3" borderId="21" xfId="0" applyNumberFormat="1" applyFont="1" applyFill="1" applyBorder="1" applyAlignment="1">
      <x:alignment horizontal="center" vertical="center" wrapText="1"/>
    </x:xf>
    <x:xf numFmtId="204" fontId="1" fillId="3" borderId="21" xfId="0" applyNumberFormat="1" applyFont="1" applyFill="1" applyBorder="1" applyAlignment="1">
      <x:alignment horizontal="center" vertical="center" wrapText="1"/>
    </x:xf>
    <x:xf numFmtId="204" fontId="7" fillId="3" borderId="27" xfId="0" applyNumberFormat="1" applyFont="1" applyFill="1" applyBorder="1" applyAlignment="1">
      <x:alignment horizontal="center" vertical="center" wrapText="1"/>
    </x:xf>
    <x:xf numFmtId="0" fontId="1" fillId="3" borderId="27" xfId="0" applyNumberFormat="1" applyFont="1" applyFill="1" applyBorder="1" applyAlignment="1">
      <x:alignment horizontal="center" vertical="center" wrapText="1"/>
    </x:xf>
    <x:xf numFmtId="204" fontId="1" fillId="3" borderId="27" xfId="0" applyNumberFormat="1" applyFont="1" applyFill="1" applyBorder="1" applyAlignment="1">
      <x:alignment horizontal="center" vertical="center" wrapText="1"/>
    </x:xf>
    <x:xf numFmtId="0" fontId="1" fillId="3" borderId="28" xfId="0" applyNumberFormat="1" applyFont="1" applyFill="1" applyBorder="1" applyAlignment="1">
      <x:alignment horizontal="center" vertical="center" wrapText="1"/>
    </x:xf>
    <x:xf numFmtId="204" fontId="1" fillId="3" borderId="28" xfId="0" applyNumberFormat="1" applyFont="1" applyFill="1" applyBorder="1" applyAlignment="1">
      <x:alignment horizontal="center" vertical="center" wrapText="1"/>
    </x:xf>
    <x:xf numFmtId="0" fontId="7" fillId="3" borderId="33" xfId="0" applyNumberFormat="1" applyFont="1" applyFill="1" applyBorder="1" applyAlignment="1">
      <x:alignment horizontal="center" vertical="center" wrapText="1"/>
    </x:xf>
    <x:xf numFmtId="0" fontId="7" fillId="3" borderId="33" xfId="0" applyNumberFormat="1" applyFont="1" applyFill="1" applyBorder="1" applyAlignment="1">
      <x:alignment vertical="center" wrapText="1"/>
    </x:xf>
    <x:xf numFmtId="204" fontId="7" fillId="3" borderId="33" xfId="0" applyNumberFormat="1" applyFont="1" applyFill="1" applyBorder="1" applyAlignment="1">
      <x:alignment horizontal="center" vertical="center" wrapText="1"/>
    </x:xf>
    <x:xf numFmtId="203" fontId="7" fillId="3" borderId="33" xfId="0" applyNumberFormat="1" applyFont="1" applyFill="1" applyBorder="1" applyAlignment="1">
      <x:alignment horizontal="right" vertical="center" wrapText="1"/>
    </x:xf>
    <x:xf numFmtId="0" fontId="7" fillId="3" borderId="34" xfId="0" applyNumberFormat="1" applyFont="1" applyFill="1" applyBorder="1" applyAlignment="1">
      <x:alignment horizontal="center" vertical="center" wrapText="1"/>
    </x:xf>
    <x:xf numFmtId="0" fontId="7" fillId="3" borderId="34" xfId="0" applyNumberFormat="1" applyFont="1" applyFill="1" applyBorder="1" applyAlignment="1">
      <x:alignment vertical="center" wrapText="1"/>
    </x:xf>
    <x:xf numFmtId="204" fontId="7" fillId="3" borderId="34" xfId="0" applyNumberFormat="1" applyFont="1" applyFill="1" applyBorder="1" applyAlignment="1">
      <x:alignment horizontal="center" vertical="center" wrapText="1"/>
    </x:xf>
    <x:xf numFmtId="203" fontId="7" fillId="3" borderId="34" xfId="0" applyNumberFormat="1" applyFont="1" applyFill="1" applyBorder="1" applyAlignment="1">
      <x:alignment horizontal="right" vertical="center" wrapText="1"/>
    </x:xf>
    <x:xf numFmtId="0" fontId="1" fillId="3" borderId="34" xfId="0" applyNumberFormat="1" applyFont="1" applyFill="1" applyBorder="1" applyAlignment="1">
      <x:alignment horizontal="center" vertical="center" wrapText="1"/>
    </x:xf>
    <x:xf numFmtId="0" fontId="1" fillId="3" borderId="34" xfId="0" applyNumberFormat="1" applyFont="1" applyFill="1" applyBorder="1" applyAlignment="1">
      <x:alignment vertical="center" wrapText="1"/>
    </x:xf>
    <x:xf numFmtId="204" fontId="1" fillId="3" borderId="34" xfId="0" applyNumberFormat="1" applyFont="1" applyFill="1" applyBorder="1" applyAlignment="1">
      <x:alignment horizontal="center" vertical="center" wrapText="1"/>
    </x:xf>
    <x:xf numFmtId="203" fontId="1" fillId="3" borderId="34" xfId="0" applyNumberFormat="1" applyFont="1" applyFill="1" applyBorder="1" applyAlignment="1">
      <x:alignment horizontal="right" vertical="center" wrapText="1"/>
    </x:xf>
    <x:xf numFmtId="0" fontId="1" fillId="3" borderId="35" xfId="0" applyNumberFormat="1" applyFont="1" applyFill="1" applyBorder="1" applyAlignment="1">
      <x:alignment horizontal="center" vertical="center" wrapText="1"/>
    </x:xf>
    <x:xf numFmtId="0" fontId="1" fillId="3" borderId="35" xfId="0" applyNumberFormat="1" applyFont="1" applyFill="1" applyBorder="1" applyAlignment="1">
      <x:alignment vertical="center" wrapText="1"/>
    </x:xf>
    <x:xf numFmtId="204" fontId="1" fillId="3" borderId="35" xfId="0" applyNumberFormat="1" applyFont="1" applyFill="1" applyBorder="1" applyAlignment="1">
      <x:alignment horizontal="center" vertical="center" wrapText="1"/>
    </x:xf>
    <x:xf numFmtId="203" fontId="1" fillId="3" borderId="35" xfId="0" applyNumberFormat="1" applyFont="1" applyFill="1" applyBorder="1" applyAlignment="1">
      <x:alignment horizontal="right" vertical="center" wrapText="1"/>
    </x:xf>
    <x:xf numFmtId="0" fontId="7" fillId="3" borderId="36" xfId="0" applyNumberFormat="1" applyFont="1" applyFill="1" applyBorder="1" applyAlignment="1">
      <x:alignment horizontal="center" vertical="center" wrapText="1"/>
    </x:xf>
    <x:xf numFmtId="0" fontId="7" fillId="3" borderId="37" xfId="0" applyNumberFormat="1" applyFont="1" applyFill="1" applyBorder="1" applyAlignment="1">
      <x:alignment vertical="center" wrapText="1"/>
    </x:xf>
    <x:xf numFmtId="204" fontId="7" fillId="3" borderId="37" xfId="0" applyNumberFormat="1" applyFont="1" applyFill="1" applyBorder="1" applyAlignment="1">
      <x:alignment horizontal="center" vertical="center" wrapText="1"/>
    </x:xf>
    <x:xf numFmtId="203" fontId="7" fillId="3" borderId="37" xfId="0" applyNumberFormat="1" applyFont="1" applyFill="1" applyBorder="1" applyAlignment="1">
      <x:alignment horizontal="right" vertical="center" wrapText="1"/>
    </x:xf>
    <x:xf numFmtId="203" fontId="7" fillId="3" borderId="38" xfId="0" applyNumberFormat="1" applyFont="1" applyFill="1" applyBorder="1" applyAlignment="1">
      <x:alignment horizontal="right" vertical="center" wrapText="1"/>
    </x:xf>
    <x:xf numFmtId="0" fontId="7" fillId="3" borderId="39" xfId="0" applyNumberFormat="1" applyFont="1" applyFill="1" applyBorder="1" applyAlignment="1">
      <x:alignment horizontal="center" vertical="center" wrapText="1"/>
    </x:xf>
    <x:xf numFmtId="0" fontId="7" fillId="3" borderId="40" xfId="0" applyNumberFormat="1" applyFont="1" applyFill="1" applyBorder="1" applyAlignment="1">
      <x:alignment vertical="center" wrapText="1"/>
    </x:xf>
    <x:xf numFmtId="204" fontId="7" fillId="3" borderId="40" xfId="0" applyNumberFormat="1" applyFont="1" applyFill="1" applyBorder="1" applyAlignment="1">
      <x:alignment horizontal="center" vertical="center" wrapText="1"/>
    </x:xf>
    <x:xf numFmtId="203" fontId="7" fillId="3" borderId="40" xfId="0" applyNumberFormat="1" applyFont="1" applyFill="1" applyBorder="1" applyAlignment="1">
      <x:alignment horizontal="right" vertical="center" wrapText="1"/>
    </x:xf>
    <x:xf numFmtId="203" fontId="7" fillId="3" borderId="41" xfId="0" applyNumberFormat="1" applyFont="1" applyFill="1" applyBorder="1" applyAlignment="1">
      <x:alignment horizontal="right" vertical="center" wrapText="1"/>
    </x:xf>
    <x:xf numFmtId="0" fontId="1" fillId="3" borderId="39" xfId="0" applyNumberFormat="1" applyFont="1" applyFill="1" applyBorder="1" applyAlignment="1">
      <x:alignment horizontal="center" vertical="center" wrapText="1"/>
    </x:xf>
    <x:xf numFmtId="0" fontId="1" fillId="3" borderId="40" xfId="0" applyNumberFormat="1" applyFont="1" applyFill="1" applyBorder="1" applyAlignment="1">
      <x:alignment vertical="center" wrapText="1"/>
    </x:xf>
    <x:xf numFmtId="204" fontId="1" fillId="3" borderId="40" xfId="0" applyNumberFormat="1" applyFont="1" applyFill="1" applyBorder="1" applyAlignment="1">
      <x:alignment horizontal="center" vertical="center" wrapText="1"/>
    </x:xf>
    <x:xf numFmtId="203" fontId="1" fillId="3" borderId="40" xfId="0" applyNumberFormat="1" applyFont="1" applyFill="1" applyBorder="1" applyAlignment="1">
      <x:alignment horizontal="right" vertical="center" wrapText="1"/>
    </x:xf>
    <x:xf numFmtId="203" fontId="1" fillId="3" borderId="41" xfId="0" applyNumberFormat="1" applyFont="1" applyFill="1" applyBorder="1" applyAlignment="1">
      <x:alignment horizontal="right" vertical="center" wrapText="1"/>
    </x:xf>
    <x:xf numFmtId="0" fontId="1" fillId="3" borderId="42" xfId="0" applyNumberFormat="1" applyFont="1" applyFill="1" applyBorder="1" applyAlignment="1">
      <x:alignment horizontal="center" vertical="center" wrapText="1"/>
    </x:xf>
    <x:xf numFmtId="0" fontId="1" fillId="3" borderId="43" xfId="0" applyNumberFormat="1" applyFont="1" applyFill="1" applyBorder="1" applyAlignment="1">
      <x:alignment vertical="center" wrapText="1"/>
    </x:xf>
    <x:xf numFmtId="204" fontId="1" fillId="3" borderId="43" xfId="0" applyNumberFormat="1" applyFont="1" applyFill="1" applyBorder="1" applyAlignment="1">
      <x:alignment horizontal="center" vertical="center" wrapText="1"/>
    </x:xf>
    <x:xf numFmtId="203" fontId="1" fillId="3" borderId="43" xfId="0" applyNumberFormat="1" applyFont="1" applyFill="1" applyBorder="1" applyAlignment="1">
      <x:alignment horizontal="right" vertical="center" wrapText="1"/>
    </x:xf>
    <x:xf numFmtId="203" fontId="1" fillId="3" borderId="44" xfId="0" applyNumberFormat="1" applyFont="1" applyFill="1" applyBorder="1" applyAlignment="1">
      <x:alignment horizontal="right" vertical="center" wrapText="1"/>
    </x:xf>
    <x:xf numFmtId="0" fontId="7" fillId="3" borderId="45" xfId="0" applyNumberFormat="1" applyFont="1" applyFill="1" applyBorder="1" applyAlignment="1">
      <x:alignment horizontal="center" vertical="center" wrapText="1"/>
    </x:xf>
    <x:xf numFmtId="0" fontId="7" fillId="3" borderId="46" xfId="0" applyNumberFormat="1" applyFont="1" applyFill="1" applyBorder="1" applyAlignment="1">
      <x:alignment vertical="center" wrapText="1"/>
    </x:xf>
    <x:xf numFmtId="204" fontId="7" fillId="3" borderId="46" xfId="0" applyNumberFormat="1" applyFont="1" applyFill="1" applyBorder="1" applyAlignment="1">
      <x:alignment horizontal="center" vertical="center" wrapText="1"/>
    </x:xf>
    <x:xf numFmtId="203" fontId="7" fillId="3" borderId="46" xfId="0" applyNumberFormat="1" applyFont="1" applyFill="1" applyBorder="1" applyAlignment="1">
      <x:alignment horizontal="right" vertical="center" wrapText="1"/>
    </x:xf>
    <x:xf numFmtId="203" fontId="7" fillId="3" borderId="47" xfId="0" applyNumberFormat="1" applyFont="1" applyFill="1" applyBorder="1" applyAlignment="1">
      <x:alignment horizontal="right" vertical="center" wrapText="1"/>
    </x:xf>
    <x:xf numFmtId="0" fontId="7" fillId="3" borderId="48" xfId="0" applyNumberFormat="1" applyFont="1" applyFill="1" applyBorder="1" applyAlignment="1">
      <x:alignment horizontal="center" vertical="center" wrapText="1"/>
    </x:xf>
    <x:xf numFmtId="0" fontId="7" fillId="3" borderId="49" xfId="0" applyNumberFormat="1" applyFont="1" applyFill="1" applyBorder="1" applyAlignment="1">
      <x:alignment vertical="center" wrapText="1"/>
    </x:xf>
    <x:xf numFmtId="204" fontId="7" fillId="3" borderId="49" xfId="0" applyNumberFormat="1" applyFont="1" applyFill="1" applyBorder="1" applyAlignment="1">
      <x:alignment horizontal="center" vertical="center" wrapText="1"/>
    </x:xf>
    <x:xf numFmtId="203" fontId="7" fillId="3" borderId="49" xfId="0" applyNumberFormat="1" applyFont="1" applyFill="1" applyBorder="1" applyAlignment="1">
      <x:alignment horizontal="right" vertical="center" wrapText="1"/>
    </x:xf>
    <x:xf numFmtId="203" fontId="7" fillId="3" borderId="50" xfId="0" applyNumberFormat="1" applyFont="1" applyFill="1" applyBorder="1" applyAlignment="1">
      <x:alignment horizontal="right" vertical="center" wrapText="1"/>
    </x:xf>
    <x:xf numFmtId="0" fontId="1" fillId="3" borderId="48" xfId="0" applyNumberFormat="1" applyFont="1" applyFill="1" applyBorder="1" applyAlignment="1">
      <x:alignment horizontal="center" vertical="center" wrapText="1"/>
    </x:xf>
    <x:xf numFmtId="0" fontId="1" fillId="3" borderId="49" xfId="0" applyNumberFormat="1" applyFont="1" applyFill="1" applyBorder="1" applyAlignment="1">
      <x:alignment vertical="center" wrapText="1"/>
    </x:xf>
    <x:xf numFmtId="204" fontId="1" fillId="3" borderId="49" xfId="0" applyNumberFormat="1" applyFont="1" applyFill="1" applyBorder="1" applyAlignment="1">
      <x:alignment horizontal="center" vertical="center" wrapText="1"/>
    </x:xf>
    <x:xf numFmtId="203" fontId="1" fillId="3" borderId="49" xfId="0" applyNumberFormat="1" applyFont="1" applyFill="1" applyBorder="1" applyAlignment="1">
      <x:alignment horizontal="right" vertical="center" wrapText="1"/>
    </x:xf>
    <x:xf numFmtId="203" fontId="1" fillId="3" borderId="50" xfId="0" applyNumberFormat="1" applyFont="1" applyFill="1" applyBorder="1" applyAlignment="1">
      <x:alignment horizontal="right" vertical="center" wrapText="1"/>
    </x:xf>
    <x:xf numFmtId="0" fontId="1" fillId="3" borderId="51" xfId="0" applyNumberFormat="1" applyFont="1" applyFill="1" applyBorder="1" applyAlignment="1">
      <x:alignment horizontal="center" vertical="center" wrapText="1"/>
    </x:xf>
    <x:xf numFmtId="0" fontId="1" fillId="3" borderId="52" xfId="0" applyNumberFormat="1" applyFont="1" applyFill="1" applyBorder="1" applyAlignment="1">
      <x:alignment vertical="center" wrapText="1"/>
    </x:xf>
    <x:xf numFmtId="204" fontId="1" fillId="3" borderId="52" xfId="0" applyNumberFormat="1" applyFont="1" applyFill="1" applyBorder="1" applyAlignment="1">
      <x:alignment horizontal="center" vertical="center" wrapText="1"/>
    </x:xf>
    <x:xf numFmtId="203" fontId="1" fillId="3" borderId="52" xfId="0" applyNumberFormat="1" applyFont="1" applyFill="1" applyBorder="1" applyAlignment="1">
      <x:alignment horizontal="right" vertical="center" wrapText="1"/>
    </x:xf>
    <x:xf numFmtId="203" fontId="1" fillId="3" borderId="53" xfId="0" applyNumberFormat="1" applyFont="1" applyFill="1" applyBorder="1" applyAlignment="1">
      <x:alignment horizontal="right" vertical="center" wrapText="1"/>
    </x:xf>
    <x:xf numFmtId="0" fontId="7" fillId="20" borderId="45" xfId="0" applyNumberFormat="1" applyFont="1" applyFill="1" applyBorder="1" applyAlignment="1">
      <x:alignment horizontal="center" vertical="center" wrapText="1"/>
    </x:xf>
    <x:xf numFmtId="0" fontId="7" fillId="20" borderId="46" xfId="0" applyNumberFormat="1" applyFont="1" applyFill="1" applyBorder="1" applyAlignment="1">
      <x:alignment vertical="center" wrapText="1"/>
    </x:xf>
    <x:xf numFmtId="204" fontId="7" fillId="20" borderId="46" xfId="0" applyNumberFormat="1" applyFont="1" applyFill="1" applyBorder="1" applyAlignment="1">
      <x:alignment horizontal="center" vertical="center" wrapText="1"/>
    </x:xf>
    <x:xf numFmtId="203" fontId="7" fillId="20" borderId="46" xfId="0" applyNumberFormat="1" applyFont="1" applyFill="1" applyBorder="1" applyAlignment="1">
      <x:alignment horizontal="right" vertical="center" wrapText="1"/>
    </x:xf>
    <x:xf numFmtId="203" fontId="7" fillId="20" borderId="47" xfId="0" applyNumberFormat="1" applyFont="1" applyFill="1" applyBorder="1" applyAlignment="1">
      <x:alignment horizontal="right" vertical="center" wrapText="1"/>
    </x:xf>
    <x:xf numFmtId="0" fontId="18" fillId="20" borderId="45" xfId="0" applyNumberFormat="1" applyFont="1" applyFill="1" applyBorder="1" applyAlignment="1">
      <x:alignment horizontal="center" vertical="center" wrapText="1"/>
    </x:xf>
    <x:xf numFmtId="0" fontId="18" fillId="20" borderId="46" xfId="0" applyNumberFormat="1" applyFont="1" applyFill="1" applyBorder="1" applyAlignment="1">
      <x:alignment vertical="center" wrapText="1"/>
    </x:xf>
    <x:xf numFmtId="204" fontId="18" fillId="20" borderId="46" xfId="0" applyNumberFormat="1" applyFont="1" applyFill="1" applyBorder="1" applyAlignment="1">
      <x:alignment horizontal="center" vertical="center" wrapText="1"/>
    </x:xf>
    <x:xf numFmtId="203" fontId="18" fillId="20" borderId="46" xfId="0" applyNumberFormat="1" applyFont="1" applyFill="1" applyBorder="1" applyAlignment="1">
      <x:alignment horizontal="right" vertical="center" wrapText="1"/>
    </x:xf>
    <x:xf numFmtId="203" fontId="18" fillId="20" borderId="47" xfId="0" applyNumberFormat="1" applyFont="1" applyFill="1" applyBorder="1" applyAlignment="1">
      <x:alignment horizontal="right" vertical="center" wrapText="1"/>
    </x:xf>
    <x:xf numFmtId="0" fontId="7" fillId="20" borderId="48" xfId="0" applyNumberFormat="1" applyFont="1" applyFill="1" applyBorder="1" applyAlignment="1">
      <x:alignment horizontal="center" vertical="center" wrapText="1"/>
    </x:xf>
    <x:xf numFmtId="0" fontId="7" fillId="20" borderId="49" xfId="0" applyNumberFormat="1" applyFont="1" applyFill="1" applyBorder="1" applyAlignment="1">
      <x:alignment vertical="center" wrapText="1"/>
    </x:xf>
    <x:xf numFmtId="204" fontId="7" fillId="20" borderId="49" xfId="0" applyNumberFormat="1" applyFont="1" applyFill="1" applyBorder="1" applyAlignment="1">
      <x:alignment horizontal="center" vertical="center" wrapText="1"/>
    </x:xf>
    <x:xf numFmtId="203" fontId="7" fillId="20" borderId="49" xfId="0" applyNumberFormat="1" applyFont="1" applyFill="1" applyBorder="1" applyAlignment="1">
      <x:alignment horizontal="right" vertical="center" wrapText="1"/>
    </x:xf>
    <x:xf numFmtId="203" fontId="7" fillId="20" borderId="50" xfId="0" applyNumberFormat="1" applyFont="1" applyFill="1" applyBorder="1" applyAlignment="1">
      <x:alignment horizontal="right" vertical="center" wrapText="1"/>
    </x:xf>
    <x:xf numFmtId="0" fontId="18" fillId="20" borderId="48" xfId="0" applyNumberFormat="1" applyFont="1" applyFill="1" applyBorder="1" applyAlignment="1">
      <x:alignment horizontal="center" vertical="center" wrapText="1"/>
    </x:xf>
    <x:xf numFmtId="0" fontId="18" fillId="20" borderId="49" xfId="0" applyNumberFormat="1" applyFont="1" applyFill="1" applyBorder="1" applyAlignment="1">
      <x:alignment vertical="center" wrapText="1"/>
    </x:xf>
    <x:xf numFmtId="204" fontId="18" fillId="20" borderId="49" xfId="0" applyNumberFormat="1" applyFont="1" applyFill="1" applyBorder="1" applyAlignment="1">
      <x:alignment horizontal="center" vertical="center" wrapText="1"/>
    </x:xf>
    <x:xf numFmtId="203" fontId="18" fillId="20" borderId="49" xfId="0" applyNumberFormat="1" applyFont="1" applyFill="1" applyBorder="1" applyAlignment="1">
      <x:alignment horizontal="right" vertical="center" wrapText="1"/>
    </x:xf>
    <x:xf numFmtId="203" fontId="18" fillId="20" borderId="50" xfId="0" applyNumberFormat="1" applyFont="1" applyFill="1" applyBorder="1" applyAlignment="1">
      <x:alignment horizontal="right" vertical="center" wrapText="1"/>
    </x:xf>
    <x:xf numFmtId="0" fontId="7" fillId="11" borderId="48" xfId="0" applyNumberFormat="1" applyFont="1" applyFill="1" applyBorder="1" applyAlignment="1">
      <x:alignment horizontal="center" vertical="center" wrapText="1"/>
    </x:xf>
    <x:xf numFmtId="0" fontId="7" fillId="11" borderId="49" xfId="0" applyNumberFormat="1" applyFont="1" applyFill="1" applyBorder="1" applyAlignment="1">
      <x:alignment vertical="center" wrapText="1"/>
    </x:xf>
    <x:xf numFmtId="204" fontId="7" fillId="11" borderId="49" xfId="0" applyNumberFormat="1" applyFont="1" applyFill="1" applyBorder="1" applyAlignment="1">
      <x:alignment horizontal="center" vertical="center" wrapText="1"/>
    </x:xf>
    <x:xf numFmtId="203" fontId="7" fillId="11" borderId="49" xfId="0" applyNumberFormat="1" applyFont="1" applyFill="1" applyBorder="1" applyAlignment="1">
      <x:alignment horizontal="right" vertical="center" wrapText="1"/>
    </x:xf>
    <x:xf numFmtId="203" fontId="7" fillId="11" borderId="50" xfId="0" applyNumberFormat="1" applyFont="1" applyFill="1" applyBorder="1" applyAlignment="1">
      <x:alignment horizontal="right" vertical="center" wrapText="1"/>
    </x:xf>
    <x:xf numFmtId="0" fontId="7" fillId="14" borderId="48" xfId="0" applyNumberFormat="1" applyFont="1" applyFill="1" applyBorder="1" applyAlignment="1">
      <x:alignment horizontal="center" vertical="center" wrapText="1"/>
    </x:xf>
    <x:xf numFmtId="0" fontId="7" fillId="14" borderId="49" xfId="0" applyNumberFormat="1" applyFont="1" applyFill="1" applyBorder="1" applyAlignment="1">
      <x:alignment vertical="center" wrapText="1"/>
    </x:xf>
    <x:xf numFmtId="204" fontId="7" fillId="14" borderId="49" xfId="0" applyNumberFormat="1" applyFont="1" applyFill="1" applyBorder="1" applyAlignment="1">
      <x:alignment horizontal="center" vertical="center" wrapText="1"/>
    </x:xf>
    <x:xf numFmtId="203" fontId="7" fillId="14" borderId="49" xfId="0" applyNumberFormat="1" applyFont="1" applyFill="1" applyBorder="1" applyAlignment="1">
      <x:alignment horizontal="right" vertical="center" wrapText="1"/>
    </x:xf>
    <x:xf numFmtId="203" fontId="7" fillId="14" borderId="50" xfId="0" applyNumberFormat="1" applyFont="1" applyFill="1" applyBorder="1" applyAlignment="1">
      <x:alignment horizontal="right" vertical="center" wrapText="1"/>
    </x:xf>
    <x:xf numFmtId="0" fontId="7" fillId="14" borderId="45" xfId="0" applyNumberFormat="1" applyFont="1" applyFill="1" applyBorder="1" applyAlignment="1">
      <x:alignment horizontal="center" vertical="center" wrapText="1"/>
    </x:xf>
    <x:xf numFmtId="0" fontId="7" fillId="14" borderId="46" xfId="0" applyNumberFormat="1" applyFont="1" applyFill="1" applyBorder="1" applyAlignment="1">
      <x:alignment vertical="center" wrapText="1"/>
    </x:xf>
    <x:xf numFmtId="204" fontId="7" fillId="14" borderId="46" xfId="0" applyNumberFormat="1" applyFont="1" applyFill="1" applyBorder="1" applyAlignment="1">
      <x:alignment horizontal="center" vertical="center" wrapText="1"/>
    </x:xf>
    <x:xf numFmtId="203" fontId="7" fillId="14" borderId="46" xfId="0" applyNumberFormat="1" applyFont="1" applyFill="1" applyBorder="1" applyAlignment="1">
      <x:alignment horizontal="right" vertical="center" wrapText="1"/>
    </x:xf>
    <x:xf numFmtId="0" fontId="1" fillId="14" borderId="48" xfId="0" applyNumberFormat="1" applyFont="1" applyFill="1" applyBorder="1" applyAlignment="1">
      <x:alignment horizontal="center" vertical="center" wrapText="1"/>
    </x:xf>
    <x:xf numFmtId="0" fontId="1" fillId="14" borderId="49" xfId="0" applyNumberFormat="1" applyFont="1" applyFill="1" applyBorder="1" applyAlignment="1">
      <x:alignment vertical="center" wrapText="1"/>
    </x:xf>
    <x:xf numFmtId="204" fontId="1" fillId="14" borderId="49" xfId="0" applyNumberFormat="1" applyFont="1" applyFill="1" applyBorder="1" applyAlignment="1">
      <x:alignment horizontal="center" vertical="center" wrapText="1"/>
    </x:xf>
    <x:xf numFmtId="203" fontId="1" fillId="14" borderId="49" xfId="0" applyNumberFormat="1" applyFont="1" applyFill="1" applyBorder="1" applyAlignment="1">
      <x:alignment horizontal="right" vertical="center" wrapText="1"/>
    </x:xf>
    <x:xf numFmtId="203" fontId="1" fillId="14" borderId="50" xfId="0" applyNumberFormat="1" applyFont="1" applyFill="1" applyBorder="1" applyAlignment="1">
      <x:alignment horizontal="right" vertical="center" wrapText="1"/>
    </x:xf>
    <x:xf numFmtId="0" fontId="7" fillId="11" borderId="54" xfId="0" applyNumberFormat="1" applyFont="1" applyFill="1" applyBorder="1" applyAlignment="1">
      <x:alignment horizontal="center" vertical="center" wrapText="1"/>
    </x:xf>
    <x:xf numFmtId="0" fontId="7" fillId="11" borderId="55" xfId="0" applyNumberFormat="1" applyFont="1" applyFill="1" applyBorder="1" applyAlignment="1">
      <x:alignment vertical="center" wrapText="1"/>
    </x:xf>
    <x:xf numFmtId="204" fontId="7" fillId="11" borderId="55" xfId="0" applyNumberFormat="1" applyFont="1" applyFill="1" applyBorder="1" applyAlignment="1">
      <x:alignment horizontal="center" vertical="center" wrapText="1"/>
    </x:xf>
    <x:xf numFmtId="203" fontId="7" fillId="11" borderId="55" xfId="0" applyNumberFormat="1" applyFont="1" applyFill="1" applyBorder="1" applyAlignment="1">
      <x:alignment horizontal="right" vertical="center" wrapText="1"/>
    </x:xf>
    <x:xf numFmtId="0" fontId="7" fillId="11" borderId="56" xfId="0" applyNumberFormat="1" applyFont="1" applyFill="1" applyBorder="1" applyAlignment="1">
      <x:alignment horizontal="center" vertical="center" wrapText="1"/>
    </x:xf>
    <x:xf numFmtId="0" fontId="7" fillId="11" borderId="57" xfId="0" applyNumberFormat="1" applyFont="1" applyFill="1" applyBorder="1" applyAlignment="1">
      <x:alignment vertical="center" wrapText="1"/>
    </x:xf>
    <x:xf numFmtId="204" fontId="7" fillId="11" borderId="57" xfId="0" applyNumberFormat="1" applyFont="1" applyFill="1" applyBorder="1" applyAlignment="1">
      <x:alignment horizontal="center" vertical="center" wrapText="1"/>
    </x:xf>
    <x:xf numFmtId="203" fontId="7" fillId="11" borderId="57" xfId="0" applyNumberFormat="1" applyFont="1" applyFill="1" applyBorder="1" applyAlignment="1">
      <x:alignment horizontal="right" vertical="center" wrapText="1"/>
    </x:xf>
    <x:xf numFmtId="0" fontId="7" fillId="11" borderId="58" xfId="0" applyNumberFormat="1" applyFont="1" applyFill="1" applyBorder="1" applyAlignment="1">
      <x:alignment horizontal="center" vertical="center" wrapText="1"/>
    </x:xf>
    <x:xf numFmtId="0" fontId="7" fillId="11" borderId="59" xfId="0" applyNumberFormat="1" applyFont="1" applyFill="1" applyBorder="1" applyAlignment="1">
      <x:alignment vertical="center" wrapText="1"/>
    </x:xf>
    <x:xf numFmtId="204" fontId="7" fillId="11" borderId="59" xfId="0" applyNumberFormat="1" applyFont="1" applyFill="1" applyBorder="1" applyAlignment="1">
      <x:alignment horizontal="center" vertical="center" wrapText="1"/>
    </x:xf>
    <x:xf numFmtId="203" fontId="7" fillId="11" borderId="59" xfId="0" applyNumberFormat="1" applyFont="1" applyFill="1" applyBorder="1" applyAlignment="1">
      <x:alignment horizontal="right" vertical="center" wrapText="1"/>
    </x:xf>
    <x:xf numFmtId="0" fontId="7" fillId="11" borderId="60" xfId="0" applyNumberFormat="1" applyFont="1" applyFill="1" applyBorder="1" applyAlignment="1">
      <x:alignment horizontal="center" vertical="center" wrapText="1"/>
    </x:xf>
    <x:xf numFmtId="0" fontId="7" fillId="11" borderId="61" xfId="0" applyNumberFormat="1" applyFont="1" applyFill="1" applyBorder="1" applyAlignment="1">
      <x:alignment vertical="center" wrapText="1"/>
    </x:xf>
    <x:xf numFmtId="204" fontId="7" fillId="11" borderId="61" xfId="0" applyNumberFormat="1" applyFont="1" applyFill="1" applyBorder="1" applyAlignment="1">
      <x:alignment horizontal="center" vertical="center" wrapText="1"/>
    </x:xf>
    <x:xf numFmtId="203" fontId="7" fillId="11" borderId="61" xfId="0" applyNumberFormat="1" applyFont="1" applyFill="1" applyBorder="1" applyAlignment="1">
      <x:alignment horizontal="right" vertical="center" wrapText="1"/>
    </x:xf>
    <x:xf numFmtId="0" fontId="1" fillId="11" borderId="51" xfId="0" applyNumberFormat="1" applyFont="1" applyFill="1" applyBorder="1" applyAlignment="1">
      <x:alignment horizontal="center" vertical="center" wrapText="1"/>
    </x:xf>
    <x:xf numFmtId="0" fontId="1" fillId="11" borderId="52" xfId="0" applyNumberFormat="1" applyFont="1" applyFill="1" applyBorder="1" applyAlignment="1">
      <x:alignment vertical="center" wrapText="1"/>
    </x:xf>
    <x:xf numFmtId="204" fontId="1" fillId="11" borderId="52" xfId="0" applyNumberFormat="1" applyFont="1" applyFill="1" applyBorder="1" applyAlignment="1">
      <x:alignment horizontal="center" vertical="center" wrapText="1"/>
    </x:xf>
    <x:xf numFmtId="203" fontId="1" fillId="11" borderId="52" xfId="0" applyNumberFormat="1" applyFont="1" applyFill="1" applyBorder="1" applyAlignment="1">
      <x:alignment horizontal="right" vertical="center" wrapText="1"/>
    </x:xf>
    <x:xf numFmtId="203" fontId="1" fillId="11" borderId="53" xfId="0" applyNumberFormat="1" applyFont="1" applyFill="1" applyBorder="1" applyAlignment="1">
      <x:alignment horizontal="right" vertical="center" wrapText="1"/>
    </x:xf>
    <x:xf numFmtId="0" fontId="7" fillId="11" borderId="51" xfId="0" applyNumberFormat="1" applyFont="1" applyFill="1" applyBorder="1" applyAlignment="1">
      <x:alignment horizontal="center" vertical="center" wrapText="1"/>
    </x:xf>
    <x:xf numFmtId="0" fontId="7" fillId="11" borderId="52" xfId="0" applyNumberFormat="1" applyFont="1" applyFill="1" applyBorder="1" applyAlignment="1">
      <x:alignment vertical="center" wrapText="1"/>
    </x:xf>
    <x:xf numFmtId="204" fontId="7" fillId="11" borderId="52" xfId="0" applyNumberFormat="1" applyFont="1" applyFill="1" applyBorder="1" applyAlignment="1">
      <x:alignment horizontal="center" vertical="center" wrapText="1"/>
    </x:xf>
    <x:xf numFmtId="203" fontId="7" fillId="11" borderId="52" xfId="0" applyNumberFormat="1" applyFont="1" applyFill="1" applyBorder="1" applyAlignment="1">
      <x:alignment horizontal="right" vertical="center" wrapText="1"/>
    </x:xf>
    <x:xf numFmtId="203" fontId="7" fillId="11" borderId="53" xfId="0" applyNumberFormat="1" applyFont="1" applyFill="1" applyBorder="1" applyAlignment="1">
      <x:alignment horizontal="right" vertical="center" wrapText="1"/>
    </x:xf>
    <x:xf numFmtId="0" fontId="7" fillId="11" borderId="62" xfId="0" applyNumberFormat="1" applyFont="1" applyFill="1" applyBorder="1" applyAlignment="1">
      <x:alignment horizontal="center" vertical="center" wrapText="1"/>
    </x:xf>
    <x:xf numFmtId="0" fontId="7" fillId="11" borderId="63" xfId="0" applyNumberFormat="1" applyFont="1" applyFill="1" applyBorder="1" applyAlignment="1">
      <x:alignment vertical="center" wrapText="1"/>
    </x:xf>
    <x:xf numFmtId="204" fontId="7" fillId="11" borderId="63" xfId="0" applyNumberFormat="1" applyFont="1" applyFill="1" applyBorder="1" applyAlignment="1">
      <x:alignment horizontal="center" vertical="center" wrapText="1"/>
    </x:xf>
    <x:xf numFmtId="203" fontId="7" fillId="11" borderId="63" xfId="0" applyNumberFormat="1" applyFont="1" applyFill="1" applyBorder="1" applyAlignment="1">
      <x:alignment horizontal="right" vertical="center" wrapText="1"/>
    </x:xf>
    <x:xf numFmtId="0" fontId="7" fillId="11" borderId="64" xfId="0" applyNumberFormat="1" applyFont="1" applyFill="1" applyBorder="1" applyAlignment="1">
      <x:alignment horizontal="center" vertical="center" wrapText="1"/>
    </x:xf>
    <x:xf numFmtId="0" fontId="7" fillId="11" borderId="65" xfId="0" applyNumberFormat="1" applyFont="1" applyFill="1" applyBorder="1" applyAlignment="1">
      <x:alignment vertical="center" wrapText="1"/>
    </x:xf>
    <x:xf numFmtId="204" fontId="7" fillId="11" borderId="65" xfId="0" applyNumberFormat="1" applyFont="1" applyFill="1" applyBorder="1" applyAlignment="1">
      <x:alignment horizontal="center" vertical="center" wrapText="1"/>
    </x:xf>
    <x:xf numFmtId="203" fontId="7" fillId="11" borderId="65" xfId="0" applyNumberFormat="1" applyFont="1" applyFill="1" applyBorder="1" applyAlignment="1">
      <x:alignment horizontal="right" vertical="center" wrapText="1"/>
    </x:xf>
    <x:xf numFmtId="0" fontId="1" fillId="20" xfId="0" applyNumberFormat="1" applyFont="1" applyFill="1" applyBorder="0" applyAlignment="1">
      <x:alignment vertical="center" wrapText="1"/>
    </x:xf>
    <x:xf numFmtId="203" fontId="1" fillId="20" xfId="0" applyNumberFormat="1" applyFont="1" applyFill="1" applyBorder="0" applyAlignment="1">
      <x:alignment vertical="center" wrapText="1"/>
    </x:xf>
    <x:xf numFmtId="0" fontId="37" fillId="20" xfId="0" applyNumberFormat="1" applyFont="1" applyFill="1" applyBorder="0" applyAlignment="1">
      <x:alignment vertical="center" wrapText="1"/>
    </x:xf>
    <x:xf numFmtId="203" fontId="37" fillId="20" xfId="0" applyNumberFormat="1" applyFont="1" applyFill="1" applyBorder="0" applyAlignment="1">
      <x:alignment vertical="center" wrapText="1"/>
    </x:xf>
    <x:xf numFmtId="0" fontId="37" fillId="20" xfId="0" applyNumberFormat="1" applyFont="1" applyFill="1" applyBorder="0" applyAlignment="1">
      <x:alignment horizontal="center" vertical="center" wrapText="1"/>
    </x:xf>
    <x:xf numFmtId="203" fontId="37" fillId="20" xfId="0" applyNumberFormat="1" applyFont="1" applyFill="1" applyBorder="0" applyAlignment="1">
      <x:alignment horizontal="center" vertical="center" wrapText="1"/>
    </x:xf>
    <x:xf numFmtId="0" fontId="7" fillId="3" borderId="28" xfId="0" applyNumberFormat="1" applyFont="1" applyFill="1" applyBorder="1" applyAlignment="1">
      <x:alignment horizontal="center" vertical="center" wrapText="1"/>
    </x:xf>
    <x:xf numFmtId="204" fontId="7" fillId="3" borderId="28" xfId="0" applyNumberFormat="1" applyFont="1" applyFill="1" applyBorder="1" applyAlignment="1">
      <x:alignment horizontal="center" vertical="center" wrapText="1"/>
    </x:xf>
    <x:xf numFmtId="203" fontId="7" fillId="3" borderId="33" xfId="0" applyNumberFormat="1" applyFont="1" applyFill="1" applyBorder="1" applyAlignment="1">
      <x:alignment vertical="center" wrapText="1"/>
    </x:xf>
    <x:xf numFmtId="203" fontId="1" fillId="3" borderId="34" xfId="0" applyNumberFormat="1" applyFont="1" applyFill="1" applyBorder="1" applyAlignment="1">
      <x:alignment vertical="center" wrapText="1"/>
    </x:xf>
    <x:xf numFmtId="203" fontId="7" fillId="3" borderId="34" xfId="0" applyNumberFormat="1" applyFont="1" applyFill="1" applyBorder="1" applyAlignment="1">
      <x:alignment vertical="center" wrapText="1"/>
    </x:xf>
    <x:xf numFmtId="203" fontId="7" fillId="3" borderId="34" xfId="0" applyNumberFormat="1" applyFont="1" applyFill="1" applyBorder="1" applyAlignment="1">
      <x:alignment horizontal="center" vertical="center" wrapText="1"/>
    </x:xf>
    <x:xf numFmtId="0" fontId="7" fillId="3" borderId="35" xfId="0" applyNumberFormat="1" applyFont="1" applyFill="1" applyBorder="1" applyAlignment="1">
      <x:alignment horizontal="center" vertical="center" wrapText="1"/>
    </x:xf>
    <x:xf numFmtId="203" fontId="7" fillId="3" borderId="35" xfId="0" applyNumberFormat="1" applyFont="1" applyFill="1" applyBorder="1" applyAlignment="1">
      <x:alignment vertical="center" wrapText="1"/>
    </x:xf>
    <x:xf numFmtId="204" fontId="7" fillId="3" borderId="35" xfId="0" applyNumberFormat="1" applyFont="1" applyFill="1" applyBorder="1" applyAlignment="1">
      <x:alignment horizontal="center" vertical="center" wrapText="1"/>
    </x:xf>
    <x:xf numFmtId="203" fontId="7" fillId="3" borderId="35" xfId="0" applyNumberFormat="1" applyFont="1" applyFill="1" applyBorder="1" applyAlignment="1">
      <x:alignment horizontal="right" vertical="center" wrapText="1"/>
    </x:xf>
    <x:xf numFmtId="203" fontId="7" fillId="3" borderId="37" xfId="0" applyNumberFormat="1" applyFont="1" applyFill="1" applyBorder="1" applyAlignment="1">
      <x:alignment vertical="center" wrapText="1"/>
    </x:xf>
    <x:xf numFmtId="203" fontId="1" fillId="3" borderId="40" xfId="0" applyNumberFormat="1" applyFont="1" applyFill="1" applyBorder="1" applyAlignment="1">
      <x:alignment vertical="center" wrapText="1"/>
    </x:xf>
    <x:xf numFmtId="203" fontId="7" fillId="3" borderId="40" xfId="0" applyNumberFormat="1" applyFont="1" applyFill="1" applyBorder="1" applyAlignment="1">
      <x:alignment vertical="center" wrapText="1"/>
    </x:xf>
    <x:xf numFmtId="203" fontId="7" fillId="3" borderId="40" xfId="0" applyNumberFormat="1" applyFont="1" applyFill="1" applyBorder="1" applyAlignment="1">
      <x:alignment horizontal="center" vertical="center" wrapText="1"/>
    </x:xf>
    <x:xf numFmtId="0" fontId="7" fillId="3" borderId="42" xfId="0" applyNumberFormat="1" applyFont="1" applyFill="1" applyBorder="1" applyAlignment="1">
      <x:alignment horizontal="center" vertical="center" wrapText="1"/>
    </x:xf>
    <x:xf numFmtId="203" fontId="7" fillId="3" borderId="43" xfId="0" applyNumberFormat="1" applyFont="1" applyFill="1" applyBorder="1" applyAlignment="1">
      <x:alignment vertical="center" wrapText="1"/>
    </x:xf>
    <x:xf numFmtId="204" fontId="7" fillId="3" borderId="43" xfId="0" applyNumberFormat="1" applyFont="1" applyFill="1" applyBorder="1" applyAlignment="1">
      <x:alignment horizontal="center" vertical="center" wrapText="1"/>
    </x:xf>
    <x:xf numFmtId="203" fontId="7" fillId="3" borderId="43" xfId="0" applyNumberFormat="1" applyFont="1" applyFill="1" applyBorder="1" applyAlignment="1">
      <x:alignment horizontal="right" vertical="center" wrapText="1"/>
    </x:xf>
    <x:xf numFmtId="203" fontId="7" fillId="3" borderId="44" xfId="0" applyNumberFormat="1" applyFont="1" applyFill="1" applyBorder="1" applyAlignment="1">
      <x:alignment horizontal="right" vertical="center" wrapText="1"/>
    </x:xf>
    <x:xf numFmtId="203" fontId="7" fillId="3" borderId="46" xfId="0" applyNumberFormat="1" applyFont="1" applyFill="1" applyBorder="1" applyAlignment="1">
      <x:alignment vertical="center" wrapText="1"/>
    </x:xf>
    <x:xf numFmtId="203" fontId="1" fillId="3" borderId="49" xfId="0" applyNumberFormat="1" applyFont="1" applyFill="1" applyBorder="1" applyAlignment="1">
      <x:alignment vertical="center" wrapText="1"/>
    </x:xf>
    <x:xf numFmtId="203" fontId="7" fillId="3" borderId="49" xfId="0" applyNumberFormat="1" applyFont="1" applyFill="1" applyBorder="1" applyAlignment="1">
      <x:alignment vertical="center" wrapText="1"/>
    </x:xf>
    <x:xf numFmtId="203" fontId="7" fillId="3" borderId="49" xfId="0" applyNumberFormat="1" applyFont="1" applyFill="1" applyBorder="1" applyAlignment="1">
      <x:alignment horizontal="center" vertical="center" wrapText="1"/>
    </x:xf>
    <x:xf numFmtId="0" fontId="7" fillId="3" borderId="51" xfId="0" applyNumberFormat="1" applyFont="1" applyFill="1" applyBorder="1" applyAlignment="1">
      <x:alignment horizontal="center" vertical="center" wrapText="1"/>
    </x:xf>
    <x:xf numFmtId="203" fontId="7" fillId="3" borderId="52" xfId="0" applyNumberFormat="1" applyFont="1" applyFill="1" applyBorder="1" applyAlignment="1">
      <x:alignment vertical="center" wrapText="1"/>
    </x:xf>
    <x:xf numFmtId="204" fontId="7" fillId="3" borderId="52" xfId="0" applyNumberFormat="1" applyFont="1" applyFill="1" applyBorder="1" applyAlignment="1">
      <x:alignment horizontal="center" vertical="center" wrapText="1"/>
    </x:xf>
    <x:xf numFmtId="203" fontId="7" fillId="3" borderId="52" xfId="0" applyNumberFormat="1" applyFont="1" applyFill="1" applyBorder="1" applyAlignment="1">
      <x:alignment horizontal="right" vertical="center" wrapText="1"/>
    </x:xf>
    <x:xf numFmtId="203" fontId="7" fillId="3" borderId="53" xfId="0" applyNumberFormat="1" applyFont="1" applyFill="1" applyBorder="1" applyAlignment="1">
      <x:alignment horizontal="right" vertical="center" wrapText="1"/>
    </x:xf>
    <x:xf numFmtId="0" fontId="1" fillId="11" borderId="48" xfId="0" applyNumberFormat="1" applyFont="1" applyFill="1" applyBorder="1" applyAlignment="1">
      <x:alignment horizontal="center" vertical="center" wrapText="1"/>
    </x:xf>
    <x:xf numFmtId="203" fontId="1" fillId="11" borderId="49" xfId="0" applyNumberFormat="1" applyFont="1" applyFill="1" applyBorder="1" applyAlignment="1">
      <x:alignment vertical="center" wrapText="1"/>
    </x:xf>
    <x:xf numFmtId="204" fontId="1" fillId="11" borderId="49" xfId="0" applyNumberFormat="1" applyFont="1" applyFill="1" applyBorder="1" applyAlignment="1">
      <x:alignment horizontal="center" vertical="center" wrapText="1"/>
    </x:xf>
    <x:xf numFmtId="203" fontId="1" fillId="11" borderId="49" xfId="0" applyNumberFormat="1" applyFont="1" applyFill="1" applyBorder="1" applyAlignment="1">
      <x:alignment horizontal="right" vertical="center" wrapText="1"/>
    </x:xf>
    <x:xf numFmtId="203" fontId="1" fillId="11" borderId="50" xfId="0" applyNumberFormat="1" applyFont="1" applyFill="1" applyBorder="1" applyAlignment="1">
      <x:alignment horizontal="right" vertical="center" wrapText="1"/>
    </x:xf>
    <x:xf numFmtId="203" fontId="7" fillId="11" borderId="49" xfId="0" applyNumberFormat="1" applyFont="1" applyFill="1" applyBorder="1" applyAlignment="1">
      <x:alignment vertical="center" wrapText="1"/>
    </x:xf>
    <x:xf numFmtId="203" fontId="7" fillId="14" borderId="49" xfId="0" applyNumberFormat="1" applyFont="1" applyFill="1" applyBorder="1" applyAlignment="1">
      <x:alignment vertical="center" wrapText="1"/>
    </x:xf>
    <x:xf numFmtId="203" fontId="7" fillId="14" borderId="46" xfId="0" applyNumberFormat="1" applyFont="1" applyFill="1" applyBorder="1" applyAlignment="1">
      <x:alignment vertical="center" wrapText="1"/>
    </x:xf>
    <x:xf numFmtId="203" fontId="1" fillId="14" borderId="49" xfId="0" applyNumberFormat="1" applyFont="1" applyFill="1" applyBorder="1" applyAlignment="1">
      <x:alignment vertical="center" wrapText="1"/>
    </x:xf>
    <x:xf numFmtId="203" fontId="7" fillId="14" borderId="49" xfId="0" applyNumberFormat="1" applyFont="1" applyFill="1" applyBorder="1" applyAlignment="1">
      <x:alignment horizontal="center" vertical="center" wrapText="1"/>
    </x:xf>
    <x:xf numFmtId="203" fontId="7" fillId="14" borderId="46" xfId="0" applyNumberFormat="1" applyFont="1" applyFill="1" applyBorder="1" applyAlignment="1">
      <x:alignment horizontal="center" vertical="center" wrapText="1"/>
    </x:xf>
    <x:xf numFmtId="203" fontId="7" fillId="11" borderId="52" xfId="0" applyNumberFormat="1" applyFont="1" applyFill="1" applyBorder="1" applyAlignment="1">
      <x:alignment vertical="center" wrapText="1"/>
    </x:xf>
    <x:xf numFmtId="203" fontId="7" fillId="11" borderId="63" xfId="0" applyNumberFormat="1" applyFont="1" applyFill="1" applyBorder="1" applyAlignment="1">
      <x:alignment vertical="center" wrapText="1"/>
    </x:xf>
    <x:xf numFmtId="203" fontId="7" fillId="11" borderId="65" xfId="0" applyNumberFormat="1" applyFont="1" applyFill="1" applyBorder="1" applyAlignment="1">
      <x:alignment vertical="center" wrapText="1"/>
    </x:xf>
    <x:xf numFmtId="203" fontId="7" fillId="11" borderId="61" xfId="0" applyNumberFormat="1" applyFont="1" applyFill="1" applyBorder="1" applyAlignment="1">
      <x:alignment vertical="center" wrapText="1"/>
    </x:xf>
    <x:xf numFmtId="203" fontId="7" fillId="23" borderId="49" xfId="0" applyNumberFormat="1" applyFont="1" applyFill="1" applyBorder="1" applyAlignment="1">
      <x:alignment horizontal="right" vertical="center" wrapText="1"/>
    </x:xf>
    <x:xf numFmtId="203" fontId="7" fillId="23" borderId="50" xfId="0" applyNumberFormat="1" applyFont="1" applyFill="1" applyBorder="1" applyAlignment="1">
      <x:alignment horizontal="right" vertical="center" wrapText="1"/>
    </x:xf>
    <x:xf numFmtId="203" fontId="7" fillId="23" borderId="46" xfId="0" applyNumberFormat="1" applyFont="1" applyFill="1" applyBorder="1" applyAlignment="1">
      <x:alignment horizontal="right" vertical="center" wrapText="1"/>
    </x:xf>
    <x:xf numFmtId="203" fontId="1" fillId="23" borderId="49" xfId="0" applyNumberFormat="1" applyFont="1" applyFill="1" applyBorder="1" applyAlignment="1">
      <x:alignment horizontal="right" vertical="center" wrapText="1"/>
    </x:xf>
    <x:xf numFmtId="203" fontId="1" fillId="23" borderId="50" xfId="0" applyNumberFormat="1" applyFont="1" applyFill="1" applyBorder="1" applyAlignment="1">
      <x:alignment horizontal="right" vertical="center" wrapText="1"/>
    </x:xf>
    <x:xf numFmtId="0" fontId="1" fillId="20" xfId="0" applyNumberFormat="1" applyFont="1" applyFill="1" applyBorder="0" applyAlignment="1">
      <x:alignment vertical="top" wrapText="1"/>
    </x:xf>
    <x:xf numFmtId="203" fontId="1" fillId="20" xfId="0" applyNumberFormat="1" applyFont="1" applyFill="1" applyBorder="0" applyAlignment="1">
      <x:alignment vertical="top" wrapText="1"/>
    </x:xf>
    <x:xf numFmtId="203" fontId="24" fillId="20" xfId="0" applyNumberFormat="1" applyFont="1" applyFill="1" applyBorder="0" applyAlignment="1">
      <x:alignment vertical="center" wrapText="1"/>
    </x:xf>
    <x:xf numFmtId="0" fontId="37" fillId="20" xfId="0" applyNumberFormat="1" applyFont="1" applyFill="1" applyBorder="0" applyAlignment="1">
      <x:alignment vertical="top" wrapText="1"/>
    </x:xf>
    <x:xf numFmtId="203" fontId="37" fillId="20" xfId="0" applyNumberFormat="1" applyFont="1" applyFill="1" applyBorder="0" applyAlignment="1">
      <x:alignment vertical="top" wrapText="1"/>
    </x:xf>
    <x:xf numFmtId="0" fontId="37" fillId="20" xfId="0" applyNumberFormat="1" applyFont="1" applyFill="1" applyBorder="0" applyAlignment="1">
      <x:alignment horizontal="center" vertical="top" wrapText="1"/>
    </x:xf>
    <x:xf numFmtId="203" fontId="37" fillId="20" xfId="0" applyNumberFormat="1" applyFont="1" applyFill="1" applyBorder="0" applyAlignment="1">
      <x:alignment horizontal="center" vertical="top" wrapText="1"/>
    </x:xf>
    <x:xf numFmtId="0" fontId="7" fillId="3" borderId="2" xfId="0" applyNumberFormat="1" applyFont="1" applyFill="1" applyBorder="1" applyAlignment="1">
      <x:alignment horizontal="center" vertical="top" wrapText="0"/>
    </x:xf>
    <x:xf numFmtId="203" fontId="7" fillId="3" borderId="4" xfId="0" applyNumberFormat="1" applyFont="1" applyFill="1" applyBorder="1" applyAlignment="1">
      <x:alignment horizontal="center" vertical="top" wrapText="0"/>
    </x:xf>
    <x:xf numFmtId="203" fontId="7" fillId="3" xfId="0" applyNumberFormat="1" applyFont="1" applyFill="1" applyBorder="0" applyAlignment="1">
      <x:alignment horizontal="center" vertical="top" wrapText="1"/>
    </x:xf>
    <x:xf numFmtId="203" fontId="7" fillId="3" xfId="0" applyNumberFormat="1" applyFont="1" applyFill="1" applyBorder="0" applyAlignment="1">
      <x:alignment horizontal="center" vertical="center" wrapText="0"/>
    </x:xf>
    <x:xf numFmtId="0" fontId="7" fillId="3" borderId="7" xfId="0" applyNumberFormat="1" applyFont="1" applyFill="1" applyBorder="1" applyAlignment="1">
      <x:alignment horizontal="center" vertical="top" wrapText="0"/>
    </x:xf>
    <x:xf numFmtId="203" fontId="7" fillId="3" borderId="9" xfId="0" applyNumberFormat="1" applyFont="1" applyFill="1" applyBorder="1" applyAlignment="1">
      <x:alignment horizontal="center" vertical="top" wrapText="0"/>
    </x:xf>
    <x:xf numFmtId="0" fontId="7" fillId="3" borderId="2" xfId="0" applyNumberFormat="1" applyFont="1" applyFill="1" applyBorder="1" applyAlignment="1">
      <x:alignment horizontal="center" vertical="center" wrapText="0"/>
    </x:xf>
    <x:xf numFmtId="203" fontId="7" fillId="3" borderId="4" xfId="0" applyNumberFormat="1" applyFont="1" applyFill="1" applyBorder="1" applyAlignment="1">
      <x:alignment horizontal="center" vertical="center" wrapText="0"/>
    </x:xf>
    <x:xf numFmtId="0" fontId="7" fillId="3" borderId="7" xfId="0" applyNumberFormat="1" applyFont="1" applyFill="1" applyBorder="1" applyAlignment="1">
      <x:alignment horizontal="center" vertical="center" wrapText="0"/>
    </x:xf>
    <x:xf numFmtId="203" fontId="7" fillId="3" borderId="9" xfId="0" applyNumberFormat="1" applyFont="1" applyFill="1" applyBorder="1" applyAlignment="1">
      <x:alignment horizontal="center" vertical="center" wrapText="0"/>
    </x:xf>
    <x:xf numFmtId="0" fontId="7" fillId="20" borderId="22" xfId="0" applyNumberFormat="1" applyFont="1" applyFill="1" applyBorder="1" applyAlignment="1">
      <x:alignment vertical="top" wrapText="1"/>
    </x:xf>
    <x:xf numFmtId="203" fontId="7" fillId="20" borderId="22" xfId="0" applyNumberFormat="1" applyFont="1" applyFill="1" applyBorder="1" applyAlignment="1">
      <x:alignment vertical="top" wrapText="1"/>
    </x:xf>
    <x:xf numFmtId="0" fontId="5" fillId="20" borderId="22" xfId="0" applyNumberFormat="1" applyFont="1" applyFill="1" applyBorder="1" applyAlignment="1">
      <x:alignment vertical="top" wrapText="1"/>
    </x:xf>
    <x:xf numFmtId="203" fontId="5" fillId="20" borderId="22" xfId="0" applyNumberFormat="1" applyFont="1" applyFill="1" applyBorder="1" applyAlignment="1">
      <x:alignment vertical="top" wrapText="1"/>
    </x:xf>
    <x:xf numFmtId="203" fontId="5" fillId="20" xfId="0" applyNumberFormat="1" applyFont="1" applyFill="1" applyBorder="0" applyAlignment="1">
      <x:alignment vertical="top" wrapText="1"/>
    </x:xf>
    <x:xf numFmtId="203" fontId="5" fillId="20" xfId="0" applyNumberFormat="1" applyFont="1" applyFill="1" applyBorder="0" applyAlignment="1">
      <x:alignment vertical="center" wrapText="1"/>
    </x:xf>
    <x:xf numFmtId="0" fontId="5" fillId="20" borderId="22" xfId="0" applyNumberFormat="1" applyFont="1" applyFill="1" applyBorder="1" applyAlignment="1">
      <x:alignment vertical="center" wrapText="1"/>
    </x:xf>
    <x:xf numFmtId="203" fontId="5" fillId="20" borderId="22" xfId="0" applyNumberFormat="1" applyFont="1" applyFill="1" applyBorder="1" applyAlignment="1">
      <x:alignment vertical="center" wrapText="1"/>
    </x:xf>
    <x:xf numFmtId="0" fontId="1" fillId="23" borderId="22" xfId="0" applyNumberFormat="1" applyFont="1" applyFill="1" applyBorder="1" applyAlignment="1">
      <x:alignment vertical="top" wrapText="1"/>
    </x:xf>
    <x:xf numFmtId="203" fontId="1" fillId="23" borderId="22" xfId="0" applyNumberFormat="1" applyFont="1" applyFill="1" applyBorder="1" applyAlignment="1">
      <x:alignment vertical="top" wrapText="1"/>
    </x:xf>
    <x:xf numFmtId="203" fontId="1" fillId="23" xfId="0" applyNumberFormat="1" applyFont="1" applyFill="1" applyBorder="0" applyAlignment="1">
      <x:alignment vertical="top" wrapText="1"/>
    </x:xf>
    <x:xf numFmtId="203" fontId="24" fillId="23" xfId="0" applyNumberFormat="1" applyFont="1" applyFill="1" applyBorder="0" applyAlignment="1">
      <x:alignment vertical="center" wrapText="1"/>
    </x:xf>
    <x:xf numFmtId="0" fontId="7" fillId="23" borderId="22" xfId="0" applyNumberFormat="1" applyFont="1" applyFill="1" applyBorder="1" applyAlignment="1">
      <x:alignment vertical="top" wrapText="1"/>
    </x:xf>
    <x:xf numFmtId="203" fontId="7" fillId="23" borderId="22" xfId="0" applyNumberFormat="1" applyFont="1" applyFill="1" applyBorder="1" applyAlignment="1">
      <x:alignment vertical="top" wrapText="1"/>
    </x:xf>
    <x:xf numFmtId="203" fontId="7" fillId="23" xfId="0" applyNumberFormat="1" applyFont="1" applyFill="1" applyBorder="0" applyAlignment="1">
      <x:alignment vertical="top" wrapText="1"/>
    </x:xf>
    <x:xf numFmtId="203" fontId="26" fillId="23" xfId="0" applyNumberFormat="1" applyFont="1" applyFill="1" applyBorder="0" applyAlignment="1">
      <x:alignment vertical="center" wrapText="1"/>
    </x:xf>
    <x:xf numFmtId="203" fontId="7" fillId="23" xfId="0" applyNumberFormat="1" applyFont="1" applyFill="1" applyBorder="0" applyAlignment="1">
      <x:alignment vertical="center" wrapText="1"/>
    </x:xf>
    <x:xf numFmtId="203" fontId="1" fillId="23" borderId="3" xfId="0" applyNumberFormat="1" applyFont="1" applyFill="1" applyBorder="1" applyAlignment="1">
      <x:alignment vertical="top" wrapText="1"/>
    </x:xf>
    <x:xf numFmtId="203" fontId="1" fillId="23" borderId="4" xfId="0" applyNumberFormat="1" applyFont="1" applyFill="1" applyBorder="1" applyAlignment="1">
      <x:alignment vertical="top" wrapText="1"/>
    </x:xf>
    <x:xf numFmtId="203" fontId="1" fillId="23" borderId="6" xfId="0" applyNumberFormat="1" applyFont="1" applyFill="1" applyBorder="1" applyAlignment="1">
      <x:alignment vertical="top" wrapText="1"/>
    </x:xf>
    <x:xf numFmtId="203" fontId="7" fillId="23" borderId="8" xfId="0" applyNumberFormat="1" applyFont="1" applyFill="1" applyBorder="1" applyAlignment="1">
      <x:alignment vertical="top" wrapText="1"/>
    </x:xf>
    <x:xf numFmtId="203" fontId="7" fillId="23" borderId="9" xfId="0" applyNumberFormat="1" applyFont="1" applyFill="1" applyBorder="1" applyAlignment="1">
      <x:alignment vertical="top" wrapText="1"/>
    </x:xf>
    <x:xf numFmtId="0" fontId="1" fillId="23" borderId="30" xfId="0" applyNumberFormat="1" applyFont="1" applyFill="1" applyBorder="1" applyAlignment="1">
      <x:alignment vertical="top" wrapText="1"/>
    </x:xf>
    <x:xf numFmtId="203" fontId="1" fillId="23" borderId="30" xfId="0" applyNumberFormat="1" applyFont="1" applyFill="1" applyBorder="1" applyAlignment="1">
      <x:alignment vertical="top" wrapText="1"/>
    </x:xf>
    <x:xf numFmtId="203" fontId="1" fillId="23" borderId="66" xfId="0" applyNumberFormat="1" applyFont="1" applyFill="1" applyBorder="1" applyAlignment="1">
      <x:alignment vertical="top" wrapText="1"/>
    </x:xf>
    <x:xf numFmtId="203" fontId="1" fillId="23" borderId="67" xfId="0" applyNumberFormat="1" applyFont="1" applyFill="1" applyBorder="1" applyAlignment="1">
      <x:alignment vertical="top" wrapText="1"/>
    </x:xf>
    <x:xf numFmtId="0" fontId="1" fillId="23" borderId="27" xfId="0" applyNumberFormat="1" applyFont="1" applyFill="1" applyBorder="1" applyAlignment="1">
      <x:alignment vertical="top" wrapText="1"/>
    </x:xf>
    <x:xf numFmtId="203" fontId="1" fillId="23" borderId="27" xfId="0" applyNumberFormat="1" applyFont="1" applyFill="1" applyBorder="1" applyAlignment="1">
      <x:alignment vertical="top" wrapText="1"/>
    </x:xf>
    <x:xf numFmtId="203" fontId="1" fillId="23" borderId="68" xfId="0" applyNumberFormat="1" applyFont="1" applyFill="1" applyBorder="1" applyAlignment="1">
      <x:alignment vertical="top" wrapText="1"/>
    </x:xf>
    <x:xf numFmtId="203" fontId="1" fillId="23" borderId="69" xfId="0" applyNumberFormat="1" applyFont="1" applyFill="1" applyBorder="1" applyAlignment="1">
      <x:alignment vertical="top" wrapText="1"/>
    </x:xf>
    <x:xf numFmtId="0" fontId="7" fillId="23" borderId="28" xfId="0" applyNumberFormat="1" applyFont="1" applyFill="1" applyBorder="1" applyAlignment="1">
      <x:alignment vertical="top" wrapText="1"/>
    </x:xf>
    <x:xf numFmtId="203" fontId="7" fillId="23" borderId="28" xfId="0" applyNumberFormat="1" applyFont="1" applyFill="1" applyBorder="1" applyAlignment="1">
      <x:alignment vertical="top" wrapText="1"/>
    </x:xf>
    <x:xf numFmtId="203" fontId="7" fillId="23" borderId="70" xfId="0" applyNumberFormat="1" applyFont="1" applyFill="1" applyBorder="1" applyAlignment="1">
      <x:alignment vertical="top" wrapText="1"/>
    </x:xf>
    <x:xf numFmtId="203" fontId="7" fillId="23" borderId="71" xfId="0" applyNumberFormat="1" applyFont="1" applyFill="1" applyBorder="1" applyAlignment="1">
      <x:alignment vertical="top" wrapText="1"/>
    </x:xf>
    <x:xf numFmtId="0" fontId="1" fillId="23" borderId="72" xfId="0" applyNumberFormat="1" applyFont="1" applyFill="1" applyBorder="1" applyAlignment="1">
      <x:alignment vertical="top" wrapText="1"/>
    </x:xf>
    <x:xf numFmtId="203" fontId="1" fillId="23" borderId="72" xfId="0" applyNumberFormat="1" applyFont="1" applyFill="1" applyBorder="1" applyAlignment="1">
      <x:alignment vertical="top" wrapText="1"/>
    </x:xf>
    <x:xf numFmtId="203" fontId="1" fillId="23" borderId="73" xfId="0" applyNumberFormat="1" applyFont="1" applyFill="1" applyBorder="1" applyAlignment="1">
      <x:alignment vertical="top" wrapText="1"/>
    </x:xf>
    <x:xf numFmtId="203" fontId="1" fillId="23" borderId="74" xfId="0" applyNumberFormat="1" applyFont="1" applyFill="1" applyBorder="1" applyAlignment="1">
      <x:alignment vertical="top" wrapText="1"/>
    </x:xf>
    <x:xf numFmtId="0" fontId="1" fillId="23" borderId="75" xfId="0" applyNumberFormat="1" applyFont="1" applyFill="1" applyBorder="1" applyAlignment="1">
      <x:alignment vertical="top" wrapText="1"/>
    </x:xf>
    <x:xf numFmtId="203" fontId="1" fillId="23" borderId="75" xfId="0" applyNumberFormat="1" applyFont="1" applyFill="1" applyBorder="1" applyAlignment="1">
      <x:alignment vertical="top" wrapText="1"/>
    </x:xf>
    <x:xf numFmtId="203" fontId="1" fillId="23" borderId="76" xfId="0" applyNumberFormat="1" applyFont="1" applyFill="1" applyBorder="1" applyAlignment="1">
      <x:alignment vertical="top" wrapText="1"/>
    </x:xf>
    <x:xf numFmtId="203" fontId="1" fillId="23" borderId="77" xfId="0" applyNumberFormat="1" applyFont="1" applyFill="1" applyBorder="1" applyAlignment="1">
      <x:alignment vertical="top" wrapText="1"/>
    </x:xf>
    <x:xf numFmtId="0" fontId="7" fillId="23" borderId="78" xfId="0" applyNumberFormat="1" applyFont="1" applyFill="1" applyBorder="1" applyAlignment="1">
      <x:alignment vertical="top" wrapText="1"/>
    </x:xf>
    <x:xf numFmtId="203" fontId="7" fillId="23" borderId="78" xfId="0" applyNumberFormat="1" applyFont="1" applyFill="1" applyBorder="1" applyAlignment="1">
      <x:alignment vertical="top" wrapText="1"/>
    </x:xf>
    <x:xf numFmtId="203" fontId="7" fillId="23" borderId="79" xfId="0" applyNumberFormat="1" applyFont="1" applyFill="1" applyBorder="1" applyAlignment="1">
      <x:alignment vertical="top" wrapText="1"/>
    </x:xf>
    <x:xf numFmtId="203" fontId="7" fillId="23" borderId="80" xfId="0" applyNumberFormat="1" applyFont="1" applyFill="1" applyBorder="1" applyAlignment="1">
      <x:alignment vertical="top" wrapText="1"/>
    </x:xf>
    <x:xf numFmtId="0" fontId="1" fillId="23" borderId="81" xfId="0" applyNumberFormat="1" applyFont="1" applyFill="1" applyBorder="1" applyAlignment="1">
      <x:alignment vertical="top" wrapText="1"/>
    </x:xf>
    <x:xf numFmtId="203" fontId="1" fillId="23" borderId="82" xfId="0" applyNumberFormat="1" applyFont="1" applyFill="1" applyBorder="1" applyAlignment="1">
      <x:alignment vertical="top" wrapText="1"/>
    </x:xf>
    <x:xf numFmtId="203" fontId="1" fillId="23" borderId="83" xfId="0" applyNumberFormat="1" applyFont="1" applyFill="1" applyBorder="1" applyAlignment="1">
      <x:alignment vertical="top" wrapText="1"/>
    </x:xf>
    <x:xf numFmtId="0" fontId="1" fillId="23" borderId="84" xfId="0" applyNumberFormat="1" applyFont="1" applyFill="1" applyBorder="1" applyAlignment="1">
      <x:alignment vertical="top" wrapText="1"/>
    </x:xf>
    <x:xf numFmtId="203" fontId="1" fillId="23" borderId="85" xfId="0" applyNumberFormat="1" applyFont="1" applyFill="1" applyBorder="1" applyAlignment="1">
      <x:alignment vertical="top" wrapText="1"/>
    </x:xf>
    <x:xf numFmtId="203" fontId="1" fillId="23" borderId="86" xfId="0" applyNumberFormat="1" applyFont="1" applyFill="1" applyBorder="1" applyAlignment="1">
      <x:alignment vertical="top" wrapText="1"/>
    </x:xf>
    <x:xf numFmtId="0" fontId="7" fillId="23" borderId="87" xfId="0" applyNumberFormat="1" applyFont="1" applyFill="1" applyBorder="1" applyAlignment="1">
      <x:alignment vertical="top" wrapText="1"/>
    </x:xf>
    <x:xf numFmtId="203" fontId="7" fillId="23" borderId="88" xfId="0" applyNumberFormat="1" applyFont="1" applyFill="1" applyBorder="1" applyAlignment="1">
      <x:alignment vertical="top" wrapText="1"/>
    </x:xf>
    <x:xf numFmtId="203" fontId="7" fillId="23" borderId="89" xfId="0" applyNumberFormat="1" applyFont="1" applyFill="1" applyBorder="1" applyAlignment="1">
      <x:alignment vertical="top" wrapText="1"/>
    </x:xf>
    <x:xf numFmtId="0" fontId="1" fillId="23" borderId="90" xfId="0" applyNumberFormat="1" applyFont="1" applyFill="1" applyBorder="1" applyAlignment="1">
      <x:alignment vertical="top" wrapText="1"/>
    </x:xf>
    <x:xf numFmtId="203" fontId="1" fillId="23" borderId="91" xfId="0" applyNumberFormat="1" applyFont="1" applyFill="1" applyBorder="1" applyAlignment="1">
      <x:alignment vertical="top" wrapText="1"/>
    </x:xf>
    <x:xf numFmtId="203" fontId="1" fillId="23" borderId="92" xfId="0" applyNumberFormat="1" applyFont="1" applyFill="1" applyBorder="1" applyAlignment="1">
      <x:alignment vertical="top" wrapText="1"/>
    </x:xf>
    <x:xf numFmtId="0" fontId="1" fillId="23" borderId="93" xfId="0" applyNumberFormat="1" applyFont="1" applyFill="1" applyBorder="1" applyAlignment="1">
      <x:alignment vertical="top" wrapText="1"/>
    </x:xf>
    <x:xf numFmtId="203" fontId="1" fillId="23" borderId="94" xfId="0" applyNumberFormat="1" applyFont="1" applyFill="1" applyBorder="1" applyAlignment="1">
      <x:alignment vertical="top" wrapText="1"/>
    </x:xf>
    <x:xf numFmtId="203" fontId="1" fillId="23" borderId="95" xfId="0" applyNumberFormat="1" applyFont="1" applyFill="1" applyBorder="1" applyAlignment="1">
      <x:alignment vertical="top" wrapText="1"/>
    </x:xf>
    <x:xf numFmtId="0" fontId="7" fillId="23" borderId="96" xfId="0" applyNumberFormat="1" applyFont="1" applyFill="1" applyBorder="1" applyAlignment="1">
      <x:alignment vertical="top" wrapText="1"/>
    </x:xf>
    <x:xf numFmtId="203" fontId="7" fillId="23" borderId="97" xfId="0" applyNumberFormat="1" applyFont="1" applyFill="1" applyBorder="1" applyAlignment="1">
      <x:alignment vertical="top" wrapText="1"/>
    </x:xf>
    <x:xf numFmtId="203" fontId="7" fillId="23" borderId="98" xfId="0" applyNumberFormat="1" applyFont="1" applyFill="1" applyBorder="1" applyAlignment="1">
      <x:alignment vertical="top" wrapText="1"/>
    </x:xf>
    <x:xf numFmtId="203" fontId="34" fillId="20" borderId="22" xfId="0" applyNumberFormat="1" applyFont="1" applyFill="1" applyBorder="1" applyAlignment="1">
      <x:alignment vertical="top" wrapText="1"/>
    </x:xf>
    <x:xf numFmtId="0" fontId="1" fillId="11" borderId="22" xfId="0" applyNumberFormat="1" applyFont="1" applyFill="1" applyBorder="1" applyAlignment="1">
      <x:alignment vertical="top" wrapText="1"/>
    </x:xf>
    <x:xf numFmtId="203" fontId="1" fillId="11" borderId="22" xfId="0" applyNumberFormat="1" applyFont="1" applyFill="1" applyBorder="1" applyAlignment="1">
      <x:alignment vertical="top" wrapText="1"/>
    </x:xf>
    <x:xf numFmtId="203" fontId="1" fillId="11" xfId="0" applyNumberFormat="1" applyFont="1" applyFill="1" applyBorder="0" applyAlignment="1">
      <x:alignment vertical="top" wrapText="1"/>
    </x:xf>
    <x:xf numFmtId="203" fontId="34" fillId="11" borderId="22" xfId="0" applyNumberFormat="1" applyFont="1" applyFill="1" applyBorder="1" applyAlignment="1">
      <x:alignment vertical="top" wrapText="1"/>
    </x:xf>
    <x:xf numFmtId="203" fontId="24" fillId="11" xfId="0" applyNumberFormat="1" applyFont="1" applyFill="1" applyBorder="0" applyAlignment="1">
      <x:alignment vertical="center" wrapText="1"/>
    </x:xf>
    <x:xf numFmtId="0" fontId="7" fillId="11" borderId="22" xfId="0" applyNumberFormat="1" applyFont="1" applyFill="1" applyBorder="1" applyAlignment="1">
      <x:alignment vertical="top" wrapText="1"/>
    </x:xf>
    <x:xf numFmtId="203" fontId="7" fillId="11" borderId="22" xfId="0" applyNumberFormat="1" applyFont="1" applyFill="1" applyBorder="1" applyAlignment="1">
      <x:alignment vertical="top" wrapText="1"/>
    </x:xf>
    <x:xf numFmtId="203" fontId="7" fillId="11" xfId="0" applyNumberFormat="1" applyFont="1" applyFill="1" applyBorder="0" applyAlignment="1">
      <x:alignment vertical="top" wrapText="1"/>
    </x:xf>
    <x:xf numFmtId="203" fontId="7" fillId="11" xfId="0" applyNumberFormat="1" applyFont="1" applyFill="1" applyBorder="0" applyAlignment="1">
      <x:alignment vertical="center" wrapText="1"/>
    </x:xf>
    <x:xf numFmtId="0" fontId="7" fillId="11" borderId="22" xfId="0" applyNumberFormat="1" applyFont="1" applyFill="1" applyBorder="1" applyAlignment="1">
      <x:alignment horizontal="center" vertical="top" wrapText="1"/>
    </x:xf>
    <x:xf numFmtId="203" fontId="7" fillId="11" borderId="22" xfId="0" applyNumberFormat="1" applyFont="1" applyFill="1" applyBorder="1" applyAlignment="1">
      <x:alignment horizontal="center" vertical="top" wrapText="1"/>
    </x:xf>
    <x:xf numFmtId="203" fontId="7" fillId="11" xfId="0" applyNumberFormat="1" applyFont="1" applyFill="1" applyBorder="0" applyAlignment="1">
      <x:alignment horizontal="center" vertical="top" wrapText="1"/>
    </x:xf>
    <x:xf numFmtId="203" fontId="7" fillId="11" xfId="0" applyNumberFormat="1" applyFont="1" applyFill="1" applyBorder="0" applyAlignment="1">
      <x:alignment horizontal="center" vertical="center" wrapText="1"/>
    </x:xf>
    <x:xf numFmtId="203" fontId="1" fillId="3" borderId="22" xfId="0" applyNumberFormat="1" applyFont="1" applyFill="1" applyBorder="1" applyAlignment="1">
      <x:alignment vertical="top" wrapText="1"/>
    </x:xf>
    <x:xf numFmtId="203" fontId="1" fillId="23" borderId="99" xfId="0" applyNumberFormat="1" applyFont="1" applyFill="1" applyBorder="1" applyAlignment="1">
      <x:alignment vertical="top" wrapText="1"/>
    </x:xf>
    <x:xf numFmtId="203" fontId="1" fillId="23" borderId="100" xfId="0" applyNumberFormat="1" applyFont="1" applyFill="1" applyBorder="1" applyAlignment="1">
      <x:alignment vertical="top" wrapText="1"/>
    </x:xf>
    <x:xf numFmtId="0" fontId="1" fillId="3" borderId="23" xfId="0" applyNumberFormat="1" applyFont="1" applyFill="1" applyBorder="1" applyAlignment="1">
      <x:alignment vertical="top" wrapText="1"/>
    </x:xf>
    <x:xf numFmtId="203" fontId="1" fillId="23" borderId="24" xfId="0" applyNumberFormat="1" applyFont="1" applyFill="1" applyBorder="1" applyAlignment="1">
      <x:alignment vertical="top" wrapText="1"/>
    </x:xf>
    <x:xf numFmtId="203" fontId="1" fillId="23" borderId="25" xfId="0" applyNumberFormat="1" applyFont="1" applyFill="1" applyBorder="1" applyAlignment="1">
      <x:alignment vertical="top" wrapText="1"/>
    </x:xf>
    <x:xf numFmtId="0" fontId="1" fillId="3" borderId="101" xfId="0" applyNumberFormat="1" applyFont="1" applyFill="1" applyBorder="1" applyAlignment="1">
      <x:alignment vertical="top" wrapText="1"/>
    </x:xf>
    <x:xf numFmtId="203" fontId="1" fillId="23" borderId="102" xfId="0" applyNumberFormat="1" applyFont="1" applyFill="1" applyBorder="1" applyAlignment="1">
      <x:alignment vertical="top" wrapText="1"/>
    </x:xf>
    <x:xf numFmtId="203" fontId="1" fillId="23" borderId="103" xfId="0" applyNumberFormat="1" applyFont="1" applyFill="1" applyBorder="1" applyAlignment="1">
      <x:alignment vertical="top" wrapText="1"/>
    </x:xf>
    <x:xf numFmtId="0" fontId="1" fillId="20" borderId="22" xfId="0" applyNumberFormat="1" applyFont="1" applyFill="1" applyBorder="1" applyAlignment="1">
      <x:alignment horizontal="left" vertical="center" wrapText="1"/>
    </x:xf>
    <x:xf numFmtId="203" fontId="1" fillId="20" borderId="22" xfId="0" applyNumberFormat="1" applyFont="1" applyFill="1" applyBorder="1" applyAlignment="1">
      <x:alignment vertical="center" wrapText="1"/>
    </x:xf>
    <x:xf numFmtId="203" fontId="1" fillId="20" borderId="22" xfId="0" applyNumberFormat="1" applyFont="1" applyFill="1" applyBorder="1" applyAlignment="1">
      <x:alignment horizontal="right" vertical="center" wrapText="1"/>
    </x:xf>
    <x:xf numFmtId="0" fontId="37" fillId="20" borderId="22" xfId="0" applyNumberFormat="1" applyFont="1" applyFill="1" applyBorder="1" applyAlignment="1">
      <x:alignment horizontal="left" vertical="center" wrapText="1"/>
    </x:xf>
    <x:xf numFmtId="203" fontId="37" fillId="20" borderId="22" xfId="0" applyNumberFormat="1" applyFont="1" applyFill="1" applyBorder="1" applyAlignment="1">
      <x:alignment vertical="center" wrapText="1"/>
    </x:xf>
    <x:xf numFmtId="203" fontId="37" fillId="20" borderId="22" xfId="0" applyNumberFormat="1" applyFont="1" applyFill="1" applyBorder="1" applyAlignment="1">
      <x:alignment horizontal="right" vertical="center" wrapText="1"/>
    </x:xf>
    <x:xf numFmtId="0" fontId="37" fillId="20" borderId="22" xfId="0" applyNumberFormat="1" applyFont="1" applyFill="1" applyBorder="1" applyAlignment="1">
      <x:alignment horizontal="center" vertical="center" wrapText="1"/>
    </x:xf>
    <x:xf numFmtId="203" fontId="37" fillId="20" borderId="22" xfId="0" applyNumberFormat="1" applyFont="1" applyFill="1" applyBorder="1" applyAlignment="1">
      <x:alignment horizontal="center" vertical="center" wrapText="1"/>
    </x:xf>
    <x:xf numFmtId="0" fontId="7" fillId="20" borderId="22" xfId="0" applyNumberFormat="1" applyFont="1" applyFill="1" applyBorder="1" applyAlignment="1">
      <x:alignment horizontal="left" vertical="center" wrapText="1"/>
    </x:xf>
    <x:xf numFmtId="203" fontId="7" fillId="20" borderId="22" xfId="0" applyNumberFormat="1" applyFont="1" applyFill="1" applyBorder="1" applyAlignment="1">
      <x:alignment vertical="center" wrapText="1"/>
    </x:xf>
    <x:xf numFmtId="203" fontId="7" fillId="20" borderId="22" xfId="0" applyNumberFormat="1" applyFont="1" applyFill="1" applyBorder="1" applyAlignment="1">
      <x:alignment horizontal="right" vertical="center" wrapText="1"/>
    </x:xf>
    <x:xf numFmtId="0" fontId="0" fillId="20" borderId="0" xfId="0" applyNumberFormat="1" applyFont="1" applyFill="1" applyBorder="1"/>
    <x:xf numFmtId="0" fontId="5" fillId="20" borderId="22" xfId="0" applyNumberFormat="1" applyFont="1" applyFill="1" applyBorder="1" applyAlignment="1">
      <x:alignment horizontal="left" vertical="center" wrapText="1"/>
    </x:xf>
    <x:xf numFmtId="203" fontId="5" fillId="20" borderId="22" xfId="0" applyNumberFormat="1" applyFont="1" applyFill="1" applyBorder="1" applyAlignment="1">
      <x:alignment horizontal="right" vertical="center" wrapText="1"/>
    </x:xf>
    <x:xf numFmtId="0" fontId="5" fillId="20" borderId="0" xfId="0" applyNumberFormat="1" applyFont="1" applyFill="1" applyBorder="1"/>
    <x:xf numFmtId="0" fontId="5" fillId="20" borderId="0" xfId="0" applyNumberFormat="1" applyFont="1" applyFill="1" applyBorder="1" applyAlignment="1">
      <x:alignment vertical="center"/>
    </x:xf>
    <x:xf numFmtId="0" fontId="1" fillId="11" borderId="22" xfId="0" applyNumberFormat="1" applyFont="1" applyFill="1" applyBorder="1" applyAlignment="1">
      <x:alignment horizontal="left" vertical="center" wrapText="1"/>
    </x:xf>
    <x:xf numFmtId="203" fontId="1" fillId="11" borderId="22" xfId="0" applyNumberFormat="1" applyFont="1" applyFill="1" applyBorder="1" applyAlignment="1">
      <x:alignment vertical="center" wrapText="1"/>
    </x:xf>
    <x:xf numFmtId="203" fontId="1" fillId="11" borderId="22" xfId="0" applyNumberFormat="1" applyFont="1" applyFill="1" applyBorder="1" applyAlignment="1">
      <x:alignment horizontal="right" vertical="center" wrapText="1"/>
    </x:xf>
    <x:xf numFmtId="0" fontId="26" fillId="11" borderId="22" xfId="0" applyNumberFormat="1" applyFont="1" applyFill="1" applyBorder="1" applyAlignment="1">
      <x:alignment horizontal="left" vertical="center" wrapText="1"/>
    </x:xf>
    <x:xf numFmtId="203" fontId="26" fillId="11" borderId="22" xfId="0" applyNumberFormat="1" applyFont="1" applyFill="1" applyBorder="1" applyAlignment="1">
      <x:alignment vertical="center" wrapText="1"/>
    </x:xf>
    <x:xf numFmtId="203" fontId="26" fillId="11" borderId="22" xfId="0" applyNumberFormat="1" applyFont="1" applyFill="1" applyBorder="1" applyAlignment="1">
      <x:alignment horizontal="right" vertical="center" wrapText="1"/>
    </x:xf>
    <x:xf numFmtId="0" fontId="26" fillId="11" borderId="0" xfId="0" applyNumberFormat="1" applyFont="1" applyFill="1" applyBorder="1"/>
    <x:xf numFmtId="0" fontId="26" fillId="11" borderId="0" xfId="0" applyNumberFormat="1" applyFont="1" applyFill="1" applyBorder="1" applyAlignment="1">
      <x:alignment wrapText="1"/>
    </x:xf>
    <x:xf numFmtId="0" fontId="26" fillId="11" borderId="22" xfId="0" applyNumberFormat="1" applyFont="1" applyFill="1" applyBorder="1" applyAlignment="1">
      <x:alignment horizontal="center" vertical="center" wrapText="1"/>
    </x:xf>
    <x:xf numFmtId="203" fontId="26" fillId="11" borderId="22" xfId="0" applyNumberFormat="1" applyFont="1" applyFill="1" applyBorder="1" applyAlignment="1">
      <x:alignment horizontal="center" vertical="center" wrapText="1"/>
    </x:xf>
    <x:xf numFmtId="0" fontId="26" fillId="11" borderId="0" xfId="0" applyNumberFormat="1" applyFont="1" applyFill="1" applyBorder="1" applyAlignment="1">
      <x:alignment horizontal="center" wrapText="1"/>
    </x:xf>
    <x:xf numFmtId="0" fontId="26" fillId="11" borderId="4" xfId="0" applyNumberFormat="1" applyFont="1" applyFill="1" applyBorder="1" applyAlignment="1">
      <x:alignment horizontal="center" wrapText="1"/>
    </x:xf>
    <x:xf numFmtId="0" fontId="26" fillId="11" borderId="30" xfId="0" applyNumberFormat="1" applyFont="1" applyFill="1" applyBorder="1" applyAlignment="1">
      <x:alignment horizontal="center" vertical="center" wrapText="1"/>
    </x:xf>
    <x:xf numFmtId="203" fontId="26" fillId="11" borderId="30" xfId="0" applyNumberFormat="1" applyFont="1" applyFill="1" applyBorder="1" applyAlignment="1">
      <x:alignment horizontal="center" vertical="center" wrapText="1"/>
    </x:xf>
    <x:xf numFmtId="0" fontId="26" fillId="11" borderId="67" xfId="0" applyNumberFormat="1" applyFont="1" applyFill="1" applyBorder="1" applyAlignment="1">
      <x:alignment horizontal="center" wrapText="1"/>
    </x:xf>
    <x:xf numFmtId="0" fontId="26" fillId="11" borderId="72" xfId="0" applyNumberFormat="1" applyFont="1" applyFill="1" applyBorder="1" applyAlignment="1">
      <x:alignment horizontal="center" vertical="center" wrapText="1"/>
    </x:xf>
    <x:xf numFmtId="203" fontId="26" fillId="11" borderId="72" xfId="0" applyNumberFormat="1" applyFont="1" applyFill="1" applyBorder="1" applyAlignment="1">
      <x:alignment horizontal="center" vertical="center" wrapText="1"/>
    </x:xf>
    <x:xf numFmtId="0" fontId="26" fillId="11" borderId="74" xfId="0" applyNumberFormat="1" applyFont="1" applyFill="1" applyBorder="1" applyAlignment="1">
      <x:alignment horizontal="center" wrapText="1"/>
    </x:xf>
    <x:xf numFmtId="0" fontId="26" fillId="11" borderId="81" xfId="0" applyNumberFormat="1" applyFont="1" applyFill="1" applyBorder="1" applyAlignment="1">
      <x:alignment horizontal="center" vertical="center" wrapText="1"/>
    </x:xf>
    <x:xf numFmtId="203" fontId="26" fillId="11" borderId="82" xfId="0" applyNumberFormat="1" applyFont="1" applyFill="1" applyBorder="1" applyAlignment="1">
      <x:alignment horizontal="center" vertical="center" wrapText="1"/>
    </x:xf>
    <x:xf numFmtId="0" fontId="26" fillId="11" borderId="83" xfId="0" applyNumberFormat="1" applyFont="1" applyFill="1" applyBorder="1" applyAlignment="1">
      <x:alignment horizontal="center" wrapText="1"/>
    </x:xf>
    <x:xf numFmtId="0" fontId="26" fillId="11" borderId="90" xfId="0" applyNumberFormat="1" applyFont="1" applyFill="1" applyBorder="1" applyAlignment="1">
      <x:alignment horizontal="center" vertical="center" wrapText="1"/>
    </x:xf>
    <x:xf numFmtId="203" fontId="26" fillId="11" borderId="91" xfId="0" applyNumberFormat="1" applyFont="1" applyFill="1" applyBorder="1" applyAlignment="1">
      <x:alignment horizontal="center" vertical="center" wrapText="1"/>
    </x:xf>
    <x:xf numFmtId="0" fontId="26" fillId="11" borderId="92" xfId="0" applyNumberFormat="1" applyFont="1" applyFill="1" applyBorder="1" applyAlignment="1">
      <x:alignment horizontal="center" wrapText="1"/>
    </x:xf>
    <x:xf numFmtId="203" fontId="7" fillId="23" borderId="94" xfId="0" applyNumberFormat="1" applyFont="1" applyFill="1" applyBorder="1" applyAlignment="1">
      <x:alignment vertical="center" wrapText="1"/>
    </x:xf>
    <x:xf numFmtId="203" fontId="7" fillId="23" borderId="94" xfId="0" applyNumberFormat="1" applyFont="1" applyFill="1" applyBorder="1" applyAlignment="1">
      <x:alignment horizontal="right" vertical="center" wrapText="1"/>
    </x:xf>
    <x:xf numFmtId="203" fontId="1" fillId="23" borderId="94" xfId="0" applyNumberFormat="1" applyFont="1" applyFill="1" applyBorder="1" applyAlignment="1">
      <x:alignment horizontal="right" vertical="center" wrapText="1"/>
    </x:xf>
    <x:xf numFmtId="203" fontId="1" fillId="23" borderId="94" xfId="0" applyNumberFormat="1" applyFont="1" applyFill="1" applyBorder="1" applyAlignment="1">
      <x:alignment vertical="center" wrapText="1"/>
    </x:xf>
    <x:xf numFmtId="0" fontId="0" fillId="23" borderId="95" xfId="0" applyNumberFormat="1" applyFont="1" applyFill="1" applyBorder="1"/>
    <x:xf numFmtId="203" fontId="0" fillId="23" borderId="95" xfId="0" applyNumberFormat="1" applyFont="1" applyFill="1" applyBorder="1"/>
    <x:xf numFmtId="205" fontId="7" fillId="23" borderId="94" xfId="0" applyNumberFormat="1" applyFont="1" applyFill="1" applyBorder="1" applyAlignment="1">
      <x:alignment horizontal="right" vertical="center" wrapText="1"/>
    </x:xf>
    <x:xf numFmtId="205" fontId="1" fillId="23" borderId="94" xfId="0" applyNumberFormat="1" applyFont="1" applyFill="1" applyBorder="1" applyAlignment="1">
      <x:alignment horizontal="right" vertical="center" wrapText="1"/>
    </x:xf>
    <x:xf numFmtId="0" fontId="1" fillId="14" borderId="96" xfId="0" applyNumberFormat="1" applyFont="1" applyFill="1" applyBorder="1" applyAlignment="1">
      <x:alignment horizontal="left" vertical="center" wrapText="1"/>
    </x:xf>
    <x:xf numFmtId="203" fontId="1" fillId="14" borderId="97" xfId="0" applyNumberFormat="1" applyFont="1" applyFill="1" applyBorder="1" applyAlignment="1">
      <x:alignment vertical="center" wrapText="1"/>
    </x:xf>
    <x:xf numFmtId="203" fontId="1" fillId="14" borderId="97" xfId="0" applyNumberFormat="1" applyFont="1" applyFill="1" applyBorder="1" applyAlignment="1">
      <x:alignment horizontal="right" vertical="center" wrapText="1"/>
    </x:xf>
    <x:xf numFmtId="203" fontId="0" fillId="14" borderId="98" xfId="0" applyNumberFormat="1" applyFont="1" applyFill="1" applyBorder="1"/>
    <x:xf numFmtId="0" fontId="7" fillId="14" borderId="96" xfId="0" applyNumberFormat="1" applyFont="1" applyFill="1" applyBorder="1" applyAlignment="1">
      <x:alignment horizontal="left" vertical="center" wrapText="1"/>
    </x:xf>
    <x:xf numFmtId="203" fontId="7" fillId="14" borderId="97" xfId="0" applyNumberFormat="1" applyFont="1" applyFill="1" applyBorder="1" applyAlignment="1">
      <x:alignment vertical="center" wrapText="1"/>
    </x:xf>
    <x:xf numFmtId="203" fontId="7" fillId="14" borderId="97" xfId="0" applyNumberFormat="1" applyFont="1" applyFill="1" applyBorder="1" applyAlignment="1">
      <x:alignment horizontal="right" vertical="center" wrapText="1"/>
    </x:xf>
    <x:xf numFmtId="203" fontId="7" fillId="14" borderId="98" xfId="0" applyNumberFormat="1" applyFont="1" applyFill="1" applyBorder="1"/>
    <x:xf numFmtId="0" fontId="7" fillId="14" borderId="104" xfId="0" applyNumberFormat="1" applyFont="1" applyFill="1" applyBorder="1" applyAlignment="1">
      <x:alignment horizontal="left" vertical="center" wrapText="1"/>
    </x:xf>
    <x:xf numFmtId="203" fontId="7" fillId="14" borderId="105" xfId="0" applyNumberFormat="1" applyFont="1" applyFill="1" applyBorder="1" applyAlignment="1">
      <x:alignment vertical="center" wrapText="1"/>
    </x:xf>
    <x:xf numFmtId="203" fontId="7" fillId="14" borderId="105" xfId="0" applyNumberFormat="1" applyFont="1" applyFill="1" applyBorder="1" applyAlignment="1">
      <x:alignment horizontal="right" vertical="center" wrapText="1"/>
    </x:xf>
    <x:xf numFmtId="203" fontId="7" fillId="14" borderId="105" xfId="0" applyNumberFormat="1" applyFont="1" applyFill="1" applyBorder="1"/>
    <x:xf numFmtId="0" fontId="7" fillId="11" borderId="22" xfId="0" applyNumberFormat="1" applyFont="1" applyFill="1" applyBorder="1" applyAlignment="1">
      <x:alignment horizontal="left" vertical="center" wrapText="1"/>
    </x:xf>
    <x:xf numFmtId="203" fontId="7" fillId="11" borderId="22" xfId="0" applyNumberFormat="1" applyFont="1" applyFill="1" applyBorder="1" applyAlignment="1">
      <x:alignment horizontal="center" vertical="center" wrapText="1"/>
    </x:xf>
    <x:xf numFmtId="203" fontId="7" fillId="11" borderId="22" xfId="0" applyNumberFormat="1" applyFont="1" applyFill="1" applyBorder="1" applyAlignment="1">
      <x:alignment horizontal="right" vertical="center" wrapText="1"/>
    </x:xf>
    <x:xf numFmtId="0" fontId="7" fillId="11" borderId="22" xfId="0" applyNumberFormat="1" applyFont="1" applyFill="1" applyBorder="1" applyAlignment="1">
      <x:alignment horizontal="center" vertical="center" wrapText="1"/>
    </x:xf>
    <x:xf numFmtId="0" fontId="7" fillId="11" borderId="30" xfId="0" applyNumberFormat="1" applyFont="1" applyFill="1" applyBorder="1" applyAlignment="1">
      <x:alignment horizontal="center" vertical="center" wrapText="1"/>
    </x:xf>
    <x:xf numFmtId="203" fontId="7" fillId="11" borderId="30" xfId="0" applyNumberFormat="1" applyFont="1" applyFill="1" applyBorder="1" applyAlignment="1">
      <x:alignment horizontal="center" vertical="center" wrapText="1"/>
    </x:xf>
    <x:xf numFmtId="0" fontId="7" fillId="11" borderId="72" xfId="0" applyNumberFormat="1" applyFont="1" applyFill="1" applyBorder="1" applyAlignment="1">
      <x:alignment horizontal="center" vertical="center" wrapText="1"/>
    </x:xf>
    <x:xf numFmtId="203" fontId="7" fillId="11" borderId="72" xfId="0" applyNumberFormat="1" applyFont="1" applyFill="1" applyBorder="1" applyAlignment="1">
      <x:alignment horizontal="center" vertical="center" wrapText="1"/>
    </x:xf>
    <x:xf numFmtId="0" fontId="7" fillId="11" borderId="81" xfId="0" applyNumberFormat="1" applyFont="1" applyFill="1" applyBorder="1" applyAlignment="1">
      <x:alignment horizontal="center" vertical="center" wrapText="1"/>
    </x:xf>
    <x:xf numFmtId="203" fontId="7" fillId="11" borderId="82" xfId="0" applyNumberFormat="1" applyFont="1" applyFill="1" applyBorder="1" applyAlignment="1">
      <x:alignment horizontal="center" vertical="center" wrapText="1"/>
    </x:xf>
    <x:xf numFmtId="203" fontId="7" fillId="11" borderId="83" xfId="0" applyNumberFormat="1" applyFont="1" applyFill="1" applyBorder="1" applyAlignment="1">
      <x:alignment horizontal="center" vertical="center" wrapText="1"/>
    </x:xf>
    <x:xf numFmtId="0" fontId="7" fillId="11" borderId="90" xfId="0" applyNumberFormat="1" applyFont="1" applyFill="1" applyBorder="1" applyAlignment="1">
      <x:alignment horizontal="center" vertical="center" wrapText="1"/>
    </x:xf>
    <x:xf numFmtId="203" fontId="7" fillId="11" borderId="91" xfId="0" applyNumberFormat="1" applyFont="1" applyFill="1" applyBorder="1" applyAlignment="1">
      <x:alignment horizontal="center" vertical="center" wrapText="1"/>
    </x:xf>
    <x:xf numFmtId="203" fontId="7" fillId="11" borderId="92" xfId="0" applyNumberFormat="1" applyFont="1" applyFill="1" applyBorder="1" applyAlignment="1">
      <x:alignment horizontal="center" vertical="center" wrapText="1"/>
    </x:xf>
    <x:xf numFmtId="203" fontId="1" fillId="3" borderId="95" xfId="0" applyNumberFormat="1" applyFont="1" applyFill="1" applyBorder="1" applyAlignment="1">
      <x:alignment vertical="center" wrapText="1"/>
    </x:xf>
    <x:xf numFmtId="203" fontId="7" fillId="3" borderId="95" xfId="0" applyNumberFormat="1" applyFont="1" applyFill="1" applyBorder="1" applyAlignment="1">
      <x:alignment vertical="center" wrapText="1"/>
    </x:xf>
    <x:xf numFmtId="0" fontId="26" fillId="14" borderId="96" xfId="0" applyNumberFormat="1" applyFont="1" applyFill="1" applyBorder="1" applyAlignment="1">
      <x:alignment horizontal="left" vertical="center" wrapText="1"/>
    </x:xf>
    <x:xf numFmtId="203" fontId="26" fillId="14" borderId="97" xfId="0" applyNumberFormat="1" applyFont="1" applyFill="1" applyBorder="1" applyAlignment="1">
      <x:alignment horizontal="right" vertical="center" wrapText="1"/>
    </x:xf>
    <x:xf numFmtId="203" fontId="26" fillId="14" borderId="97" xfId="0" applyNumberFormat="1" applyFont="1" applyFill="1" applyBorder="1" applyAlignment="1">
      <x:alignment vertical="center" wrapText="1"/>
    </x:xf>
    <x:xf numFmtId="203" fontId="26" fillId="14" borderId="98" xfId="0" applyNumberFormat="1" applyFont="1" applyFill="1" applyBorder="1" applyAlignment="1">
      <x:alignment vertical="center" wrapText="1"/>
    </x:xf>
    <x:xf numFmtId="203" fontId="7" fillId="14" borderId="98" xfId="0" applyNumberFormat="1" applyFont="1" applyFill="1" applyBorder="1" applyAlignment="1">
      <x:alignment vertical="center" wrapText="1"/>
    </x:xf>
    <x:xf numFmtId="0" fontId="7" fillId="14" borderId="101" xfId="0" applyNumberFormat="1" applyFont="1" applyFill="1" applyBorder="1" applyAlignment="1">
      <x:alignment horizontal="left" vertical="center" wrapText="1"/>
    </x:xf>
    <x:xf numFmtId="203" fontId="7" fillId="14" borderId="102" xfId="0" applyNumberFormat="1" applyFont="1" applyFill="1" applyBorder="1" applyAlignment="1">
      <x:alignment horizontal="right" vertical="center" wrapText="1"/>
    </x:xf>
    <x:xf numFmtId="203" fontId="7" fillId="14" borderId="102" xfId="0" applyNumberFormat="1" applyFont="1" applyFill="1" applyBorder="1" applyAlignment="1">
      <x:alignment vertical="center" wrapText="1"/>
    </x:xf>
    <x:xf numFmtId="0" fontId="7" fillId="14" borderId="110" xfId="0" applyNumberFormat="1" applyFont="1" applyFill="1" applyBorder="1" applyAlignment="1">
      <x:alignment horizontal="left" vertical="center" wrapText="1"/>
    </x:xf>
    <x:xf numFmtId="203" fontId="7" fillId="14" borderId="111" xfId="0" applyNumberFormat="1" applyFont="1" applyFill="1" applyBorder="1" applyAlignment="1">
      <x:alignment horizontal="right" vertical="center" wrapText="1"/>
    </x:xf>
    <x:xf numFmtId="203" fontId="7" fillId="14" borderId="111" xfId="0" applyNumberFormat="1" applyFont="1" applyFill="1" applyBorder="1" applyAlignment="1">
      <x:alignment vertical="center" wrapText="1"/>
    </x:xf>
    <x:xf numFmtId="203" fontId="7" fillId="11" borderId="22" xfId="0" applyNumberFormat="1" applyFont="1" applyFill="1" applyBorder="1" applyAlignment="1">
      <x:alignment vertical="center" wrapText="1"/>
    </x:xf>
    <x:xf numFmtId="203" fontId="1" fillId="14" borderId="98" xfId="0" applyNumberFormat="1" applyFont="1" applyFill="1" applyBorder="1" applyAlignment="1">
      <x:alignment horizontal="right" vertical="center" wrapText="1"/>
    </x:xf>
    <x:xf numFmtId="203" fontId="7" fillId="14" borderId="98" xfId="0" applyNumberFormat="1" applyFont="1" applyFill="1" applyBorder="1" applyAlignment="1">
      <x:alignment horizontal="right" vertical="center" wrapText="1"/>
    </x:xf>
    <x:xf numFmtId="0" fontId="21" fillId="23" borderId="94" xfId="0" applyNumberFormat="1" applyFont="1" applyFill="1" applyBorder="1" applyAlignment="1">
      <x:alignment horizontal="left" vertical="center" wrapText="1"/>
    </x:xf>
    <x:xf numFmtId="0" fontId="1" fillId="23" borderId="94" xfId="0" applyNumberFormat="1" applyFont="1" applyFill="1" applyBorder="1" applyAlignment="1">
      <x:alignment vertical="center" wrapText="1"/>
    </x:xf>
    <x:xf numFmtId="203" fontId="21" fillId="23" borderId="94" xfId="0" applyNumberFormat="1" applyFont="1" applyFill="1" applyBorder="1" applyAlignment="1">
      <x:alignment horizontal="left" vertical="center" wrapText="1"/>
    </x:xf>
    <x:xf numFmtId="0" fontId="7" fillId="14" borderId="93" xfId="0" applyNumberFormat="1" applyFont="1" applyFill="1" applyBorder="1" applyAlignment="1">
      <x:alignment horizontal="left" vertical="center" wrapText="1"/>
    </x:xf>
    <x:xf numFmtId="203" fontId="7" fillId="14" borderId="94" xfId="0" applyNumberFormat="1" applyFont="1" applyFill="1" applyBorder="1" applyAlignment="1">
      <x:alignment vertical="center" wrapText="1"/>
    </x:xf>
    <x:xf numFmtId="203" fontId="7" fillId="14" borderId="95" xfId="0" applyNumberFormat="1" applyFont="1" applyFill="1" applyBorder="1" applyAlignment="1">
      <x:alignment horizontal="right" vertical="center" wrapText="1"/>
    </x:xf>
    <x:xf numFmtId="0" fontId="1" fillId="14" borderId="93" xfId="0" applyNumberFormat="1" applyFont="1" applyFill="1" applyBorder="1" applyAlignment="1">
      <x:alignment horizontal="left" vertical="center" wrapText="1"/>
    </x:xf>
    <x:xf numFmtId="203" fontId="1" fillId="14" borderId="94" xfId="0" applyNumberFormat="1" applyFont="1" applyFill="1" applyBorder="1" applyAlignment="1">
      <x:alignment vertical="center" wrapText="1"/>
    </x:xf>
    <x:xf numFmtId="0" fontId="1" fillId="14" borderId="94" xfId="0" applyNumberFormat="1" applyFont="1" applyFill="1" applyBorder="1" applyAlignment="1">
      <x:alignment vertical="center" wrapText="1"/>
    </x:xf>
    <x:xf numFmtId="203" fontId="1" fillId="14" borderId="95" xfId="0" applyNumberFormat="1" applyFont="1" applyFill="1" applyBorder="1" applyAlignment="1">
      <x:alignment horizontal="right" vertical="center" wrapText="1"/>
    </x:xf>
    <x:xf numFmtId="0" fontId="7" fillId="14" borderId="94" xfId="0" applyNumberFormat="1" applyFont="1" applyFill="1" applyBorder="1" applyAlignment="1">
      <x:alignment vertical="center" wrapText="1"/>
    </x:xf>
    <x:xf numFmtId="0" fontId="7" fillId="14" borderId="97" xfId="0" applyNumberFormat="1" applyFont="1" applyFill="1" applyBorder="1" applyAlignment="1">
      <x:alignment vertical="center" wrapText="1"/>
    </x:xf>
    <x:xf numFmtId="0" fontId="7" fillId="14" borderId="105" xfId="0" applyNumberFormat="1" applyFont="1" applyFill="1" applyBorder="1" applyAlignment="1">
      <x:alignment vertical="center" wrapText="1"/>
    </x:xf>
    <x:xf numFmtId="203" fontId="7" fillId="23" borderId="94" xfId="0" applyNumberFormat="1" applyFont="1" applyFill="1" applyBorder="1" applyAlignment="1">
      <x:alignment horizontal="center" vertical="center" wrapText="1"/>
    </x:xf>
    <x:xf numFmtId="0" fontId="1" fillId="20" borderId="22" xfId="0" applyNumberFormat="1" applyFont="1" applyFill="1" applyBorder="1" applyAlignment="1">
      <x:alignment vertical="center" wrapText="1"/>
    </x:xf>
    <x:xf numFmtId="0" fontId="1" fillId="11" borderId="22" xfId="0" applyNumberFormat="1" applyFont="1" applyFill="1" applyBorder="1" applyAlignment="1">
      <x:alignment vertical="center" wrapText="1"/>
    </x:xf>
    <x:xf numFmtId="0" fontId="7" fillId="11" borderId="22" xfId="0" applyNumberFormat="1" applyFont="1" applyFill="1" applyBorder="1" applyAlignment="1">
      <x:alignment vertical="center" wrapText="1"/>
    </x:xf>
    <x:xf numFmtId="0" fontId="7" fillId="11" borderId="82" xfId="0" applyNumberFormat="1" applyFont="1" applyFill="1" applyBorder="1" applyAlignment="1">
      <x:alignment horizontal="center" vertical="center" wrapText="1"/>
    </x:xf>
    <x:xf numFmtId="0" fontId="7" fillId="11" borderId="91" xfId="0" applyNumberFormat="1" applyFont="1" applyFill="1" applyBorder="1" applyAlignment="1">
      <x:alignment horizontal="center" vertical="center" wrapText="1"/>
    </x:xf>
    <x:xf numFmtId="0" fontId="7" fillId="23" borderId="94" xfId="0" applyNumberFormat="1" applyFont="1" applyFill="1" applyBorder="1" applyAlignment="1">
      <x:alignment vertical="center" wrapText="1"/>
    </x:xf>
    <x:xf numFmtId="0" fontId="1" fillId="14" borderId="97" xfId="0" applyNumberFormat="1" applyFont="1" applyFill="1" applyBorder="1" applyAlignment="1">
      <x:alignment vertical="center" wrapText="1"/>
    </x:xf>
    <x:xf numFmtId="0" fontId="7" fillId="14" borderId="102" xfId="0" applyNumberFormat="1" applyFont="1" applyFill="1" applyBorder="1" applyAlignment="1">
      <x:alignment vertical="center" wrapText="1"/>
    </x:xf>
    <x:xf numFmtId="0" fontId="7" fillId="14" borderId="111" xfId="0" applyNumberFormat="1" applyFont="1" applyFill="1" applyBorder="1" applyAlignment="1">
      <x:alignment vertical="center" wrapText="1"/>
    </x:xf>
    <x:xf numFmtId="0" fontId="0" fillId="23" borderId="0" xfId="0" applyNumberFormat="1" applyFont="1" applyFill="1" applyBorder="1"/>
    <x:xf numFmtId="203" fontId="1" fillId="23" borderId="22" xfId="0" applyNumberFormat="1" applyFont="1" applyFill="1" applyBorder="1" applyAlignment="1">
      <x:alignment horizontal="right" vertical="center" wrapText="1"/>
    </x:xf>
    <x:xf numFmtId="203" fontId="0" fillId="23" borderId="0" xfId="0" applyNumberFormat="1" applyFont="1" applyFill="1" applyBorder="1"/>
    <x:xf numFmtId="0" fontId="26" fillId="11" borderId="22" xfId="0" applyNumberFormat="1" applyFont="1" applyFill="1" applyBorder="1" applyAlignment="1">
      <x:alignment vertical="center" wrapText="1"/>
    </x:xf>
    <x:xf numFmtId="0" fontId="26" fillId="11" borderId="3" xfId="0" applyNumberFormat="1" applyFont="1" applyFill="1" applyBorder="1" applyAlignment="1">
      <x:alignment horizontal="center" wrapText="1"/>
    </x:xf>
    <x:xf numFmtId="0" fontId="26" fillId="11" borderId="66" xfId="0" applyNumberFormat="1" applyFont="1" applyFill="1" applyBorder="1" applyAlignment="1">
      <x:alignment horizontal="center" wrapText="1"/>
    </x:xf>
    <x:xf numFmtId="0" fontId="26" fillId="11" borderId="73" xfId="0" applyNumberFormat="1" applyFont="1" applyFill="1" applyBorder="1" applyAlignment="1">
      <x:alignment horizontal="center" wrapText="1"/>
    </x:xf>
    <x:xf numFmtId="0" fontId="26" fillId="11" borderId="82" xfId="0" applyNumberFormat="1" applyFont="1" applyFill="1" applyBorder="1" applyAlignment="1">
      <x:alignment horizontal="center" vertical="center" wrapText="1"/>
    </x:xf>
    <x:xf numFmtId="0" fontId="26" fillId="11" borderId="82" xfId="0" applyNumberFormat="1" applyFont="1" applyFill="1" applyBorder="1" applyAlignment="1">
      <x:alignment horizontal="center" wrapText="1"/>
    </x:xf>
    <x:xf numFmtId="0" fontId="26" fillId="11" borderId="91" xfId="0" applyNumberFormat="1" applyFont="1" applyFill="1" applyBorder="1" applyAlignment="1">
      <x:alignment horizontal="center" vertical="center" wrapText="1"/>
    </x:xf>
    <x:xf numFmtId="0" fontId="26" fillId="11" borderId="91" xfId="0" applyNumberFormat="1" applyFont="1" applyFill="1" applyBorder="1" applyAlignment="1">
      <x:alignment horizontal="center" wrapText="1"/>
    </x:xf>
    <x:xf numFmtId="0" fontId="0" fillId="23" borderId="94" xfId="0" applyNumberFormat="1" applyFont="1" applyFill="1" applyBorder="1"/>
    <x:xf numFmtId="203" fontId="0" fillId="23" borderId="94" xfId="0" applyNumberFormat="1" applyFont="1" applyFill="1" applyBorder="1"/>
    <x:xf numFmtId="203" fontId="0" fillId="14" borderId="97" xfId="0" applyNumberFormat="1" applyFont="1" applyFill="1" applyBorder="1"/>
    <x:xf numFmtId="0" fontId="0" fillId="14" borderId="98" xfId="0" applyNumberFormat="1" applyFont="1" applyFill="1" applyBorder="1"/>
    <x:xf numFmtId="203" fontId="7" fillId="14" borderId="97" xfId="0" applyNumberFormat="1" applyFont="1" applyFill="1" applyBorder="1"/>
    <x:xf numFmtId="0" fontId="7" fillId="14" borderId="98" xfId="0" applyNumberFormat="1" applyFont="1" applyFill="1" applyBorder="1"/>
    <x:xf numFmtId="0" fontId="7" fillId="14" borderId="105" xfId="0" applyNumberFormat="1" applyFont="1" applyFill="1" applyBorder="1"/>
    <x:xf numFmtId="203" fontId="0" fillId="23" borderId="3" xfId="0" applyNumberFormat="1" applyFont="1" applyFill="1" applyBorder="1"/>
    <x:xf numFmtId="203" fontId="0" fillId="23" borderId="4" xfId="0" applyNumberFormat="1" applyFont="1" applyFill="1" applyBorder="1"/>
    <x:xf numFmtId="203" fontId="0" fillId="23" borderId="66" xfId="0" applyNumberFormat="1" applyFont="1" applyFill="1" applyBorder="1"/>
    <x:xf numFmtId="203" fontId="0" fillId="23" borderId="67" xfId="0" applyNumberFormat="1" applyFont="1" applyFill="1" applyBorder="1"/>
    <x:xf numFmtId="203" fontId="1" fillId="23" borderId="28" xfId="0" applyNumberFormat="1" applyFont="1" applyFill="1" applyBorder="1" applyAlignment="1">
      <x:alignment horizontal="right" vertical="center" wrapText="1"/>
    </x:xf>
    <x:xf numFmtId="203" fontId="0" fillId="23" borderId="73" xfId="0" applyNumberFormat="1" applyFont="1" applyFill="1" applyBorder="1"/>
    <x:xf numFmtId="203" fontId="0" fillId="23" borderId="74" xfId="0" applyNumberFormat="1" applyFont="1" applyFill="1" applyBorder="1"/>
    <x:xf numFmtId="203" fontId="1" fillId="23" borderId="78" xfId="0" applyNumberFormat="1" applyFont="1" applyFill="1" applyBorder="1" applyAlignment="1">
      <x:alignment horizontal="right" vertical="center" wrapText="1"/>
    </x:xf>
    <x:xf numFmtId="203" fontId="0" fillId="23" borderId="82" xfId="0" applyNumberFormat="1" applyFont="1" applyFill="1" applyBorder="1"/>
    <x:xf numFmtId="203" fontId="0" fillId="23" borderId="83" xfId="0" applyNumberFormat="1" applyFont="1" applyFill="1" applyBorder="1"/>
    <x:xf numFmtId="203" fontId="1" fillId="23" borderId="88" xfId="0" applyNumberFormat="1" applyFont="1" applyFill="1" applyBorder="1" applyAlignment="1">
      <x:alignment horizontal="right" vertical="center" wrapText="1"/>
    </x:xf>
    <x:xf numFmtId="203" fontId="1" fillId="23" borderId="89" xfId="0" applyNumberFormat="1" applyFont="1" applyFill="1" applyBorder="1" applyAlignment="1">
      <x:alignment horizontal="right" vertical="center" wrapText="1"/>
    </x:xf>
    <x:xf numFmtId="203" fontId="0" fillId="23" borderId="91" xfId="0" applyNumberFormat="1" applyFont="1" applyFill="1" applyBorder="1"/>
    <x:xf numFmtId="203" fontId="0" fillId="23" borderId="92" xfId="0" applyNumberFormat="1" applyFont="1" applyFill="1" applyBorder="1"/>
    <x:xf numFmtId="203" fontId="1" fillId="23" borderId="97" xfId="0" applyNumberFormat="1" applyFont="1" applyFill="1" applyBorder="1" applyAlignment="1">
      <x:alignment horizontal="right" vertical="center" wrapText="1"/>
    </x:xf>
    <x:xf numFmtId="203" fontId="1" fillId="23" borderId="98" xfId="0" applyNumberFormat="1" applyFont="1" applyFill="1" applyBorder="1" applyAlignment="1">
      <x:alignment horizontal="right" vertical="center" wrapText="1"/>
    </x:xf>
    <x:xf numFmtId="0" fontId="1" fillId="11" borderId="90" xfId="0" applyNumberFormat="1" applyFont="1" applyFill="1" applyBorder="1" applyAlignment="1">
      <x:alignment horizontal="left" vertical="center" wrapText="1"/>
    </x:xf>
    <x:xf numFmtId="0" fontId="1" fillId="11" borderId="91" xfId="0" applyNumberFormat="1" applyFont="1" applyFill="1" applyBorder="1" applyAlignment="1">
      <x:alignment vertical="center" wrapText="1"/>
    </x:xf>
    <x:xf numFmtId="203" fontId="1" fillId="11" borderId="91" xfId="0" applyNumberFormat="1" applyFont="1" applyFill="1" applyBorder="1" applyAlignment="1">
      <x:alignment horizontal="right" vertical="center" wrapText="1"/>
    </x:xf>
    <x:xf numFmtId="203" fontId="1" fillId="11" borderId="92" xfId="0" applyNumberFormat="1" applyFont="1" applyFill="1" applyBorder="1" applyAlignment="1">
      <x:alignment horizontal="right" vertical="center" wrapText="1"/>
    </x:xf>
    <x:xf numFmtId="0" fontId="7" fillId="11" borderId="90" xfId="0" applyNumberFormat="1" applyFont="1" applyFill="1" applyBorder="1" applyAlignment="1">
      <x:alignment horizontal="left" vertical="center" wrapText="1"/>
    </x:xf>
    <x:xf numFmtId="0" fontId="7" fillId="11" borderId="91" xfId="0" applyNumberFormat="1" applyFont="1" applyFill="1" applyBorder="1" applyAlignment="1">
      <x:alignment vertical="center" wrapText="1"/>
    </x:xf>
    <x:xf numFmtId="203" fontId="7" fillId="11" borderId="91" xfId="0" applyNumberFormat="1" applyFont="1" applyFill="1" applyBorder="1" applyAlignment="1">
      <x:alignment horizontal="right" vertical="center" wrapText="1"/>
    </x:xf>
    <x:xf numFmtId="203" fontId="7" fillId="11" borderId="92" xfId="0" applyNumberFormat="1" applyFont="1" applyFill="1" applyBorder="1" applyAlignment="1">
      <x:alignment horizontal="right" vertical="center" wrapText="1"/>
    </x:xf>
    <x:xf numFmtId="0" fontId="7" fillId="23" borderId="97" xfId="0" applyNumberFormat="1" applyFont="1" applyFill="1" applyBorder="1" applyAlignment="1">
      <x:alignment vertical="center" wrapText="1"/>
    </x:xf>
    <x:xf numFmtId="203" fontId="7" fillId="23" borderId="97" xfId="0" applyNumberFormat="1" applyFont="1" applyFill="1" applyBorder="1" applyAlignment="1">
      <x:alignment horizontal="right" vertical="center" wrapText="1"/>
    </x:xf>
    <x:xf numFmtId="203" fontId="7" fillId="23" borderId="97" xfId="0" applyNumberFormat="1" applyFont="1" applyFill="1" applyBorder="1" applyAlignment="1">
      <x:alignment vertical="center" wrapText="1"/>
    </x:xf>
    <x:xf numFmtId="203" fontId="1" fillId="14" borderId="94" xfId="0" applyNumberFormat="1" applyFont="1" applyFill="1" applyBorder="1" applyAlignment="1">
      <x:alignment horizontal="right" vertical="center" wrapText="1"/>
    </x:xf>
    <x:xf numFmtId="203" fontId="7" fillId="14" borderId="94" xfId="0" applyNumberFormat="1" applyFont="1" applyFill="1" applyBorder="1" applyAlignment="1">
      <x:alignment horizontal="right" vertical="center" wrapText="1"/>
    </x:xf>
    <x:xf numFmtId="0" fontId="7" fillId="14" borderId="114" xfId="0" applyNumberFormat="1" applyFont="1" applyFill="1" applyBorder="1" applyAlignment="1">
      <x:alignment horizontal="left" vertical="center" wrapText="1"/>
    </x:xf>
    <x:xf numFmtId="203" fontId="7" fillId="14" borderId="115" xfId="0" applyNumberFormat="1" applyFont="1" applyFill="1" applyBorder="1" applyAlignment="1">
      <x:alignment vertical="center" wrapText="1"/>
    </x:xf>
    <x:xf numFmtId="203" fontId="7" fillId="14" borderId="115" xfId="0" applyNumberFormat="1" applyFont="1" applyFill="1" applyBorder="1" applyAlignment="1">
      <x:alignment horizontal="right" vertical="center" wrapText="1"/>
    </x:xf>
    <x:xf numFmtId="0" fontId="24" fillId="14" borderId="96" xfId="0" applyNumberFormat="1" applyFont="1" applyFill="1" applyBorder="1" applyAlignment="1">
      <x:alignment horizontal="left" vertical="center" wrapText="1"/>
    </x:xf>
    <x:xf numFmtId="203" fontId="24" fillId="14" borderId="97" xfId="0" applyNumberFormat="1" applyFont="1" applyFill="1" applyBorder="1" applyAlignment="1">
      <x:alignment horizontal="right" vertical="center" wrapText="1"/>
    </x:xf>
    <x:xf numFmtId="203" fontId="24" fillId="14" borderId="97" xfId="0" applyNumberFormat="1" applyFont="1" applyFill="1" applyBorder="1" applyAlignment="1">
      <x:alignment vertical="center" wrapText="1"/>
    </x:xf>
    <x:xf numFmtId="203" fontId="24" fillId="14" borderId="98" xfId="0" applyNumberFormat="1" applyFont="1" applyFill="1" applyBorder="1" applyAlignment="1">
      <x:alignment vertical="center" wrapText="1"/>
    </x:xf>
    <x:xf numFmtId="203" fontId="21" fillId="23" borderId="94" xfId="0" applyNumberFormat="1" applyFont="1" applyFill="1" applyBorder="1" applyAlignment="1">
      <x:alignment horizontal="right" vertical="center" wrapText="1"/>
    </x:xf>
    <x:xf numFmtId="203" fontId="7" fillId="11" borderId="91" xfId="0" applyNumberFormat="1" applyFont="1" applyFill="1" applyBorder="1" applyAlignment="1">
      <x:alignment vertical="center" wrapText="1"/>
    </x:xf>
    <x:xf numFmtId="203" fontId="7" fillId="3" borderId="46" xfId="0" applyNumberFormat="1" applyFont="1" applyFill="1" applyBorder="1" applyAlignment="1">
      <x:alignment horizontal="left" vertical="center" wrapText="1"/>
    </x:xf>
    <x:xf numFmtId="203" fontId="1" fillId="3" borderId="49" xfId="0" applyNumberFormat="1" applyFont="1" applyFill="1" applyBorder="1" applyAlignment="1">
      <x:alignment horizontal="left" vertical="center" wrapText="1"/>
    </x:xf>
    <x:xf numFmtId="203" fontId="7" fillId="14" borderId="46" xfId="0" applyNumberFormat="1" applyFont="1" applyFill="1" applyBorder="1" applyAlignment="1">
      <x:alignment horizontal="left" vertical="center" wrapText="1"/>
    </x:xf>
    <x:xf numFmtId="203" fontId="7" fillId="3" borderId="49" xfId="0" applyNumberFormat="1" applyFont="1" applyFill="1" applyBorder="1" applyAlignment="1">
      <x:alignment horizontal="left" vertical="center" wrapText="1"/>
    </x:xf>
    <x:xf numFmtId="203" fontId="7" fillId="11" borderId="49" xfId="0" applyNumberFormat="1" applyFont="1" applyFill="1" applyBorder="1" applyAlignment="1">
      <x:alignment horizontal="left" vertical="center" wrapText="1"/>
    </x:xf>
    <x:xf numFmtId="203" fontId="7" fillId="11" borderId="61" xfId="0" applyNumberFormat="1" applyFont="1" applyFill="1" applyBorder="1" applyAlignment="1">
      <x:alignment horizontal="left" vertical="center" wrapText="1"/>
    </x:xf>
    <x:xf numFmtId="0" fontId="37" fillId="38" borderId="22" xfId="0" applyNumberFormat="1" applyFont="1" applyFill="1" applyBorder="1" applyAlignment="1">
      <x:alignment horizontal="center" vertical="center" wrapText="1"/>
    </x:xf>
    <x:xf numFmtId="203" fontId="37" fillId="38" borderId="22" xfId="0" applyNumberFormat="1" applyFont="1" applyFill="1" applyBorder="1" applyAlignment="1">
      <x:alignment horizontal="center" vertical="center" wrapText="1"/>
    </x:xf>
    <x:xf numFmtId="203" fontId="1" fillId="38" borderId="22" xfId="0" applyNumberFormat="1" applyFont="1" applyFill="1" applyBorder="1" applyAlignment="1">
      <x:alignment horizontal="right" vertical="center" wrapText="1"/>
    </x:xf>
    <x:xf numFmtId="203" fontId="37" fillId="38" borderId="22" xfId="0" applyNumberFormat="1" applyFont="1" applyFill="1" applyBorder="1" applyAlignment="1">
      <x:alignment horizontal="right" vertical="center" wrapText="1"/>
    </x:xf>
    <x:xf numFmtId="0" fontId="7" fillId="39" borderId="22" xfId="0" applyNumberFormat="1" applyFont="1" applyFill="1" applyBorder="1" applyAlignment="1">
      <x:alignment horizontal="center" vertical="center" wrapText="0"/>
    </x:xf>
    <x:xf numFmtId="203" fontId="7" fillId="39" borderId="22" xfId="0" applyNumberFormat="1" applyFont="1" applyFill="1" applyBorder="1" applyAlignment="1">
      <x:alignment horizontal="center" vertical="center" wrapText="1"/>
    </x:xf>
    <x:xf numFmtId="203" fontId="7" fillId="39" borderId="22" xfId="0" applyNumberFormat="1" applyFont="1" applyFill="1" applyBorder="1" applyAlignment="1">
      <x:alignment horizontal="right" vertical="center" wrapText="1"/>
    </x:xf>
    <x:xf numFmtId="0" fontId="7" fillId="38" borderId="22" xfId="0" applyNumberFormat="1" applyFont="1" applyFill="1" applyBorder="1" applyAlignment="1">
      <x:alignment vertical="center" wrapText="1"/>
    </x:xf>
    <x:xf numFmtId="0" fontId="5" fillId="38" borderId="22" xfId="0" applyNumberFormat="1" applyFont="1" applyFill="1" applyBorder="1" applyAlignment="1">
      <x:alignment horizontal="left" vertical="center" wrapText="1"/>
    </x:xf>
    <x:xf numFmtId="203" fontId="5" fillId="38" borderId="22" xfId="0" applyNumberFormat="1" applyFont="1" applyFill="1" applyBorder="1" applyAlignment="1">
      <x:alignment vertical="center" wrapText="1"/>
    </x:xf>
    <x:xf numFmtId="203" fontId="5" fillId="38" borderId="22" xfId="0" applyNumberFormat="1" applyFont="1" applyFill="1" applyBorder="1" applyAlignment="1">
      <x:alignment horizontal="right" vertical="center" wrapText="1"/>
    </x:xf>
    <x:xf numFmtId="0" fontId="5" fillId="38" borderId="22" xfId="0" applyNumberFormat="1" applyFont="1" applyFill="1" applyBorder="1" applyAlignment="1">
      <x:alignment vertical="center" wrapText="1"/>
    </x:xf>
    <x:xf numFmtId="0" fontId="1" fillId="40" borderId="22" xfId="0" applyNumberFormat="1" applyFont="1" applyFill="1" applyBorder="1" applyAlignment="1">
      <x:alignment vertical="center" wrapText="1"/>
    </x:xf>
    <x:xf numFmtId="0" fontId="26" fillId="40" borderId="90" xfId="0" applyNumberFormat="1" applyFont="1" applyFill="1" applyBorder="1" applyAlignment="1">
      <x:alignment horizontal="center" vertical="center" wrapText="1"/>
    </x:xf>
    <x:xf numFmtId="203" fontId="26" fillId="40" borderId="91" xfId="0" applyNumberFormat="1" applyFont="1" applyFill="1" applyBorder="1" applyAlignment="1">
      <x:alignment horizontal="center" vertical="center" wrapText="1"/>
    </x:xf>
    <x:xf numFmtId="0" fontId="26" fillId="40" borderId="22" xfId="0" applyNumberFormat="1" applyFont="1" applyFill="1" applyBorder="1" applyAlignment="1">
      <x:alignment vertical="center" wrapText="1"/>
    </x:xf>
    <x:xf numFmtId="0" fontId="26" fillId="40" borderId="22" xfId="0" applyNumberFormat="1" applyFont="1" applyFill="1" applyBorder="1" applyAlignment="1">
      <x:alignment horizontal="center" vertical="center" wrapText="1"/>
    </x:xf>
    <x:xf numFmtId="203" fontId="26" fillId="40" borderId="92" xfId="0" applyNumberFormat="1" applyFont="1" applyFill="1" applyBorder="1" applyAlignment="1">
      <x:alignment horizontal="center" vertical="center" wrapText="1"/>
    </x:xf>
    <x:xf numFmtId="0" fontId="26" fillId="40" borderId="30" xfId="0" applyNumberFormat="1" applyFont="1" applyFill="1" applyBorder="1" applyAlignment="1">
      <x:alignment horizontal="center" vertical="center" wrapText="1"/>
    </x:xf>
    <x:xf numFmtId="0" fontId="26" fillId="40" borderId="116" xfId="0" applyNumberFormat="1" applyFont="1" applyFill="1" applyBorder="1" applyAlignment="1">
      <x:alignment horizontal="center" vertical="center" wrapText="1"/>
    </x:xf>
    <x:xf numFmtId="203" fontId="26" fillId="40" borderId="117" xfId="0" applyNumberFormat="1" applyFont="1" applyFill="1" applyBorder="1" applyAlignment="1">
      <x:alignment horizontal="center" vertical="center" wrapText="1"/>
    </x:xf>
    <x:xf numFmtId="203" fontId="26" fillId="40" borderId="118" xfId="0" applyNumberFormat="1" applyFont="1" applyFill="1" applyBorder="1" applyAlignment="1">
      <x:alignment horizontal="center" vertical="center" wrapText="1"/>
    </x:xf>
    <x:xf numFmtId="0" fontId="7" fillId="3" borderId="119" xfId="0" applyNumberFormat="1" applyFont="1" applyFill="1" applyBorder="1" applyAlignment="1">
      <x:alignment horizontal="left" vertical="center" wrapText="1"/>
    </x:xf>
    <x:xf numFmtId="203" fontId="7" fillId="23" borderId="120" xfId="0" applyNumberFormat="1" applyFont="1" applyFill="1" applyBorder="1" applyAlignment="1">
      <x:alignment vertical="center" wrapText="1"/>
    </x:xf>
    <x:xf numFmtId="205" fontId="7" fillId="23" borderId="120" xfId="0" applyNumberFormat="1" applyFont="1" applyFill="1" applyBorder="1" applyAlignment="1">
      <x:alignment horizontal="right" vertical="center" wrapText="1"/>
    </x:xf>
    <x:xf numFmtId="203" fontId="7" fillId="23" borderId="120" xfId="0" applyNumberFormat="1" applyFont="1" applyFill="1" applyBorder="1" applyAlignment="1">
      <x:alignment horizontal="right" vertical="center" wrapText="1"/>
    </x:xf>
    <x:xf numFmtId="203" fontId="7" fillId="3" borderId="121" xfId="0" applyNumberFormat="1" applyFont="1" applyFill="1" applyBorder="1" applyAlignment="1">
      <x:alignment horizontal="right" vertical="center" wrapText="1"/>
    </x:xf>
    <x:xf numFmtId="203" fontId="1" fillId="23" borderId="120" xfId="0" applyNumberFormat="1" applyFont="1" applyFill="1" applyBorder="1" applyAlignment="1">
      <x:alignment horizontal="right" vertical="center" wrapText="1"/>
    </x:xf>
    <x:xf numFmtId="203" fontId="1" fillId="3" borderId="121" xfId="0" applyNumberFormat="1" applyFont="1" applyFill="1" applyBorder="1" applyAlignment="1">
      <x:alignment horizontal="right" vertical="center" wrapText="1"/>
    </x:xf>
    <x:xf numFmtId="0" fontId="1" fillId="3" borderId="119" xfId="0" applyNumberFormat="1" applyFont="1" applyFill="1" applyBorder="1" applyAlignment="1">
      <x:alignment horizontal="left" vertical="center" wrapText="1"/>
    </x:xf>
    <x:xf numFmtId="203" fontId="1" fillId="23" borderId="120" xfId="0" applyNumberFormat="1" applyFont="1" applyFill="1" applyBorder="1" applyAlignment="1">
      <x:alignment vertical="center" wrapText="1"/>
    </x:xf>
    <x:xf numFmtId="205" fontId="1" fillId="23" borderId="120" xfId="0" applyNumberFormat="1" applyFont="1" applyFill="1" applyBorder="1" applyAlignment="1">
      <x:alignment horizontal="right" vertical="center" wrapText="1"/>
    </x:xf>
    <x:xf numFmtId="0" fontId="7" fillId="14" borderId="122" xfId="0" applyNumberFormat="1" applyFont="1" applyFill="1" applyBorder="1" applyAlignment="1">
      <x:alignment horizontal="left" vertical="center" wrapText="1"/>
    </x:xf>
    <x:xf numFmtId="203" fontId="7" fillId="14" borderId="123" xfId="0" applyNumberFormat="1" applyFont="1" applyFill="1" applyBorder="1" applyAlignment="1">
      <x:alignment vertical="center" wrapText="1"/>
    </x:xf>
    <x:xf numFmtId="203" fontId="7" fillId="14" borderId="123" xfId="0" applyNumberFormat="1" applyFont="1" applyFill="1" applyBorder="1" applyAlignment="1">
      <x:alignment horizontal="right" vertical="center" wrapText="1"/>
    </x:xf>
    <x:xf numFmtId="203" fontId="7" fillId="14" borderId="124" xfId="0" applyNumberFormat="1" applyFont="1" applyFill="1" applyBorder="1" applyAlignment="1">
      <x:alignment horizontal="right" vertical="center" wrapText="1"/>
    </x:xf>
    <x:xf numFmtId="0" fontId="26" fillId="40" borderId="72" xfId="0" applyNumberFormat="1" applyFont="1" applyFill="1" applyBorder="1" applyAlignment="1">
      <x:alignment horizontal="center" vertical="center" wrapText="1"/>
    </x:xf>
    <x:xf numFmtId="0" fontId="26" fillId="40" borderId="81" xfId="0" applyNumberFormat="1" applyFont="1" applyFill="1" applyBorder="1" applyAlignment="1">
      <x:alignment horizontal="center" vertical="center" wrapText="1"/>
    </x:xf>
    <x:xf numFmtId="0" fontId="26" fillId="40" borderId="82" xfId="0" applyNumberFormat="1" applyFont="1" applyFill="1" applyBorder="1" applyAlignment="1">
      <x:alignment horizontal="center" vertical="center" wrapText="1"/>
    </x:xf>
    <x:xf numFmtId="203" fontId="26" fillId="40" borderId="82" xfId="0" applyNumberFormat="1" applyFont="1" applyFill="1" applyBorder="1" applyAlignment="1">
      <x:alignment horizontal="center" vertical="center" wrapText="1"/>
    </x:xf>
    <x:xf numFmtId="203" fontId="26" fillId="40" borderId="83" xfId="0" applyNumberFormat="1" applyFont="1" applyFill="1" applyBorder="1" applyAlignment="1">
      <x:alignment horizontal="center" vertical="center" wrapText="1"/>
    </x:xf>
    <x:xf numFmtId="0" fontId="7" fillId="3" borderId="84" xfId="0" applyNumberFormat="1" applyFont="1" applyFill="1" applyBorder="1" applyAlignment="1">
      <x:alignment vertical="center" wrapText="1"/>
    </x:xf>
    <x:xf numFmtId="0" fontId="7" fillId="3" borderId="85" xfId="0" applyNumberFormat="1" applyFont="1" applyFill="1" applyBorder="1" applyAlignment="1">
      <x:alignment horizontal="left" vertical="center" wrapText="1"/>
    </x:xf>
    <x:xf numFmtId="203" fontId="7" fillId="23" borderId="85" xfId="0" applyNumberFormat="1" applyFont="1" applyFill="1" applyBorder="1" applyAlignment="1">
      <x:alignment vertical="center" wrapText="1"/>
    </x:xf>
    <x:xf numFmtId="205" fontId="7" fillId="23" borderId="85" xfId="0" applyNumberFormat="1" applyFont="1" applyFill="1" applyBorder="1" applyAlignment="1">
      <x:alignment horizontal="right" vertical="center" wrapText="1"/>
    </x:xf>
    <x:xf numFmtId="203" fontId="7" fillId="23" borderId="85" xfId="0" applyNumberFormat="1" applyFont="1" applyFill="1" applyBorder="1" applyAlignment="1">
      <x:alignment horizontal="right" vertical="center" wrapText="1"/>
    </x:xf>
    <x:xf numFmtId="203" fontId="1" fillId="23" borderId="85" xfId="0" applyNumberFormat="1" applyFont="1" applyFill="1" applyBorder="1" applyAlignment="1">
      <x:alignment horizontal="right" vertical="center" wrapText="1"/>
    </x:xf>
    <x:xf numFmtId="0" fontId="1" fillId="3" borderId="84" xfId="0" applyNumberFormat="1" applyFont="1" applyFill="1" applyBorder="1" applyAlignment="1">
      <x:alignment vertical="center" wrapText="1"/>
    </x:xf>
    <x:xf numFmtId="0" fontId="1" fillId="3" borderId="85" xfId="0" applyNumberFormat="1" applyFont="1" applyFill="1" applyBorder="1" applyAlignment="1">
      <x:alignment horizontal="left" vertical="center" wrapText="1"/>
    </x:xf>
    <x:xf numFmtId="203" fontId="1" fillId="23" borderId="85" xfId="0" applyNumberFormat="1" applyFont="1" applyFill="1" applyBorder="1" applyAlignment="1">
      <x:alignment vertical="center" wrapText="1"/>
    </x:xf>
    <x:xf numFmtId="205" fontId="1" fillId="23" borderId="85" xfId="0" applyNumberFormat="1" applyFont="1" applyFill="1" applyBorder="1" applyAlignment="1">
      <x:alignment horizontal="right" vertical="center" wrapText="1"/>
    </x:xf>
    <x:xf numFmtId="0" fontId="1" fillId="3" borderId="87" xfId="0" applyNumberFormat="1" applyFont="1" applyFill="1" applyBorder="1" applyAlignment="1">
      <x:alignment vertical="center" wrapText="1"/>
    </x:xf>
    <x:xf numFmtId="0" fontId="7" fillId="14" borderId="88" xfId="0" applyNumberFormat="1" applyFont="1" applyFill="1" applyBorder="1" applyAlignment="1">
      <x:alignment horizontal="left" vertical="center" wrapText="1"/>
    </x:xf>
    <x:xf numFmtId="203" fontId="7" fillId="14" borderId="88" xfId="0" applyNumberFormat="1" applyFont="1" applyFill="1" applyBorder="1" applyAlignment="1">
      <x:alignment vertical="center" wrapText="1"/>
    </x:xf>
    <x:xf numFmtId="203" fontId="7" fillId="14" borderId="88" xfId="0" applyNumberFormat="1" applyFont="1" applyFill="1" applyBorder="1" applyAlignment="1">
      <x:alignment horizontal="right" vertical="center" wrapText="1"/>
    </x:xf>
    <x:xf numFmtId="203" fontId="7" fillId="14" borderId="89" xfId="0" applyNumberFormat="1" applyFont="1" applyFill="1" applyBorder="1" applyAlignment="1">
      <x:alignment horizontal="right" vertical="center" wrapText="1"/>
    </x:xf>
    <x:xf numFmtId="0" fontId="26" fillId="40" borderId="91" xfId="0" applyNumberFormat="1" applyFont="1" applyFill="1" applyBorder="1" applyAlignment="1">
      <x:alignment horizontal="center" vertical="center" wrapText="1"/>
    </x:xf>
    <x:xf numFmtId="0" fontId="7" fillId="3" borderId="93" xfId="0" applyNumberFormat="1" applyFont="1" applyFill="1" applyBorder="1" applyAlignment="1">
      <x:alignment vertical="center" wrapText="1"/>
    </x:xf>
    <x:xf numFmtId="0" fontId="7" fillId="3" borderId="94" xfId="0" applyNumberFormat="1" applyFont="1" applyFill="1" applyBorder="1" applyAlignment="1">
      <x:alignment horizontal="left" vertical="center" wrapText="1"/>
    </x:xf>
    <x:xf numFmtId="0" fontId="1" fillId="3" borderId="93" xfId="0" applyNumberFormat="1" applyFont="1" applyFill="1" applyBorder="1" applyAlignment="1">
      <x:alignment vertical="center" wrapText="1"/>
    </x:xf>
    <x:xf numFmtId="0" fontId="1" fillId="3" borderId="94" xfId="0" applyNumberFormat="1" applyFont="1" applyFill="1" applyBorder="1" applyAlignment="1">
      <x:alignment horizontal="left" vertical="center" wrapText="1"/>
    </x:xf>
    <x:xf numFmtId="0" fontId="1" fillId="3" borderId="96" xfId="0" applyNumberFormat="1" applyFont="1" applyFill="1" applyBorder="1" applyAlignment="1">
      <x:alignment vertical="center" wrapText="1"/>
    </x:xf>
    <x:xf numFmtId="0" fontId="7" fillId="14" borderId="97" xfId="0" applyNumberFormat="1" applyFont="1" applyFill="1" applyBorder="1" applyAlignment="1">
      <x:alignment horizontal="left" vertical="center" wrapText="1"/>
    </x:xf>
    <x:xf numFmtId="0" fontId="7" fillId="41" borderId="94" xfId="0" applyNumberFormat="1" applyFont="1" applyFill="1" applyBorder="1" applyAlignment="1">
      <x:alignment horizontal="left" vertical="center" wrapText="1"/>
    </x:xf>
    <x:xf numFmtId="203" fontId="7" fillId="41" borderId="94" xfId="0" applyNumberFormat="1" applyFont="1" applyFill="1" applyBorder="1" applyAlignment="1">
      <x:alignment vertical="center" wrapText="1"/>
    </x:xf>
    <x:xf numFmtId="205" fontId="7" fillId="41" borderId="94" xfId="0" applyNumberFormat="1" applyFont="1" applyFill="1" applyBorder="1" applyAlignment="1">
      <x:alignment horizontal="right" vertical="center" wrapText="1"/>
    </x:xf>
    <x:xf numFmtId="203" fontId="7" fillId="41" borderId="94" xfId="0" applyNumberFormat="1" applyFont="1" applyFill="1" applyBorder="1" applyAlignment="1">
      <x:alignment horizontal="right" vertical="center" wrapText="1"/>
    </x:xf>
    <x:xf numFmtId="203" fontId="1" fillId="41" borderId="94" xfId="0" applyNumberFormat="1" applyFont="1" applyFill="1" applyBorder="1" applyAlignment="1">
      <x:alignment horizontal="right" vertical="center" wrapText="1"/>
    </x:xf>
    <x:xf numFmtId="0" fontId="1" fillId="41" borderId="94" xfId="0" applyNumberFormat="1" applyFont="1" applyFill="1" applyBorder="1" applyAlignment="1">
      <x:alignment horizontal="left" vertical="center" wrapText="1"/>
    </x:xf>
    <x:xf numFmtId="203" fontId="1" fillId="41" borderId="94" xfId="0" applyNumberFormat="1" applyFont="1" applyFill="1" applyBorder="1" applyAlignment="1">
      <x:alignment vertical="center" wrapText="1"/>
    </x:xf>
    <x:xf numFmtId="205" fontId="1" fillId="41" borderId="94" xfId="0" applyNumberFormat="1" applyFont="1" applyFill="1" applyBorder="1" applyAlignment="1">
      <x:alignment horizontal="right" vertical="center" wrapText="1"/>
    </x:xf>
    <x:xf numFmtId="203" fontId="7" fillId="41" borderId="95" xfId="0" applyNumberFormat="1" applyFont="1" applyFill="1" applyBorder="1" applyAlignment="1">
      <x:alignment horizontal="right" vertical="center" wrapText="1"/>
    </x:xf>
    <x:xf numFmtId="203" fontId="1" fillId="41" borderId="95" xfId="0" applyNumberFormat="1" applyFont="1" applyFill="1" applyBorder="1" applyAlignment="1">
      <x:alignment horizontal="right" vertical="center" wrapText="1"/>
    </x:xf>
    <x:xf numFmtId="205" fontId="7" fillId="41" borderId="94" xfId="0" applyNumberFormat="1" applyFont="1" applyFill="1" applyBorder="1" applyAlignment="1">
      <x:alignment vertical="center" wrapText="1"/>
    </x:xf>
    <x:xf numFmtId="205" fontId="1" fillId="41" borderId="94" xfId="0" applyNumberFormat="1" applyFont="1" applyFill="1" applyBorder="1" applyAlignment="1">
      <x:alignment vertical="center" wrapText="1"/>
    </x:xf>
    <x:xf numFmtId="0" fontId="1" fillId="42" borderId="96" xfId="0" applyNumberFormat="1" applyFont="1" applyFill="1" applyBorder="1" applyAlignment="1">
      <x:alignment vertical="center" wrapText="1"/>
    </x:xf>
    <x:xf numFmtId="0" fontId="7" fillId="42" borderId="97" xfId="0" applyNumberFormat="1" applyFont="1" applyFill="1" applyBorder="1" applyAlignment="1">
      <x:alignment horizontal="left" vertical="center" wrapText="1"/>
    </x:xf>
    <x:xf numFmtId="203" fontId="7" fillId="42" borderId="97" xfId="0" applyNumberFormat="1" applyFont="1" applyFill="1" applyBorder="1" applyAlignment="1">
      <x:alignment vertical="center" wrapText="1"/>
    </x:xf>
    <x:xf numFmtId="203" fontId="7" fillId="42" borderId="97" xfId="0" applyNumberFormat="1" applyFont="1" applyFill="1" applyBorder="1" applyAlignment="1">
      <x:alignment horizontal="right" vertical="center" wrapText="1"/>
    </x:xf>
    <x:xf numFmtId="203" fontId="7" fillId="42" borderId="98" xfId="0" applyNumberFormat="1" applyFont="1" applyFill="1" applyBorder="1" applyAlignment="1">
      <x:alignment horizontal="right" vertical="center" wrapText="1"/>
    </x:xf>
    <x:xf numFmtId="0" fontId="7" fillId="42" borderId="96" xfId="0" applyNumberFormat="1" applyFont="1" applyFill="1" applyBorder="1" applyAlignment="1">
      <x:alignment vertical="center" wrapText="1"/>
    </x:xf>
    <x:xf numFmtId="0" fontId="7" fillId="42" borderId="104" xfId="0" applyNumberFormat="1" applyFont="1" applyFill="1" applyBorder="1" applyAlignment="1">
      <x:alignment vertical="center" wrapText="1"/>
    </x:xf>
    <x:xf numFmtId="0" fontId="7" fillId="42" borderId="105" xfId="0" applyNumberFormat="1" applyFont="1" applyFill="1" applyBorder="1" applyAlignment="1">
      <x:alignment horizontal="left" vertical="center" wrapText="1"/>
    </x:xf>
    <x:xf numFmtId="203" fontId="7" fillId="42" borderId="105" xfId="0" applyNumberFormat="1" applyFont="1" applyFill="1" applyBorder="1" applyAlignment="1">
      <x:alignment vertical="center" wrapText="1"/>
    </x:xf>
    <x:xf numFmtId="203" fontId="7" fillId="42" borderId="105" xfId="0" applyNumberFormat="1" applyFont="1" applyFill="1" applyBorder="1" applyAlignment="1">
      <x:alignment horizontal="right" vertical="center" wrapText="1"/>
    </x:xf>
    <x:xf numFmtId="203" fontId="24" fillId="38" xfId="0" applyNumberFormat="1" applyFont="1" applyFill="1" applyBorder="0" applyAlignment="1">
      <x:alignment vertical="center" wrapText="1"/>
    </x:xf>
    <x:xf numFmtId="203" fontId="37" fillId="38" xfId="0" applyNumberFormat="1" applyFont="1" applyFill="1" applyBorder="0" applyAlignment="1">
      <x:alignment vertical="center" wrapText="1"/>
    </x:xf>
    <x:xf numFmtId="203" fontId="37" fillId="38" xfId="0" applyNumberFormat="1" applyFont="1" applyFill="1" applyBorder="0" applyAlignment="1">
      <x:alignment horizontal="center" vertical="center" wrapText="1"/>
    </x:xf>
    <x:xf numFmtId="203" fontId="7" fillId="39" xfId="0" applyNumberFormat="1" applyFont="1" applyFill="1" applyBorder="0" applyAlignment="1">
      <x:alignment horizontal="left" vertical="center" wrapText="0"/>
    </x:xf>
    <x:xf numFmtId="203" fontId="7" fillId="39" xfId="0" applyNumberFormat="1" applyFont="1" applyFill="1" applyBorder="0" applyAlignment="1">
      <x:alignment horizontal="center" vertical="center" wrapText="0"/>
    </x:xf>
  </x:cellXfs>
  <x:cellStyles count="1">
    <x:cellStyle name="Normal" xfId="0"/>
  </x:cellStyles>
  <x:dxfs count="2">
    <x:dxf>
      <x:font>
        <x:b/>
        <x:color rgb="FF006100"/>
      </x:font>
      <x:fill>
        <x:patternFill>
          <x:bgColor rgb="FFE2F0D9"/>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5f2f4a030946a0" /><Relationship Type="http://schemas.openxmlformats.org/officeDocument/2006/relationships/theme" Target="/xl/theme/theme1.xml" Id="R2685bf176b53414d" /><Relationship Type="http://schemas.openxmlformats.org/officeDocument/2006/relationships/sharedStrings" Target="/xl/sharedStrings.xml" Id="R1cae41cf01b34cb7" /><Relationship Type="http://schemas.openxmlformats.org/officeDocument/2006/relationships/worksheet" Target="/xl/worksheets/sheet1.xml" Id="R100e1ddb28334677" /><Relationship Type="http://schemas.openxmlformats.org/officeDocument/2006/relationships/worksheet" Target="/xl/worksheets/sheet2.xml" Id="R598b9f00f1774588" /><Relationship Type="http://schemas.openxmlformats.org/officeDocument/2006/relationships/worksheet" Target="/xl/worksheets/sheet3.xml" Id="R5b0450f678fe4732" /><Relationship Type="http://schemas.openxmlformats.org/officeDocument/2006/relationships/worksheet" Target="/xl/worksheets/sheet4.xml" Id="R2e94bd3b5a9944ee" /><Relationship Type="http://schemas.openxmlformats.org/officeDocument/2006/relationships/worksheet" Target="/xl/worksheets/sheet5.xml" Id="R638976ffd9bd48bc" /><Relationship Type="http://schemas.openxmlformats.org/officeDocument/2006/relationships/worksheet" Target="/xl/worksheets/sheet6.xml" Id="R3f7adc4838974091" /><Relationship Type="http://schemas.openxmlformats.org/officeDocument/2006/relationships/worksheet" Target="/xl/worksheets/sheet7.xml" Id="R46c89006307d4692" /><Relationship Type="http://schemas.openxmlformats.org/officeDocument/2006/relationships/worksheet" Target="/xl/worksheets/sheet8.xml" Id="R4356117c00c247d3" /><Relationship Type="http://schemas.openxmlformats.org/officeDocument/2006/relationships/worksheet" Target="/xl/worksheets/sheet9.xml" Id="R71638cf5202c419e" /><Relationship Type="http://schemas.openxmlformats.org/officeDocument/2006/relationships/worksheet" Target="/xl/worksheets/sheet10.xml" Id="R3b6b4b386dff4c0a" /><Relationship Type="http://schemas.openxmlformats.org/officeDocument/2006/relationships/worksheet" Target="/xl/worksheets/sheet11.xml" Id="Ra687587ec633471b" /><Relationship Type="http://schemas.openxmlformats.org/officeDocument/2006/relationships/worksheet" Target="/xl/worksheets/sheet12.xml" Id="Rdeb57cf763844f5c" /><Relationship Type="http://schemas.openxmlformats.org/officeDocument/2006/relationships/worksheet" Target="/xl/worksheets/sheet13.xml" Id="R4a4ee9a016624cda" /><Relationship Type="http://schemas.openxmlformats.org/officeDocument/2006/relationships/worksheet" Target="/xl/worksheets/sheet14.xml" Id="R3df6465302844d9b" /><Relationship Type="http://schemas.openxmlformats.org/officeDocument/2006/relationships/worksheet" Target="/xl/worksheets/sheet15.xml" Id="Rbe70606edf404414" /><Relationship Type="http://schemas.openxmlformats.org/officeDocument/2006/relationships/worksheet" Target="/xl/worksheets/sheet16.xml" Id="R14bd3e7d662f4d16" /><Relationship Type="http://schemas.openxmlformats.org/officeDocument/2006/relationships/worksheet" Target="/xl/worksheets/sheet17.xml" Id="R0f0cba06e5634fe1" /><Relationship Type="http://schemas.openxmlformats.org/officeDocument/2006/relationships/worksheet" Target="/xl/worksheets/sheet18.xml" Id="Rcf73f596d3144d53" /><Relationship Type="http://schemas.openxmlformats.org/officeDocument/2006/relationships/worksheet" Target="/xl/worksheets/sheet19.xml" Id="R3050d6f2adbb43b6" /><Relationship Type="http://schemas.openxmlformats.org/officeDocument/2006/relationships/worksheet" Target="/xl/worksheets/sheet20.xml" Id="R748b283224284be3" /><Relationship Type="http://schemas.openxmlformats.org/officeDocument/2006/relationships/worksheet" Target="/xl/worksheets/sheet21.xml" Id="R5fb612f7635843ac" /><Relationship Type="http://schemas.openxmlformats.org/officeDocument/2006/relationships/worksheet" Target="/xl/worksheets/sheet22.xml" Id="Racf8b902884b4f3b" /><Relationship Type="http://schemas.openxmlformats.org/officeDocument/2006/relationships/worksheet" Target="/xl/worksheets/sheet23.xml" Id="R6c56f7b79abb4427" /><Relationship Type="http://schemas.openxmlformats.org/officeDocument/2006/relationships/worksheet" Target="/xl/worksheets/sheet24.xml" Id="R5655a654d7b449db" /><Relationship Type="http://schemas.openxmlformats.org/officeDocument/2006/relationships/worksheet" Target="/xl/worksheets/sheet25.xml" Id="R45a4b7559353434a" /><Relationship Type="http://schemas.openxmlformats.org/officeDocument/2006/relationships/worksheet" Target="/xl/worksheets/sheet26.xml" Id="Re1345d2c21e24f19" /><Relationship Type="http://schemas.openxmlformats.org/officeDocument/2006/relationships/worksheet" Target="/xl/worksheets/sheet27.xml" Id="Rb4f6a824ca5f43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000000953674316" hidden="0" customWidth="1"/>
    <x:col min="2" max="2" width="47.400001525878906" hidden="0" customWidth="1"/>
    <x:col min="3" max="3" width="35.599998474121094" hidden="0" customWidth="1"/>
    <x:col min="4" max="4" width="18" hidden="0" customWidth="1"/>
    <x:col min="5" max="5" width="20" hidden="0" customWidth="1"/>
    <x:col min="6" max="6" width="27" hidden="0" customWidth="1"/>
  </x:cols>
  <x:sheetData>
    <x:row r="1" ht="18" customHeight="1">
      <x:c r="A1" s="4"/>
      <x:c r="B1" s="4"/>
      <x:c r="C1" s="4"/>
      <x:c r="D1" s="4"/>
      <x:c r="E1" s="4"/>
      <x:c r="F1" s="4"/>
    </x:row>
    <x:row r="2" ht="22" customHeight="1">
      <x:c r="A2" s="4"/>
      <x:c r="B2" s="8" t="str">
        <x:v>Basic Information</x:v>
      </x:c>
      <x:c r="C2" s="8"/>
      <x:c r="D2" s="8"/>
      <x:c r="E2" s="8"/>
      <x:c r="F2" s="8"/>
    </x:row>
    <x:row r="3" ht="15" customHeight="1">
      <x:c r="A3" s="4"/>
      <x:c r="B3" s="4"/>
      <x:c r="C3" s="4"/>
      <x:c r="D3" s="4"/>
      <x:c r="E3" s="4"/>
      <x:c r="F3" s="4"/>
    </x:row>
    <x:row r="4" ht="16" customHeight="1">
      <x:c r="A4" s="4"/>
      <x:c r="B4" s="13" t="str">
        <x:v>Import Details</x:v>
      </x:c>
      <x:c r="C4" s="13"/>
      <x:c r="D4" s="4"/>
      <x:c r="E4" s="4"/>
      <x:c r="F4" s="4"/>
    </x:row>
    <x:row r="5" ht="36" customHeight="1">
      <x:c r="A5" s="4"/>
      <x:c r="B5" s="17" t="str">
        <x:v>XML File Path</x:v>
      </x:c>
      <x:c r="C5" s="25" t="str">
        <x:v>Select XML file to Import</x:v>
      </x:c>
      <x:c r="D5" s="25"/>
      <x:c r="E5" s="25" t="str">
        <x:v>Go To Index</x:v>
      </x:c>
      <x:c r="F5" s="25"/>
    </x:row>
    <x:row r="6" ht="15" customHeight="1">
      <x:c r="A6" s="4"/>
      <x:c r="B6" s="17" t="str">
        <x:v>File Name</x:v>
      </x:c>
      <x:c r="C6" s="17"/>
      <x:c r="D6" s="4"/>
      <x:c r="E6" s="4"/>
      <x:c r="F6" s="4"/>
    </x:row>
    <x:row r="7" ht="22" customHeight="1">
      <x:c r="A7" s="4"/>
      <x:c r="B7" s="17" t="str">
        <x:v>Company Name (Current Year)</x:v>
      </x:c>
      <x:c r="C7" s="17"/>
      <x:c r="D7" s="4"/>
      <x:c r="E7" s="25" t="str">
        <x:v>Save Mapping</x:v>
      </x:c>
      <x:c r="F7" s="25"/>
    </x:row>
    <x:row r="8" ht="15" customHeight="1">
      <x:c r="A8" s="4"/>
      <x:c r="B8" s="17" t="str">
        <x:v>Current Year End Date</x:v>
      </x:c>
      <x:c r="C8" s="20"/>
      <x:c r="D8" s="4"/>
      <x:c r="E8" s="4"/>
      <x:c r="F8" s="4"/>
    </x:row>
    <x:row r="9" ht="22" customHeight="1">
      <x:c r="A9" s="4"/>
      <x:c r="B9" s="17" t="str">
        <x:v>Company Name (Previous Year)</x:v>
      </x:c>
      <x:c r="C9" s="20"/>
      <x:c r="D9" s="4"/>
      <x:c r="E9" s="25" t="str">
        <x:v>Clear Data</x:v>
      </x:c>
      <x:c r="F9" s="25"/>
    </x:row>
    <x:row r="10" ht="15" customHeight="1">
      <x:c r="A10" s="4"/>
      <x:c r="B10" s="17" t="str">
        <x:v>Previous Year End Date</x:v>
      </x:c>
      <x:c r="C10" s="20"/>
      <x:c r="D10" s="4"/>
      <x:c r="E10" s="4"/>
      <x:c r="F10" s="4"/>
    </x:row>
    <x:row r="11" ht="15" customHeight="1">
      <x:c r="A11" s="4"/>
      <x:c r="B11" s="4"/>
      <x:c r="C11" s="4"/>
      <x:c r="D11" s="4"/>
      <x:c r="E11" s="4"/>
      <x:c r="F11" s="4"/>
    </x:row>
    <x:row r="12" ht="22" customHeight="1">
      <x:c r="A12" s="4"/>
      <x:c r="B12" s="13" t="str">
        <x:v>Entity Details</x:v>
      </x:c>
      <x:c r="C12" s="13"/>
      <x:c r="D12" s="4"/>
      <x:c r="E12" s="172" t="str">
        <x:v>Selected Financial Statements Group</x:v>
      </x:c>
      <x:c r="F12" s="172"/>
    </x:row>
    <x:row r="13" ht="22" customHeight="1">
      <x:c r="A13" s="4"/>
      <x:c r="B13" s="17" t="str">
        <x:v>Name of the Entity (Company Mailing Name)</x:v>
      </x:c>
      <x:c r="C13" s="17"/>
      <x:c r="D13" s="4"/>
      <x:c r="E13" s="432" t="str">
        <x:v>Selected Type</x:v>
      </x:c>
      <x:c r="F13" s="435" t="str">
        <x:f>C20</x:f>
        <x:v>Please Select</x:v>
      </x:c>
    </x:row>
    <x:row r="14" ht="22" customHeight="1">
      <x:c r="A14" s="4"/>
      <x:c r="B14" s="17" t="str">
        <x:v>Address</x:v>
      </x:c>
      <x:c r="C14" s="17"/>
      <x:c r="D14" s="4"/>
      <x:c r="E14" s="432" t="str">
        <x:v>Balance Sheet</x:v>
      </x:c>
      <x:c r="F14" s="436" t="str">
        <x:f>IF(C20="Non-Corporate Entity",HYPERLINK("#'NCE Balance Sheet'!B1","Open Balance Sheet"),IF(C20="Limited Liability Partnership",HYPERLINK("#'LLP Balance Sheet'!A1","Open Balance Sheet"),IF(C20="Company - Division I (Non-Ind AS)",HYPERLINK("#'Div I Balance Sheet'!A1","Open Balance Sheet"),IF(C20="Company - Division II (Ind AS)",HYPERLINK("#'Div II Balance Sheet'!A1","Open Balance Sheet"),IF(C20="NBFC - Division III (Ind AS)",HYPERLINK("#'Div III Balance Sheet'!A1","Open Balance Sheet"),"Select the Financial Statements Format")))))</x:f>
        <x:v>Select the Financial Statements Format</x:v>
      </x:c>
    </x:row>
    <x:row r="15" ht="22" customHeight="1">
      <x:c r="A15" s="4"/>
      <x:c r="B15" s="17" t="str">
        <x:v>Permanent Account Number (PAN)</x:v>
      </x:c>
      <x:c r="C15" s="17"/>
      <x:c r="D15" s="4"/>
      <x:c r="E15" s="432" t="str">
        <x:v>Profit &amp; Loss</x:v>
      </x:c>
      <x:c r="F15" s="436" t="str">
        <x:f>IF(C20="Non-Corporate Entity",HYPERLINK("#'NCE Notes 1-3'!B1","Open Profit &amp; Loss"),IF(C20="Limited Liability Partnership",HYPERLINK("#'LLP Note 3'!A1","Open Profit &amp; Loss"),IF(C20="Company - Division I (Non-Ind AS)",HYPERLINK("#'Div I Notes'!A1","Open Profit &amp; Loss"),IF(C20="Company - Division II (Ind AS)",HYPERLINK("#'Div II Notes'!A1","Open Profit &amp; Loss"),IF(C20="NBFC - Division III (Ind AS)",HYPERLINK("#'Div III Notes'!A1","Open Profit &amp; Loss"),"Select the Financial Statements Format")))))</x:f>
        <x:v>Select the Financial Statements Format</x:v>
      </x:c>
    </x:row>
    <x:row r="16" ht="22" customHeight="1">
      <x:c r="A16" s="4"/>
      <x:c r="B16" s="17" t="str">
        <x:v>Type of Entity</x:v>
      </x:c>
      <x:c r="C16" s="30" t="str">
        <x:v>Please Select</x:v>
      </x:c>
      <x:c r="D16" s="4"/>
      <x:c r="E16" s="432" t="str">
        <x:v>Notes</x:v>
      </x:c>
      <x:c r="F16" s="436" t="str">
        <x:f>IF(C20="Non-Corporate Entity",HYPERLINK("#'NCE Notes 4-6'!B1","Open Notes"),IF(C20="Limited Liability Partnership",HYPERLINK("#'LLP Note 3'!A51","Open Notes"),IF(C20="Company - Division I (Non-Ind AS)",HYPERLINK("#'Div I Notes'!A40","Open Notes"),IF(C20="Company - Division II (Ind AS)",HYPERLINK("#'Div II Notes'!A50","Open Notes"),IF(C20="NBFC - Division III (Ind AS)",HYPERLINK("#'Div III Notes'!A67","Open Notes"),"Select the Financial Statements Format")))))</x:f>
        <x:v>Select the Financial Statements Format</x:v>
      </x:c>
    </x:row>
    <x:row r="17" ht="15" customHeight="1">
      <x:c r="A17" s="4"/>
      <x:c r="B17" s="17" t="str">
        <x:v>Round Off Amount to Nearest</x:v>
      </x:c>
      <x:c r="C17" s="30" t="str">
        <x:v>Default</x:v>
      </x:c>
      <x:c r="D17" s="4"/>
      <x:c r="E17" s="434" t="str">
        <x:v>Group Status</x:v>
      </x:c>
      <x:c r="F17" s="440" t="str">
        <x:f>IF(OR(C20="",C20="Please Select"),"NO FORMAT SELECTED","FINANCIAL STATEMENTS GROUP SELECTED")</x:f>
        <x:v>NO FORMAT SELECTED</x:v>
      </x:c>
    </x:row>
    <x:row r="18" ht="15" customHeight="1">
      <x:c r="A18" s="4"/>
      <x:c r="B18" s="17" t="str">
        <x:v>Trade Receivables and Trade Payables</x:v>
      </x:c>
      <x:c r="C18" s="30" t="str">
        <x:v>As Per Trial Balance Closing Balance</x:v>
      </x:c>
      <x:c r="D18" s="4"/>
      <x:c r="E18" s="4"/>
      <x:c r="F18" s="4"/>
    </x:row>
    <x:row r="19" ht="15" customHeight="1">
      <x:c r="A19" s="4"/>
      <x:c r="B19" s="17" t="str">
        <x:v>PPE and IA Block</x:v>
      </x:c>
      <x:c r="C19" s="30" t="str">
        <x:v>Gross Block</x:v>
      </x:c>
      <x:c r="D19" s="4"/>
      <x:c r="E19" s="4"/>
      <x:c r="F19" s="4"/>
    </x:row>
    <x:row r="20" ht="28" customHeight="1">
      <x:c r="A20" s="4"/>
      <x:c r="B20" s="53" t="str">
        <x:v>Type of Company / Financial Statements Format</x:v>
      </x:c>
      <x:c r="C20" s="54" t="str">
        <x:v>Please Select</x:v>
      </x:c>
      <x:c r="D20" s="4"/>
      <x:c r="E20" s="4"/>
      <x:c r="F20" s="4"/>
    </x:row>
    <x:row r="21" ht="16" customHeight="1">
      <x:c r="A21" s="4"/>
      <x:c r="B21" s="13" t="str">
        <x:v>Signatory Details</x:v>
      </x:c>
      <x:c r="C21" s="13"/>
      <x:c r="D21" s="4"/>
      <x:c r="E21" s="4"/>
      <x:c r="F21" s="4"/>
    </x:row>
    <x:row r="22" ht="15" customHeight="1">
      <x:c r="A22" s="4"/>
      <x:c r="B22" s="34" t="str">
        <x:v>Name of Entity Signatory</x:v>
      </x:c>
      <x:c r="C22" s="34" t="str">
        <x:v>Designation</x:v>
      </x:c>
      <x:c r="D22" s="34" t="str">
        <x:v>Place</x:v>
      </x:c>
      <x:c r="E22" s="34" t="str">
        <x:v>Signing Date</x:v>
      </x:c>
      <x:c r="F22" s="4"/>
    </x:row>
    <x:row r="23" ht="15" customHeight="1">
      <x:c r="A23" s="4"/>
      <x:c r="B23" s="38"/>
      <x:c r="C23" s="38"/>
      <x:c r="D23" s="38"/>
      <x:c r="E23" s="40"/>
      <x:c r="F23" s="4"/>
    </x:row>
    <x:row r="24" ht="15" customHeight="1">
      <x:c r="A24" s="4"/>
      <x:c r="B24" s="38"/>
      <x:c r="C24" s="38"/>
      <x:c r="D24" s="38"/>
      <x:c r="E24" s="40"/>
      <x:c r="F24" s="4"/>
    </x:row>
    <x:row r="25" ht="15" customHeight="1">
      <x:c r="A25" s="4"/>
      <x:c r="B25" s="4"/>
      <x:c r="C25" s="4"/>
      <x:c r="D25" s="4"/>
      <x:c r="E25" s="4"/>
      <x:c r="F25" s="4"/>
    </x:row>
    <x:row r="26" ht="39" customHeight="1">
      <x:c r="A26" s="4"/>
      <x:c r="B26" s="34" t="str">
        <x:v>Audit Firm Name
(do not include ‘Chartered Accountant’ in the Firm Name)</x:v>
      </x:c>
      <x:c r="C26" s="34" t="str">
        <x:v>Firm Registration Number</x:v>
      </x:c>
      <x:c r="D26" s="34" t="str">
        <x:v>UDIN</x:v>
      </x:c>
      <x:c r="E26" s="4"/>
      <x:c r="F26" s="4"/>
    </x:row>
    <x:row r="27" ht="15" customHeight="1">
      <x:c r="A27" s="4"/>
      <x:c r="B27" s="38"/>
      <x:c r="C27" s="38"/>
      <x:c r="D27" s="38"/>
      <x:c r="E27" s="4"/>
      <x:c r="F27" s="4"/>
    </x:row>
    <x:row r="28" ht="15" customHeight="1">
      <x:c r="A28" s="4"/>
      <x:c r="B28" s="4"/>
      <x:c r="C28" s="4"/>
      <x:c r="D28" s="4"/>
      <x:c r="E28" s="4"/>
      <x:c r="F28" s="4"/>
    </x:row>
    <x:row r="29" ht="30" customHeight="1">
      <x:c r="A29" s="4"/>
      <x:c r="B29" s="34" t="str">
        <x:v>Name of Signing Auditor</x:v>
      </x:c>
      <x:c r="C29" s="34" t="str">
        <x:v>Designation</x:v>
      </x:c>
      <x:c r="D29" s="34" t="str">
        <x:v>Membership Number</x:v>
      </x:c>
      <x:c r="E29" s="34" t="str">
        <x:v>Place</x:v>
      </x:c>
      <x:c r="F29" s="34" t="str">
        <x:v>Signing Date</x:v>
      </x:c>
    </x:row>
    <x:row r="30" ht="15" customHeight="1">
      <x:c r="A30" s="4"/>
      <x:c r="B30" s="38"/>
      <x:c r="C30" s="38"/>
      <x:c r="D30" s="38"/>
      <x:c r="E30" s="38"/>
      <x:c r="F30" s="42"/>
    </x:row>
    <x:row r="31" ht="15" customHeight="1">
      <x:c r="A31" s="4"/>
      <x:c r="B31" s="4"/>
      <x:c r="C31" s="4"/>
      <x:c r="D31" s="4"/>
      <x:c r="E31" s="4"/>
      <x:c r="F31" s="4"/>
    </x:row>
    <x:row r="32" ht="16" customHeight="1">
      <x:c r="A32" s="4"/>
      <x:c r="B32" s="13" t="str">
        <x:v>Owner/ Partners Details</x:v>
      </x:c>
      <x:c r="C32" s="13"/>
      <x:c r="D32" s="4"/>
      <x:c r="E32" s="4"/>
      <x:c r="F32" s="4"/>
    </x:row>
    <x:row r="33" ht="15" customHeight="1">
      <x:c r="A33" s="4"/>
      <x:c r="B33" s="34" t="str">
        <x:v>Name</x:v>
      </x:c>
      <x:c r="C33" s="34" t="str">
        <x:v>Share of Profit/ (Loss)</x:v>
      </x:c>
      <x:c r="D33" s="4"/>
      <x:c r="E33" s="4"/>
      <x:c r="F33" s="4"/>
    </x:row>
    <x:row r="34" ht="22" customHeight="1">
      <x:c r="A34" s="4"/>
      <x:c r="B34" s="38"/>
      <x:c r="C34" s="44"/>
      <x:c r="D34" s="4"/>
      <x:c r="E34" s="25" t="str">
        <x:v>Update Owner/Partners Details</x:v>
      </x:c>
      <x:c r="F34" s="25"/>
    </x:row>
    <x:row r="35" ht="22" customHeight="1">
      <x:c r="A35" s="4"/>
      <x:c r="B35" s="4"/>
      <x:c r="C35" s="4"/>
      <x:c r="D35" s="4"/>
      <x:c r="E35" s="25"/>
      <x:c r="F35" s="25"/>
    </x:row>
  </x:sheetData>
  <x:mergeCells>
    <x:mergeCell ref="B2:F2"/>
    <x:mergeCell ref="B4:C4"/>
    <x:mergeCell ref="B12:C12"/>
    <x:mergeCell ref="B21:C21"/>
    <x:mergeCell ref="B32:C32"/>
    <x:mergeCell ref="C5:D5"/>
    <x:mergeCell ref="E5:F5"/>
    <x:mergeCell ref="E7:F7"/>
    <x:mergeCell ref="E9:F9"/>
    <x:mergeCell ref="E34:F35"/>
    <x:mergeCell ref="E12:F12"/>
  </x:mergeCells>
  <x:conditionalFormatting sqref="F16:F16">
    <x:cfRule type="expression" dxfId="0" priority="1">
      <x:formula>F16="FORMAT GROUP SELECTED"</x:formula>
    </x:cfRule>
    <x:cfRule type="expression" dxfId="1" priority="2">
      <x:formula>F16="NO FORMAT SELECTED"</x:formula>
    </x:cfRule>
  </x:conditionalFormatting>
  <x:dataValidations count="5">
    <x:dataValidation type="list" sqref="C16">
      <x:formula1>"Please Select,Individual,HUF,Partnership,Limited Liability Partnership,Company - Division I (Non-Ind AS),Company - Division II (Ind AS),NBFC - Division III (Ind AS)"</x:formula1>
    </x:dataValidation>
    <x:dataValidation type="list" sqref="C17">
      <x:formula1>"Default,Hundreds,Thousands,Ten Thousands,Lakhs,Ten Lakhs,Millions,Ten Millions,Crores"</x:formula1>
    </x:dataValidation>
    <x:dataValidation type="list" sqref="C18">
      <x:formula1>"As Per Trial Balance Closing Balance,As Per Trade Receivables / Payables Sheets"</x:formula1>
    </x:dataValidation>
    <x:dataValidation type="list" sqref="C19">
      <x:formula1>"Gross Block,Net Block"</x:formula1>
    </x:dataValidation>
    <x:dataValidation type="list" sqref="C20">
      <x:formula1>"Please Select,Non-Corporate Entity,Limited Liability Partnership,Company - Division I (Non-Ind AS),Company - Division II (Ind AS),NBFC - Division III (Ind AS)"</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9.28515625" hidden="0" customWidth="1"/>
    <x:col min="2" max="2" width="8" hidden="0" customWidth="1"/>
    <x:col min="3" max="3" width="52" hidden="0" customWidth="1"/>
    <x:col min="4" max="4" width="10" hidden="0" customWidth="1"/>
    <x:col min="5" max="5" width="18" hidden="0" customWidth="1"/>
    <x:col min="6" max="6" width="18" hidden="0" customWidth="1"/>
  </x:cols>
  <x:sheetData>
    <x:row r="1" ht="26" customHeight="1">
      <x:c r="A1" s="448"/>
      <x:c r="B1" s="1009" t="str">
        <x:v>BALANCE SHEET</x:v>
      </x:c>
      <x:c r="C1" s="1009"/>
      <x:c r="D1" s="1010"/>
      <x:c r="E1" s="1010"/>
      <x:c r="F1" s="1010"/>
      <x:c r="M1" s="184"/>
    </x:row>
    <x:row r="2" ht="19" customHeight="1">
      <x:c r="A2" s="448"/>
      <x:c r="B2" s="1019" t="str">
        <x:f>IF('Basic Info'!C13="","",'Basic Info'!C13)</x:f>
      </x:c>
      <x:c r="C2" s="1020"/>
      <x:c r="D2" s="1021"/>
      <x:c r="E2" s="1021"/>
      <x:c r="F2" s="1022"/>
    </x:row>
    <x:row r="3" ht="19" customHeight="1">
      <x:c r="A3" s="448"/>
      <x:c r="B3" s="1031" t="str">
        <x:f>IF('Basic Info'!C14="","",'Basic Info'!C14)</x:f>
      </x:c>
      <x:c r="C3" s="1032"/>
      <x:c r="D3" s="1033"/>
      <x:c r="E3" s="1033"/>
      <x:c r="F3" s="1034"/>
    </x:row>
    <x:row r="4" ht="19" customHeight="1">
      <x:c r="A4" s="450"/>
      <x:c r="B4" s="1039" t="str">
        <x:f>IF('Basic Info'!C8="","As at","As at "&amp;TEXT('Basic Info'!C8,"dd-mmm-yyyy"))</x:f>
        <x:v>As at</x:v>
      </x:c>
      <x:c r="C4" s="1040"/>
      <x:c r="D4" s="1041"/>
      <x:c r="E4" s="1042" t="str">
        <x:v>(Amount in Rs.)</x:v>
      </x:c>
      <x:c r="F4" s="1043"/>
    </x:row>
    <x:row r="5">
      <x:c r="A5" s="452"/>
      <x:c r="B5" s="614"/>
      <x:c r="C5" s="615"/>
      <x:c r="D5" s="616"/>
      <x:c r="E5" s="616"/>
      <x:c r="F5" s="617"/>
    </x:row>
    <x:row r="6" ht="27" customHeight="1">
      <x:c r="A6" s="452"/>
      <x:c r="B6" s="1047" t="str"/>
      <x:c r="C6" s="1047" t="str">
        <x:v>Particulars</x:v>
      </x:c>
      <x:c r="D6" s="1048" t="str">
        <x:v>Note</x:v>
      </x:c>
      <x:c r="E6" s="1049" t="str">
        <x:v>Current Year</x:v>
      </x:c>
      <x:c r="F6" s="1049" t="str">
        <x:v>Previous Year</x:v>
      </x:c>
    </x:row>
    <x:row r="7" ht="19" customHeight="1">
      <x:c r="A7" s="455"/>
      <x:c r="B7" s="1159" t="str">
        <x:v>I</x:v>
      </x:c>
      <x:c r="C7" s="1160" t="str">
        <x:v>EQUITY AND LIABILITIES</x:v>
      </x:c>
      <x:c r="D7" s="1161"/>
      <x:c r="E7" s="1162"/>
      <x:c r="F7" s="1163"/>
    </x:row>
    <x:row r="8" ht="19" customHeight="1">
      <x:c r="A8" s="455"/>
      <x:c r="B8" s="1174" t="str">
        <x:v>1</x:v>
      </x:c>
      <x:c r="C8" s="1175" t="str">
        <x:v>Owners' Funds</x:v>
      </x:c>
      <x:c r="D8" s="1176"/>
      <x:c r="E8" s="1177"/>
      <x:c r="F8" s="1178"/>
    </x:row>
    <x:row r="9" ht="19" customHeight="1">
      <x:c r="A9" s="455"/>
      <x:c r="B9" s="1144" t="str">
        <x:v>(a)</x:v>
      </x:c>
      <x:c r="C9" s="1145" t="str">
        <x:v>Owners' capital account</x:v>
      </x:c>
      <x:c r="D9" s="1146" t="n">
        <x:v>3</x:v>
      </x:c>
      <x:c r="E9" s="1147" t="str">
        <x:f>IFERROR(IF('NCE Notes 7-10'!J14="","",'NCE Notes 7-10'!J14),"")</x:f>
      </x:c>
      <x:c r="F9" s="1148" t="str">
        <x:f>IFERROR(IF('NCE Notes 7-10'!K14="","",'NCE Notes 7-10'!K14),"")</x:f>
      </x:c>
    </x:row>
    <x:row r="10" ht="19" customHeight="1">
      <x:c r="A10" s="455"/>
      <x:c r="B10" s="1144" t="str">
        <x:v>(b)</x:v>
      </x:c>
      <x:c r="C10" s="1145" t="str">
        <x:v>Reserves and surplus</x:v>
      </x:c>
      <x:c r="D10" s="1146" t="n">
        <x:v>4</x:v>
      </x:c>
      <x:c r="E10" s="1147" t="str">
        <x:f>IFERROR(IF('NCE Notes 7-10'!C29="","",'NCE Notes 7-10'!C29),"")</x:f>
      </x:c>
      <x:c r="F10" s="1148" t="str">
        <x:f>IFERROR(IF('NCE Notes 7-10'!D29="","",'NCE Notes 7-10'!D29),"")</x:f>
      </x:c>
    </x:row>
    <x:row r="11" ht="19" customHeight="1">
      <x:c r="A11" s="455"/>
      <x:c r="B11" s="1184" t="str"/>
      <x:c r="C11" s="1185" t="str">
        <x:v>Total Owners' Funds</x:v>
      </x:c>
      <x:c r="D11" s="1186"/>
      <x:c r="E11" s="1187" t="str">
        <x:f>IF(COUNT(E9:E10)=0,"",SUM(E9:E10))</x:f>
      </x:c>
      <x:c r="F11" s="1187" t="str">
        <x:f>IF(COUNT(F9:F10)=0,"",SUM(F9:F10))</x:f>
      </x:c>
    </x:row>
    <x:row r="12" ht="19" customHeight="1">
      <x:c r="A12" s="452"/>
      <x:c r="B12" s="1174" t="str">
        <x:v>2</x:v>
      </x:c>
      <x:c r="C12" s="1175" t="str">
        <x:v>Non-current liabilities</x:v>
      </x:c>
      <x:c r="D12" s="1176"/>
      <x:c r="E12" s="1177"/>
      <x:c r="F12" s="1178"/>
    </x:row>
    <x:row r="13" ht="19" customHeight="1">
      <x:c r="A13" s="455"/>
      <x:c r="B13" s="1144" t="str">
        <x:v>(a)</x:v>
      </x:c>
      <x:c r="C13" s="1145" t="str">
        <x:v>Long-term borrowings</x:v>
      </x:c>
      <x:c r="D13" s="1146" t="n">
        <x:v>5</x:v>
      </x:c>
      <x:c r="E13" s="1147" t="str">
        <x:f>IFERROR(IF('NCE Notes 7-10'!C41="","",'NCE Notes 7-10'!C41),"")</x:f>
      </x:c>
      <x:c r="F13" s="1148" t="str">
        <x:f>IFERROR(IF('NCE Notes 7-10'!D41="","",'NCE Notes 7-10'!D41),"")</x:f>
      </x:c>
    </x:row>
    <x:row r="14" ht="19" customHeight="1">
      <x:c r="A14" s="455"/>
      <x:c r="B14" s="1144" t="str">
        <x:v>(b)</x:v>
      </x:c>
      <x:c r="C14" s="1145" t="str">
        <x:v>Deferred tax liabilities (Net)</x:v>
      </x:c>
      <x:c r="D14" s="1146" t="n">
        <x:v>6</x:v>
      </x:c>
      <x:c r="E14" s="1147" t="str">
        <x:f>IFERROR(IF('NCE Notes 7-10'!C50="","",'NCE Notes 7-10'!C50),"")</x:f>
      </x:c>
      <x:c r="F14" s="1148" t="str">
        <x:f>IFERROR(IF('NCE Notes 7-10'!D50="","",'NCE Notes 7-10'!D50),"")</x:f>
      </x:c>
    </x:row>
    <x:row r="15" ht="19" customHeight="1">
      <x:c r="A15" s="455"/>
      <x:c r="B15" s="1144" t="str">
        <x:v>(c)</x:v>
      </x:c>
      <x:c r="C15" s="1145" t="str">
        <x:v>Other long-term liabilities</x:v>
      </x:c>
      <x:c r="D15" s="1146" t="n">
        <x:v>7</x:v>
      </x:c>
      <x:c r="E15" s="1147" t="str">
        <x:f>IFERROR(IF('NCE Note 11'!C10="","",'NCE Note 11'!C10),"")</x:f>
      </x:c>
      <x:c r="F15" s="1148" t="str">
        <x:f>IFERROR(IF('NCE Note 11'!D10="","",'NCE Note 11'!D10),"")</x:f>
      </x:c>
    </x:row>
    <x:row r="16" ht="19" customHeight="1">
      <x:c r="A16" s="455"/>
      <x:c r="B16" s="1144" t="str">
        <x:v>(d)</x:v>
      </x:c>
      <x:c r="C16" s="1145" t="str">
        <x:v>Long-term provisions</x:v>
      </x:c>
      <x:c r="D16" s="1146" t="n">
        <x:v>8</x:v>
      </x:c>
      <x:c r="E16" s="1147" t="str">
        <x:f>IFERROR(IF('NCE Note 11'!C22="","",'NCE Note 11'!C22),"")</x:f>
      </x:c>
      <x:c r="F16" s="1148" t="str">
        <x:f>IFERROR(IF('NCE Note 11'!D22="","",'NCE Note 11'!D22),"")</x:f>
      </x:c>
    </x:row>
    <x:row r="17" ht="19" customHeight="1">
      <x:c r="A17" s="455"/>
      <x:c r="B17" s="1184" t="str"/>
      <x:c r="C17" s="1185" t="str">
        <x:v>Total Non-current liabilities</x:v>
      </x:c>
      <x:c r="D17" s="1186"/>
      <x:c r="E17" s="1187" t="str">
        <x:f>IF(COUNT(E13:E16)=0,"",SUM(E13:E16))</x:f>
      </x:c>
      <x:c r="F17" s="1187" t="str">
        <x:f>IF(COUNT(F13:F16)=0,"",SUM(F13:F16))</x:f>
      </x:c>
    </x:row>
    <x:row r="18" ht="19" customHeight="1">
      <x:c r="A18" s="452"/>
      <x:c r="B18" s="1174" t="str">
        <x:v>3</x:v>
      </x:c>
      <x:c r="C18" s="1175" t="str">
        <x:v>Current liabilities</x:v>
      </x:c>
      <x:c r="D18" s="1176"/>
      <x:c r="E18" s="1177"/>
      <x:c r="F18" s="1178"/>
    </x:row>
    <x:row r="19" ht="19" customHeight="1">
      <x:c r="A19" s="455"/>
      <x:c r="B19" s="1144" t="str">
        <x:v>(a)</x:v>
      </x:c>
      <x:c r="C19" s="1145" t="str">
        <x:v>Short-term borrowings</x:v>
      </x:c>
      <x:c r="D19" s="1146" t="n">
        <x:v>9</x:v>
      </x:c>
      <x:c r="E19" s="1147" t="str">
        <x:f>IFERROR(IF('NCE Note 11'!C34="","",'NCE Note 11'!C34),"")</x:f>
      </x:c>
      <x:c r="F19" s="1148" t="str">
        <x:f>IFERROR(IF('NCE Note 11'!D34="","",'NCE Note 11'!D34),"")</x:f>
      </x:c>
    </x:row>
    <x:row r="20" ht="19" customHeight="1">
      <x:c r="A20" s="455"/>
      <x:c r="B20" s="1144" t="str">
        <x:v>(b)</x:v>
      </x:c>
      <x:c r="C20" s="1145" t="str">
        <x:v>Trade payables</x:v>
      </x:c>
      <x:c r="D20" s="1146" t="n">
        <x:v>10</x:v>
      </x:c>
      <x:c r="E20" s="1147" t="str">
        <x:f>IFERROR(IF('NCE Note 11'!C48="","",'NCE Note 11'!C48),"")</x:f>
      </x:c>
      <x:c r="F20" s="1148" t="str">
        <x:f>IFERROR(IF('NCE Note 11'!D48="","",'NCE Note 11'!D48),"")</x:f>
      </x:c>
    </x:row>
    <x:row r="21" ht="19" customHeight="1">
      <x:c r="A21" s="455"/>
      <x:c r="B21" s="1144" t="str">
        <x:v>(c)</x:v>
      </x:c>
      <x:c r="C21" s="1145" t="str">
        <x:v>Other current liabilities</x:v>
      </x:c>
      <x:c r="D21" s="1146" t="n">
        <x:v>11</x:v>
      </x:c>
      <x:c r="E21" s="1147" t="str">
        <x:f>IFERROR(IF('NCE Note 11'!C60="","",'NCE Note 11'!C60),"")</x:f>
      </x:c>
      <x:c r="F21" s="1148" t="str">
        <x:f>IFERROR(IF('NCE Note 11'!D60="","",'NCE Note 11'!D60),"")</x:f>
      </x:c>
    </x:row>
    <x:row r="22" ht="19" customHeight="1">
      <x:c r="A22" s="455"/>
      <x:c r="B22" s="1144" t="str">
        <x:v>(d)</x:v>
      </x:c>
      <x:c r="C22" s="1145" t="str">
        <x:v>Short-term provisions</x:v>
      </x:c>
      <x:c r="D22" s="1146" t="n">
        <x:v>12</x:v>
      </x:c>
      <x:c r="E22" s="1147" t="str">
        <x:f>IFERROR(IF('NCE Note 11'!C72="","",'NCE Note 11'!C72),"")</x:f>
      </x:c>
      <x:c r="F22" s="1148" t="str">
        <x:f>IFERROR(IF('NCE Note 11'!D72="","",'NCE Note 11'!D72),"")</x:f>
      </x:c>
    </x:row>
    <x:row r="23" ht="19" customHeight="1">
      <x:c r="A23" s="455"/>
      <x:c r="B23" s="1184" t="str"/>
      <x:c r="C23" s="1185" t="str">
        <x:v>Total Current liabilities</x:v>
      </x:c>
      <x:c r="D23" s="1186"/>
      <x:c r="E23" s="1187" t="str">
        <x:f>IF(COUNT(E19:E22)=0,"",SUM(E19:E22))</x:f>
      </x:c>
      <x:c r="F23" s="1187" t="str">
        <x:f>IF(COUNT(F19:F22)=0,"",SUM(F19:F22))</x:f>
      </x:c>
    </x:row>
    <x:row r="24" ht="21" customHeight="1">
      <x:c r="A24" s="452"/>
      <x:c r="B24" s="1205" t="str"/>
      <x:c r="C24" s="1206" t="str">
        <x:v>TOTAL EQUITY AND LIABILITIES</x:v>
      </x:c>
      <x:c r="D24" s="1207"/>
      <x:c r="E24" s="1208" t="str">
        <x:f>IF(COUNT(E11,E17,E23)=0,"",SUM(E11,E17,E23))</x:f>
      </x:c>
      <x:c r="F24" s="1208" t="str">
        <x:f>IF(COUNT(F11,F17,F23)=0,"",SUM(F11,F17,F23))</x:f>
      </x:c>
    </x:row>
    <x:row r="25" ht="19" customHeight="1">
      <x:c r="A25" s="455"/>
      <x:c r="B25" s="1144" t="str"/>
      <x:c r="C25" s="1145" t="str"/>
      <x:c r="D25" s="1146"/>
      <x:c r="E25" s="1147"/>
      <x:c r="F25" s="1148"/>
    </x:row>
    <x:row r="26" ht="19" customHeight="1">
      <x:c r="A26" s="452"/>
      <x:c r="B26" s="1169" t="str">
        <x:v>II</x:v>
      </x:c>
      <x:c r="C26" s="1170" t="str">
        <x:v>ASSETS</x:v>
      </x:c>
      <x:c r="D26" s="1171"/>
      <x:c r="E26" s="1172"/>
      <x:c r="F26" s="1173"/>
    </x:row>
    <x:row r="27" ht="19" customHeight="1">
      <x:c r="A27" s="452"/>
      <x:c r="B27" s="1174" t="str">
        <x:v>1</x:v>
      </x:c>
      <x:c r="C27" s="1175" t="str">
        <x:v>Non-current assets</x:v>
      </x:c>
      <x:c r="D27" s="1176"/>
      <x:c r="E27" s="1177"/>
      <x:c r="F27" s="1178"/>
    </x:row>
    <x:row r="28" ht="24" customHeight="1">
      <x:c r="A28" s="455"/>
      <x:c r="B28" s="1144" t="str">
        <x:v>(a)</x:v>
      </x:c>
      <x:c r="C28" s="1145" t="str">
        <x:v>Property, Plant and Equipment and Intangible assets</x:v>
      </x:c>
      <x:c r="D28" s="1146" t="n">
        <x:v>13</x:v>
      </x:c>
      <x:c r="E28" s="1147"/>
      <x:c r="F28" s="1148"/>
    </x:row>
    <x:row r="29" ht="19" customHeight="1">
      <x:c r="A29" s="455"/>
      <x:c r="B29" s="1139" t="str">
        <x:v>(i)</x:v>
      </x:c>
      <x:c r="C29" s="1140" t="str">
        <x:v>    Property, Plant and Equipment</x:v>
      </x:c>
      <x:c r="D29" s="1141"/>
      <x:c r="E29" s="1142" t="str">
        <x:f>IFERROR(IF('NCE Note 11'!G92="","",'NCE Note 11'!G92),"")</x:f>
      </x:c>
      <x:c r="F29" s="1143" t="str">
        <x:f>IFERROR(IF('NCE Note 11'!H92="","",'NCE Note 11'!H92),"")</x:f>
      </x:c>
    </x:row>
    <x:row r="30" ht="19" customHeight="1">
      <x:c r="A30" s="455"/>
      <x:c r="B30" s="1139" t="str">
        <x:v>(ii)</x:v>
      </x:c>
      <x:c r="C30" s="1140" t="str">
        <x:v>    Intangible assets</x:v>
      </x:c>
      <x:c r="D30" s="1141"/>
      <x:c r="E30" s="1142" t="str">
        <x:f>IFERROR(IF('NCE Note 11'!G93="","",'NCE Note 11'!G93),"")</x:f>
      </x:c>
      <x:c r="F30" s="1143" t="str">
        <x:f>IFERROR(IF('NCE Note 11'!H93="","",'NCE Note 11'!H93),"")</x:f>
      </x:c>
    </x:row>
    <x:row r="31" ht="19" customHeight="1">
      <x:c r="A31" s="455"/>
      <x:c r="B31" s="1144" t="str">
        <x:v>(iii)</x:v>
      </x:c>
      <x:c r="C31" s="1145" t="str">
        <x:v>    Capital work-in-progress</x:v>
      </x:c>
      <x:c r="D31" s="1146"/>
      <x:c r="E31" s="1147" t="str">
        <x:f>IFERROR(IF('NCE Note 11'!G96="","",'NCE Note 11'!G96),"")</x:f>
      </x:c>
      <x:c r="F31" s="1148" t="str">
        <x:f>IFERROR(IF('NCE Note 11'!H96="","",'NCE Note 11'!H96),"")</x:f>
      </x:c>
    </x:row>
    <x:row r="32" ht="19" customHeight="1">
      <x:c r="A32" s="455"/>
      <x:c r="B32" s="1144" t="str">
        <x:v>(iv)</x:v>
      </x:c>
      <x:c r="C32" s="1145" t="str">
        <x:v>    Intangible assets under development</x:v>
      </x:c>
      <x:c r="D32" s="1146"/>
      <x:c r="E32" s="1147" t="str">
        <x:f>IFERROR(IF('NCE Note 11'!G97="","",'NCE Note 11'!G97),"")</x:f>
      </x:c>
      <x:c r="F32" s="1148" t="str">
        <x:f>IFERROR(IF('NCE Note 11'!H97="","",'NCE Note 11'!H97),"")</x:f>
      </x:c>
    </x:row>
    <x:row r="33" ht="19" customHeight="1">
      <x:c r="A33" s="455"/>
      <x:c r="B33" s="1144" t="str">
        <x:v>(b)</x:v>
      </x:c>
      <x:c r="C33" s="1145" t="str">
        <x:v>Non-current investments</x:v>
      </x:c>
      <x:c r="D33" s="1146" t="n">
        <x:v>14</x:v>
      </x:c>
      <x:c r="E33" s="1147" t="str">
        <x:f>IFERROR(IF('NCE Note 11'!C110="","",'NCE Note 11'!C110),"")</x:f>
      </x:c>
      <x:c r="F33" s="1148" t="str">
        <x:f>IFERROR(IF('NCE Note 11'!D110="","",'NCE Note 11'!D110),"")</x:f>
      </x:c>
    </x:row>
    <x:row r="34" ht="19" customHeight="1">
      <x:c r="A34" s="455"/>
      <x:c r="B34" s="1144" t="str">
        <x:v>(c)</x:v>
      </x:c>
      <x:c r="C34" s="1145" t="str">
        <x:v>Deferred tax assets (Net)</x:v>
      </x:c>
      <x:c r="D34" s="1146" t="n">
        <x:v>6</x:v>
      </x:c>
      <x:c r="E34" s="1147" t="str">
        <x:f>IFERROR(IF('NCE Notes 7-10'!C55="","",'NCE Notes 7-10'!C55),"")</x:f>
      </x:c>
      <x:c r="F34" s="1148" t="str">
        <x:f>IFERROR(IF('NCE Notes 7-10'!D55="","",'NCE Notes 7-10'!D55),"")</x:f>
      </x:c>
    </x:row>
    <x:row r="35" ht="19" customHeight="1">
      <x:c r="A35" s="455"/>
      <x:c r="B35" s="1144" t="str">
        <x:v>(d)</x:v>
      </x:c>
      <x:c r="C35" s="1145" t="str">
        <x:v>Long-term loans and advances</x:v>
      </x:c>
      <x:c r="D35" s="1146" t="n">
        <x:v>15</x:v>
      </x:c>
      <x:c r="E35" s="1147" t="str">
        <x:f>IFERROR(IF('NCE Notes 12-18'!C10="","",'NCE Notes 12-18'!C10),"")</x:f>
      </x:c>
      <x:c r="F35" s="1148" t="str">
        <x:f>IFERROR(IF('NCE Notes 12-18'!D10="","",'NCE Notes 12-18'!D10),"")</x:f>
      </x:c>
    </x:row>
    <x:row r="36" ht="19" customHeight="1">
      <x:c r="A36" s="455"/>
      <x:c r="B36" s="1144" t="str">
        <x:v>(e)</x:v>
      </x:c>
      <x:c r="C36" s="1145" t="str">
        <x:v>Other non-current assets</x:v>
      </x:c>
      <x:c r="D36" s="1146" t="n">
        <x:v>16</x:v>
      </x:c>
      <x:c r="E36" s="1147" t="str">
        <x:f>IFERROR(IF('NCE Notes 12-18'!C22="","",'NCE Notes 12-18'!C22),"")</x:f>
      </x:c>
      <x:c r="F36" s="1148" t="str">
        <x:f>IFERROR(IF('NCE Notes 12-18'!D22="","",'NCE Notes 12-18'!D22),"")</x:f>
      </x:c>
    </x:row>
    <x:row r="37" ht="19" customHeight="1">
      <x:c r="A37" s="455"/>
      <x:c r="B37" s="1184" t="str"/>
      <x:c r="C37" s="1185" t="str">
        <x:v>Total Non-current assets</x:v>
      </x:c>
      <x:c r="D37" s="1186"/>
      <x:c r="E37" s="1187" t="str">
        <x:f>IF(COUNT(E29:E36)=0,"",SUM(E29:E36))</x:f>
      </x:c>
      <x:c r="F37" s="1187" t="str">
        <x:f>IF(COUNT(F29:F36)=0,"",SUM(F29:F36))</x:f>
      </x:c>
    </x:row>
    <x:row r="38" ht="19" customHeight="1">
      <x:c r="A38" s="452"/>
      <x:c r="B38" s="1174" t="str">
        <x:v>2</x:v>
      </x:c>
      <x:c r="C38" s="1175" t="str">
        <x:v>Current assets</x:v>
      </x:c>
      <x:c r="D38" s="1176"/>
      <x:c r="E38" s="1177"/>
      <x:c r="F38" s="1178"/>
    </x:row>
    <x:row r="39" ht="19" customHeight="1">
      <x:c r="A39" s="455"/>
      <x:c r="B39" s="1144" t="str">
        <x:v>(a)</x:v>
      </x:c>
      <x:c r="C39" s="1145" t="str">
        <x:v>Current investments</x:v>
      </x:c>
      <x:c r="D39" s="1146" t="n">
        <x:v>14</x:v>
      </x:c>
      <x:c r="E39" s="1147"/>
      <x:c r="F39" s="1148"/>
    </x:row>
    <x:row r="40" ht="19" customHeight="1">
      <x:c r="A40" s="455"/>
      <x:c r="B40" s="1139" t="str">
        <x:v>(b)</x:v>
      </x:c>
      <x:c r="C40" s="1140" t="str">
        <x:v>Inventories</x:v>
      </x:c>
      <x:c r="D40" s="1141" t="n">
        <x:v>17</x:v>
      </x:c>
      <x:c r="E40" s="1142" t="str">
        <x:f>IFERROR(IF('NCE Note 11'!C114="","",'NCE Note 11'!C114),"")</x:f>
      </x:c>
      <x:c r="F40" s="1143" t="str">
        <x:f>IFERROR(IF('NCE Note 11'!D114="","",'NCE Note 11'!D114),"")</x:f>
      </x:c>
    </x:row>
    <x:row r="41" ht="19" customHeight="1">
      <x:c r="A41" s="455"/>
      <x:c r="B41" s="1139" t="str">
        <x:v>(c)</x:v>
      </x:c>
      <x:c r="C41" s="1140" t="str">
        <x:v>Trade receivables</x:v>
      </x:c>
      <x:c r="D41" s="1141" t="n">
        <x:v>18</x:v>
      </x:c>
      <x:c r="E41" s="1142" t="str">
        <x:f>IFERROR(IF('NCE Notes 12-18'!C36="","",'NCE Notes 12-18'!C36),"")</x:f>
      </x:c>
      <x:c r="F41" s="1143" t="str">
        <x:f>IFERROR(IF('NCE Notes 12-18'!D36="","",'NCE Notes 12-18'!D36),"")</x:f>
      </x:c>
    </x:row>
    <x:row r="42" ht="19" customHeight="1">
      <x:c r="A42" s="455"/>
      <x:c r="B42" s="1144" t="str">
        <x:v>(d)</x:v>
      </x:c>
      <x:c r="C42" s="1145" t="str">
        <x:v>Cash and bank balances</x:v>
      </x:c>
      <x:c r="D42" s="1146" t="n">
        <x:v>19</x:v>
      </x:c>
      <x:c r="E42" s="1147" t="str">
        <x:f>IFERROR(IF('NCE Notes 12-18'!C50="","",'NCE Notes 12-18'!C50),"")</x:f>
      </x:c>
      <x:c r="F42" s="1148" t="str">
        <x:f>IFERROR(IF('NCE Notes 12-18'!D50="","",'NCE Notes 12-18'!D50),"")</x:f>
      </x:c>
    </x:row>
    <x:row r="43" ht="19" customHeight="1">
      <x:c r="A43" s="455"/>
      <x:c r="B43" s="1144" t="str">
        <x:v>(e)</x:v>
      </x:c>
      <x:c r="C43" s="1145" t="str">
        <x:v>Short-term loans and advances</x:v>
      </x:c>
      <x:c r="D43" s="1146" t="n">
        <x:v>20</x:v>
      </x:c>
      <x:c r="E43" s="1147" t="str">
        <x:f>IFERROR(IF('NCE Notes 12-18'!C64="","",'NCE Notes 12-18'!C64),"")</x:f>
      </x:c>
      <x:c r="F43" s="1148" t="str">
        <x:f>IFERROR(IF('NCE Notes 12-18'!D64="","",'NCE Notes 12-18'!D64),"")</x:f>
      </x:c>
    </x:row>
    <x:row r="44" ht="19" customHeight="1">
      <x:c r="A44" s="455"/>
      <x:c r="B44" s="1144" t="str">
        <x:v>(f)</x:v>
      </x:c>
      <x:c r="C44" s="1145" t="str">
        <x:v>Other current assets</x:v>
      </x:c>
      <x:c r="D44" s="1146" t="n">
        <x:v>21</x:v>
      </x:c>
      <x:c r="E44" s="1147" t="str">
        <x:f>IFERROR(IF('NCE Notes 12-18'!C76="","",'NCE Notes 12-18'!C76),"")</x:f>
      </x:c>
      <x:c r="F44" s="1148" t="str">
        <x:f>IFERROR(IF('NCE Notes 12-18'!D76="","",'NCE Notes 12-18'!D76),"")</x:f>
      </x:c>
    </x:row>
    <x:row r="45" ht="19" customHeight="1">
      <x:c r="A45" s="455"/>
      <x:c r="B45" s="1144" t="str"/>
      <x:c r="C45" s="1145" t="str">
        <x:v>Total Current assets</x:v>
      </x:c>
      <x:c r="D45" s="1146"/>
      <x:c r="E45" s="1147" t="str">
        <x:f>IFERROR(IF('NCE Notes 12-18'!C88="","",'NCE Notes 12-18'!C88),"")</x:f>
      </x:c>
      <x:c r="F45" s="1148" t="str">
        <x:f>IFERROR(IF('NCE Notes 12-18'!D88="","",'NCE Notes 12-18'!D88),"")</x:f>
      </x:c>
    </x:row>
    <x:row r="46" ht="19" customHeight="1">
      <x:c r="A46" s="452"/>
      <x:c r="B46" s="1184" t="str"/>
      <x:c r="C46" s="1185" t="str">
        <x:v>TOTAL ASSETS</x:v>
      </x:c>
      <x:c r="D46" s="1186"/>
      <x:c r="E46" s="1187" t="str">
        <x:f>IF(COUNT(E40:E45)=0,"",SUM(E40:E45))</x:f>
      </x:c>
      <x:c r="F46" s="1187" t="str">
        <x:f>IF(COUNT(F40:F45)=0,"",SUM(F40:F45))</x:f>
      </x:c>
    </x:row>
    <x:row r="47" ht="21" customHeight="1">
      <x:c r="A47" s="455"/>
      <x:c r="B47" s="1205"/>
      <x:c r="C47" s="1206"/>
      <x:c r="D47" s="1207"/>
      <x:c r="E47" s="1208" t="str">
        <x:f>IF(COUNT(E37,E46)=0,"",SUM(E37,E46))</x:f>
      </x:c>
      <x:c r="F47" s="1208" t="str">
        <x:f>IF(COUNT(F37,F46)=0,"",SUM(F37,F46))</x:f>
      </x:c>
    </x:row>
    <x:row r="48">
      <x:c r="A48" s="455"/>
      <x:c r="B48" s="718"/>
      <x:c r="C48" s="719"/>
      <x:c r="D48" s="720"/>
      <x:c r="E48" s="702"/>
      <x:c r="F48" s="702"/>
    </x:row>
    <x:row r="49">
      <x:c r="A49" s="455"/>
      <x:c r="B49" s="672"/>
      <x:c r="C49" s="673"/>
      <x:c r="D49" s="674"/>
      <x:c r="E49" s="703"/>
      <x:c r="F49" s="703"/>
    </x:row>
    <x:row r="50">
      <x:c r="A50" s="455"/>
      <x:c r="B50" s="672"/>
      <x:c r="C50" s="673"/>
      <x:c r="D50" s="674"/>
      <x:c r="E50" s="703"/>
      <x:c r="F50" s="703"/>
    </x:row>
    <x:row r="51" ht="27" customHeight="1">
      <x:c r="A51" s="455"/>
      <x:c r="B51" s="672"/>
      <x:c r="C51" s="673"/>
      <x:c r="D51" s="674"/>
      <x:c r="E51" s="703"/>
      <x:c r="F51" s="703"/>
    </x:row>
    <x:row r="52">
      <x:c r="A52" s="463"/>
      <x:c r="B52" s="729"/>
      <x:c r="C52" s="719"/>
      <x:c r="D52" s="730"/>
      <x:c r="E52" s="704"/>
      <x:c r="F52" s="704"/>
    </x:row>
    <x:row r="53" ht="13.5" customHeight="1">
      <x:c r="A53" s="464"/>
      <x:c r="B53" s="742"/>
      <x:c r="C53" s="743"/>
      <x:c r="D53" s="744"/>
      <x:c r="E53" s="745"/>
      <x:c r="F53" s="745"/>
    </x:row>
    <x:row r="54" ht="13.5" customHeight="1">
      <x:c r="A54" s="463"/>
      <x:c r="B54" s="752"/>
      <x:c r="C54" s="753"/>
      <x:c r="D54" s="754"/>
      <x:c r="E54" s="755"/>
      <x:c r="F54" s="755"/>
    </x:row>
    <x:row r="55">
      <x:c r="A55"/>
      <x:c r="B55"/>
      <x:c r="C55"/>
      <x:c r="D55"/>
      <x:c r="E55"/>
      <x:c r="F55"/>
    </x:row>
    <x:row r="56">
      <x:c r="A56"/>
      <x:c r="B56"/>
      <x:c r="C56"/>
      <x:c r="D56"/>
      <x:c r="E56"/>
      <x:c r="F56"/>
    </x:row>
    <x:row r="57" ht="5.650000095367432" customHeight="1">
      <x:c r="A57"/>
      <x:c r="B57"/>
      <x:c r="C57"/>
      <x:c r="D57"/>
      <x:c r="E57"/>
      <x:c r="F57"/>
    </x:row>
    <x:row r="58">
      <x:c r="A58"/>
      <x:c r="B58"/>
      <x:c r="C58"/>
      <x:c r="D58"/>
      <x:c r="E58"/>
      <x:c r="F58"/>
    </x:row>
    <x:row r="59" ht="4.900000095367432" customHeight="1">
      <x:c r="A59"/>
      <x:c r="B59"/>
      <x:c r="C59"/>
      <x:c r="D59"/>
      <x:c r="E59"/>
      <x:c r="F59"/>
    </x:row>
    <x:row r="60">
      <x:c r="A60"/>
      <x:c r="B60"/>
      <x:c r="C60"/>
      <x:c r="D60"/>
      <x:c r="E60"/>
      <x:c r="F60"/>
    </x:row>
    <x:row r="61">
      <x:c r="A61"/>
      <x:c r="B61"/>
      <x:c r="C61"/>
      <x:c r="D61"/>
      <x:c r="E61"/>
      <x:c r="F61"/>
    </x:row>
    <x:row r="62">
      <x:c r="A62"/>
      <x:c r="B62"/>
      <x:c r="C62"/>
      <x:c r="D62"/>
      <x:c r="E62"/>
      <x:c r="F62"/>
    </x:row>
    <x:row r="63">
      <x:c r="A63"/>
      <x:c r="B63"/>
      <x:c r="C63"/>
      <x:c r="D63"/>
      <x:c r="E63"/>
      <x:c r="F63"/>
    </x:row>
    <x:row r="64">
      <x:c r="A64"/>
      <x:c r="B64"/>
      <x:c r="C64"/>
      <x:c r="D64"/>
      <x:c r="E64"/>
      <x:c r="F64"/>
    </x:row>
    <x:row r="65">
      <x:c r="A65"/>
      <x:c r="B65"/>
      <x:c r="C65"/>
      <x:c r="D65"/>
      <x:c r="E65"/>
      <x:c r="F65"/>
    </x:row>
    <x:row r="66">
      <x:c r="A66"/>
      <x:c r="B66"/>
      <x:c r="C66"/>
      <x:c r="D66"/>
      <x:c r="E66"/>
      <x:c r="F66"/>
    </x:row>
    <x:row r="67">
      <x:c r="A67"/>
      <x:c r="B67"/>
      <x:c r="C67"/>
      <x:c r="D67"/>
      <x:c r="E67"/>
      <x:c r="F67"/>
    </x:row>
    <x:row r="68">
      <x:c r="A68"/>
      <x:c r="B68"/>
      <x:c r="C68"/>
      <x:c r="D68"/>
      <x:c r="E68"/>
      <x:c r="F68"/>
    </x:row>
    <x:row r="69" ht="6" customHeight="1">
      <x:c r="A69"/>
      <x:c r="B69"/>
      <x:c r="C69"/>
      <x:c r="D69"/>
      <x:c r="E69"/>
      <x:c r="F69"/>
    </x:row>
    <x:row r="70">
      <x:c r="A70"/>
      <x:c r="B70"/>
      <x:c r="C70"/>
      <x:c r="D70"/>
      <x:c r="E70"/>
      <x:c r="F70"/>
    </x:row>
    <x:row r="71">
      <x:c r="A71"/>
      <x:c r="B71"/>
      <x:c r="C71"/>
      <x:c r="D71"/>
      <x:c r="E71"/>
      <x:c r="F71"/>
    </x:row>
  </x:sheetData>
  <x:mergeCells>
    <x:mergeCell ref="B1:F1"/>
    <x:mergeCell ref="B2:F2"/>
    <x:mergeCell ref="B3:F3"/>
    <x:mergeCell ref="B4:D4"/>
    <x:mergeCell ref="E4:F4"/>
  </x:mergeCells>
  <x:pageMargins left="0.7" right="0.7" top="0.75" bottom="0.75" header="0.3" footer="0.3"/>
</x:worksheet>
</file>

<file path=xl/worksheets/sheet3.xml><?xml version="1.0" encoding="utf-8"?>
<x:worksheet xmlns:x="http://schemas.openxmlformats.org/spreadsheetml/2006/main">
  <x:sheetFormatPr defaultRowHeight="15"/>
  <x:cols>
    <x:col min="1" max="1" width="9.28515625" hidden="0" customWidth="1"/>
    <x:col min="2" max="2" width="8" hidden="0" customWidth="1"/>
    <x:col min="3" max="3" width="52" hidden="0" customWidth="1"/>
    <x:col min="4" max="4" width="10" hidden="0" customWidth="1"/>
    <x:col min="5" max="5" width="18" hidden="0" customWidth="1"/>
    <x:col min="6" max="6" width="18" hidden="0" customWidth="1"/>
    <x:col min="7" max="7" width="15.1796875" hidden="0" customWidth="1"/>
    <x:col min="8" max="8" width="15.1796875" hidden="0" customWidth="1"/>
    <x:col min="9" max="9" width="15.1796875" hidden="0" customWidth="1"/>
    <x:col min="10" max="10" width="18.453125" hidden="0" customWidth="1"/>
  </x:cols>
  <x:sheetData>
    <x:row r="1" ht="26" customHeight="1">
      <x:c r="A1" s="488"/>
      <x:c r="B1" s="1231" t="str">
        <x:v>STATEMENT OF PROFIT AND LOSS</x:v>
      </x:c>
      <x:c r="C1" s="1232"/>
      <x:c r="D1" s="1232"/>
      <x:c r="E1" s="1232"/>
      <x:c r="F1" s="1232"/>
      <x:c r="G1" s="393"/>
      <x:c r="H1" s="393"/>
      <x:c r="I1" s="393"/>
      <x:c r="J1" s="393"/>
      <x:c r="M1" s="184"/>
    </x:row>
    <x:row r="2" ht="19" customHeight="1">
      <x:c r="A2" s="448"/>
      <x:c r="B2" s="1019" t="str">
        <x:f>IF('Basic Info'!C13="","",'Basic Info'!C13)</x:f>
      </x:c>
      <x:c r="C2" s="1021"/>
      <x:c r="D2" s="1021"/>
      <x:c r="E2" s="1021"/>
      <x:c r="F2" s="1022"/>
      <x:c r="G2" s="413"/>
      <x:c r="H2" s="413"/>
      <x:c r="I2" s="413"/>
      <x:c r="J2" s="413"/>
    </x:row>
    <x:row r="3" ht="19" customHeight="1">
      <x:c r="A3" s="448"/>
      <x:c r="B3" s="1031" t="str">
        <x:f>IF('Basic Info'!C14="","",'Basic Info'!C14)</x:f>
      </x:c>
      <x:c r="C3" s="1033"/>
      <x:c r="D3" s="1033"/>
      <x:c r="E3" s="1033"/>
      <x:c r="F3" s="1034"/>
      <x:c r="G3" s="413"/>
      <x:c r="H3" s="413"/>
      <x:c r="I3" s="413"/>
      <x:c r="J3" s="413"/>
    </x:row>
    <x:row r="4" ht="19" customHeight="1">
      <x:c r="A4" s="488"/>
      <x:c r="B4" s="1039" t="str">
        <x:f>IF('Basic Info'!C8="","For the year ended","For the year ended "&amp;TEXT('Basic Info'!C8,"dd-mmm-yyyy"))</x:f>
        <x:v>For the year ended</x:v>
      </x:c>
      <x:c r="C4" s="1239"/>
      <x:c r="D4" s="1239"/>
      <x:c r="E4" s="1240" t="str">
        <x:v>(Amount in Rs.)</x:v>
      </x:c>
      <x:c r="F4" s="1241"/>
      <x:c r="G4" s="393"/>
      <x:c r="H4" s="393"/>
      <x:c r="I4" s="393"/>
      <x:c r="J4" s="393"/>
    </x:row>
    <x:row r="5" ht="15.600000381469727" customHeight="1">
      <x:c r="A5" s="467"/>
      <x:c r="B5" s="614"/>
      <x:c r="C5" s="616"/>
      <x:c r="D5" s="616"/>
      <x:c r="E5" s="616"/>
      <x:c r="F5" s="758"/>
      <x:c r="G5" s="375"/>
      <x:c r="H5" s="375"/>
      <x:c r="I5" s="375"/>
      <x:c r="J5" s="375"/>
    </x:row>
    <x:row r="6" ht="27" customHeight="1">
      <x:c r="A6" s="488"/>
      <x:c r="B6" s="1047" t="str"/>
      <x:c r="C6" s="1048" t="str">
        <x:v>Particulars</x:v>
      </x:c>
      <x:c r="D6" s="1048" t="str">
        <x:v>Note</x:v>
      </x:c>
      <x:c r="E6" s="1049" t="str">
        <x:v>Current Year</x:v>
      </x:c>
      <x:c r="F6" s="1049" t="str">
        <x:v>Previous Year</x:v>
      </x:c>
      <x:c r="G6" s="393"/>
      <x:c r="H6" s="393"/>
      <x:c r="I6" s="393"/>
      <x:c r="J6" s="393"/>
    </x:row>
    <x:row r="7" ht="20" customHeight="1">
      <x:c r="A7" s="467"/>
      <x:c r="B7" s="1134" t="str">
        <x:v>I</x:v>
      </x:c>
      <x:c r="C7" s="2315" t="str">
        <x:v>Revenue from operations</x:v>
      </x:c>
      <x:c r="D7" s="1136" t="n">
        <x:v>22</x:v>
      </x:c>
      <x:c r="E7" s="1137" t="str">
        <x:f>IFERROR(IF('NCE Notes 12-18'!C100="","",'NCE Notes 12-18'!C100),"")</x:f>
      </x:c>
      <x:c r="F7" s="1138" t="str">
        <x:f>IFERROR(IF('NCE Notes 12-18'!D100="","",'NCE Notes 12-18'!D100),"")</x:f>
      </x:c>
      <x:c r="G7" s="375"/>
      <x:c r="H7" s="375"/>
      <x:c r="I7" s="375"/>
      <x:c r="J7" s="375"/>
    </x:row>
    <x:row r="8" ht="20" customHeight="1">
      <x:c r="A8" s="488"/>
      <x:c r="B8" s="1144" t="str">
        <x:v>II</x:v>
      </x:c>
      <x:c r="C8" s="2316" t="str">
        <x:v>Other income</x:v>
      </x:c>
      <x:c r="D8" s="1146" t="n">
        <x:v>23</x:v>
      </x:c>
      <x:c r="E8" s="1147" t="str">
        <x:f>IFERROR(IF('NCE Notes 12-18'!C112="","",'NCE Notes 12-18'!C112),"")</x:f>
      </x:c>
      <x:c r="F8" s="1148" t="str">
        <x:f>IFERROR(IF('NCE Notes 12-18'!D112="","",'NCE Notes 12-18'!D112),"")</x:f>
      </x:c>
      <x:c r="G8" s="393"/>
      <x:c r="H8" s="393"/>
      <x:c r="I8" s="393"/>
      <x:c r="J8" s="393"/>
    </x:row>
    <x:row r="9" ht="20" customHeight="1">
      <x:c r="A9" s="467"/>
      <x:c r="B9" s="1184" t="str">
        <x:v>III</x:v>
      </x:c>
      <x:c r="C9" s="2317" t="str">
        <x:v>Total Income (I + II)</x:v>
      </x:c>
      <x:c r="D9" s="1186"/>
      <x:c r="E9" s="1187" t="str">
        <x:f>IF(COUNT(E7:E8)=0,"",SUM(E7:E8))</x:f>
      </x:c>
      <x:c r="F9" s="1187" t="str">
        <x:f>IF(COUNT(F7:F8)=0,"",SUM(F7:F8))</x:f>
      </x:c>
      <x:c r="G9" s="375"/>
      <x:c r="H9" s="375"/>
      <x:c r="I9" s="375"/>
      <x:c r="J9" s="375"/>
    </x:row>
    <x:row r="10" ht="20" customHeight="1">
      <x:c r="A10" s="488"/>
      <x:c r="B10" s="1139" t="str"/>
      <x:c r="C10" s="2318" t="str"/>
      <x:c r="D10" s="1141"/>
      <x:c r="E10" s="1142"/>
      <x:c r="F10" s="1143"/>
      <x:c r="G10" s="393"/>
      <x:c r="H10" s="393"/>
      <x:c r="I10" s="393"/>
      <x:c r="J10" s="393"/>
    </x:row>
    <x:row r="11" ht="20" customHeight="1">
      <x:c r="A11" s="488"/>
      <x:c r="B11" s="1174" t="str">
        <x:v>IV</x:v>
      </x:c>
      <x:c r="C11" s="2319" t="str">
        <x:v>Expenses</x:v>
      </x:c>
      <x:c r="D11" s="1176"/>
      <x:c r="E11" s="1177"/>
      <x:c r="F11" s="1178"/>
      <x:c r="G11" s="393"/>
      <x:c r="H11" s="393"/>
      <x:c r="I11" s="393"/>
      <x:c r="J11" s="393"/>
    </x:row>
    <x:row r="12" ht="20" customHeight="1">
      <x:c r="A12" s="450"/>
      <x:c r="B12" s="1139" t="str">
        <x:v>(a)</x:v>
      </x:c>
      <x:c r="C12" s="2318" t="str">
        <x:v>Cost of goods sold</x:v>
      </x:c>
      <x:c r="D12" s="1141" t="n">
        <x:v>24</x:v>
      </x:c>
      <x:c r="E12" s="1142" t="str">
        <x:f>IFERROR(IF('NCE Notes 12-18'!C132="","",'NCE Notes 12-18'!C132),"")</x:f>
      </x:c>
      <x:c r="F12" s="1143" t="str">
        <x:f>IFERROR(IF('NCE Notes 12-18'!D132="","",'NCE Notes 12-18'!D132),"")</x:f>
      </x:c>
      <x:c r="G12" s="401"/>
      <x:c r="H12" s="401"/>
      <x:c r="I12" s="401"/>
      <x:c r="J12" s="401"/>
    </x:row>
    <x:row r="13" ht="20" customHeight="1">
      <x:c r="A13" s="488"/>
      <x:c r="B13" s="1144" t="str">
        <x:v>(b)</x:v>
      </x:c>
      <x:c r="C13" s="2316" t="str">
        <x:v>Employee benefits expense</x:v>
      </x:c>
      <x:c r="D13" s="1146" t="n">
        <x:v>25</x:v>
      </x:c>
      <x:c r="E13" s="1147" t="str">
        <x:f>IFERROR(IF('NCE Notes 12-18'!C146="","",'NCE Notes 12-18'!C146),"")</x:f>
      </x:c>
      <x:c r="F13" s="1148" t="str">
        <x:f>IFERROR(IF('NCE Notes 12-18'!D146="","",'NCE Notes 12-18'!D146),"")</x:f>
      </x:c>
      <x:c r="G13" s="393"/>
      <x:c r="H13" s="393"/>
      <x:c r="I13" s="393"/>
      <x:c r="J13" s="393"/>
    </x:row>
    <x:row r="14" ht="20" customHeight="1">
      <x:c r="A14" s="488"/>
      <x:c r="B14" s="1144" t="str">
        <x:v>(c)</x:v>
      </x:c>
      <x:c r="C14" s="2316" t="str">
        <x:v>Finance costs</x:v>
      </x:c>
      <x:c r="D14" s="1146" t="n">
        <x:v>26</x:v>
      </x:c>
      <x:c r="E14" s="1147" t="str">
        <x:f>IFERROR(IF('NCE Notes 12-18'!C158="","",'NCE Notes 12-18'!C158),"")</x:f>
      </x:c>
      <x:c r="F14" s="1148" t="str">
        <x:f>IFERROR(IF('NCE Notes 12-18'!D158="","",'NCE Notes 12-18'!D158),"")</x:f>
      </x:c>
      <x:c r="G14" s="393"/>
      <x:c r="H14" s="393"/>
      <x:c r="I14" s="393"/>
      <x:c r="J14" s="393"/>
    </x:row>
    <x:row r="15" ht="20" customHeight="1">
      <x:c r="A15" s="488"/>
      <x:c r="B15" s="1144" t="str">
        <x:v>(d)</x:v>
      </x:c>
      <x:c r="C15" s="2316" t="str">
        <x:v>Depreciation and amortisation expense</x:v>
      </x:c>
      <x:c r="D15" s="1146" t="n">
        <x:v>27</x:v>
      </x:c>
      <x:c r="E15" s="1147" t="str">
        <x:f>IFERROR(IF('NCE Notes 12-18'!C168="","",'NCE Notes 12-18'!C168),"")</x:f>
      </x:c>
      <x:c r="F15" s="1148" t="str">
        <x:f>IFERROR(IF('NCE Notes 12-18'!D168="","",'NCE Notes 12-18'!D168),"")</x:f>
      </x:c>
      <x:c r="G15" s="393"/>
      <x:c r="H15" s="393"/>
      <x:c r="I15" s="393"/>
      <x:c r="J15" s="393"/>
    </x:row>
    <x:row r="16" ht="20" customHeight="1">
      <x:c r="A16" s="488"/>
      <x:c r="B16" s="1144" t="str">
        <x:v>(e)</x:v>
      </x:c>
      <x:c r="C16" s="2316" t="str">
        <x:v>Other expenses</x:v>
      </x:c>
      <x:c r="D16" s="1146" t="n">
        <x:v>28</x:v>
      </x:c>
      <x:c r="E16" s="1147" t="str">
        <x:f>IFERROR(IF('NCE Notes 12-18'!C188="","",'NCE Notes 12-18'!C188),"")</x:f>
      </x:c>
      <x:c r="F16" s="1148" t="str">
        <x:f>IFERROR(IF('NCE Notes 12-18'!D188="","",'NCE Notes 12-18'!D188),"")</x:f>
      </x:c>
      <x:c r="G16" s="393"/>
      <x:c r="H16" s="393"/>
      <x:c r="I16" s="393"/>
      <x:c r="J16" s="393"/>
    </x:row>
    <x:row r="17" ht="20" customHeight="1">
      <x:c r="A17" s="488"/>
      <x:c r="B17" s="1184" t="str"/>
      <x:c r="C17" s="2317" t="str">
        <x:v>Total Expenses</x:v>
      </x:c>
      <x:c r="D17" s="1186"/>
      <x:c r="E17" s="1187" t="str">
        <x:f>IF(COUNT(E12:E16)=0,"",SUM(E12:E16))</x:f>
      </x:c>
      <x:c r="F17" s="1187" t="str">
        <x:f>IF(COUNT(F12:F16)=0,"",SUM(F12:F16))</x:f>
      </x:c>
      <x:c r="G17" s="393"/>
      <x:c r="H17" s="393"/>
      <x:c r="I17" s="393"/>
      <x:c r="J17" s="393"/>
    </x:row>
    <x:row r="18" ht="34" customHeight="1">
      <x:c r="A18" s="450"/>
      <x:c r="B18" s="1184" t="str">
        <x:v>V</x:v>
      </x:c>
      <x:c r="C18" s="2317" t="str">
        <x:v>Profit / (Loss) before exceptional items, partners' remuneration and tax</x:v>
      </x:c>
      <x:c r="D18" s="1186"/>
      <x:c r="E18" s="1187" t="str">
        <x:f>IF(COUNT(E9,E17)=0,"",E9-E17)</x:f>
      </x:c>
      <x:c r="F18" s="1187" t="str">
        <x:f>IF(COUNT(F9,F17)=0,"",F9-F17)</x:f>
      </x:c>
      <x:c r="G18" s="399"/>
      <x:c r="H18" s="399"/>
      <x:c r="I18" s="399"/>
      <x:c r="J18" s="399"/>
    </x:row>
    <x:row r="19" ht="20" customHeight="1">
      <x:c r="A19" s="488"/>
      <x:c r="B19" s="1139" t="str">
        <x:v>VI</x:v>
      </x:c>
      <x:c r="C19" s="2318" t="str">
        <x:v>Exceptional items</x:v>
      </x:c>
      <x:c r="D19" s="1141"/>
      <x:c r="E19" s="1296"/>
      <x:c r="F19" s="1297"/>
      <x:c r="G19" s="393"/>
      <x:c r="H19" s="393"/>
      <x:c r="I19" s="393"/>
      <x:c r="J19" s="393"/>
    </x:row>
    <x:row r="20" ht="25" customHeight="1">
      <x:c r="A20" s="488"/>
      <x:c r="B20" s="1184" t="str">
        <x:v>VII</x:v>
      </x:c>
      <x:c r="C20" s="2317" t="str">
        <x:v>Profit / (Loss) before partners' remuneration and tax</x:v>
      </x:c>
      <x:c r="D20" s="1186"/>
      <x:c r="E20" s="1298" t="str">
        <x:f>IF(COUNT(E18:E19)=0,"",E18-E19)</x:f>
      </x:c>
      <x:c r="F20" s="1298" t="str">
        <x:f>IF(COUNT(F18:F19)=0,"",F18-F19)</x:f>
      </x:c>
      <x:c r="G20" s="393"/>
      <x:c r="H20" s="393"/>
      <x:c r="I20" s="393"/>
      <x:c r="J20" s="393"/>
    </x:row>
    <x:row r="21" ht="20" customHeight="1">
      <x:c r="A21" s="488"/>
      <x:c r="B21" s="1139" t="str">
        <x:v>VIII</x:v>
      </x:c>
      <x:c r="C21" s="2318" t="str">
        <x:v>Partners' remuneration</x:v>
      </x:c>
      <x:c r="D21" s="1141"/>
      <x:c r="E21" s="1296"/>
      <x:c r="F21" s="1297"/>
      <x:c r="G21" s="393"/>
      <x:c r="H21" s="393"/>
      <x:c r="I21" s="393"/>
      <x:c r="J21" s="393"/>
    </x:row>
    <x:row r="22" ht="25" customHeight="1">
      <x:c r="A22" s="450"/>
      <x:c r="B22" s="1184" t="str">
        <x:v>IX</x:v>
      </x:c>
      <x:c r="C22" s="2317" t="str">
        <x:v>Profit / (Loss) before tax</x:v>
      </x:c>
      <x:c r="D22" s="1186"/>
      <x:c r="E22" s="1298" t="str">
        <x:f>IF(COUNT(E20:E21)=0,"",E20-E21)</x:f>
      </x:c>
      <x:c r="F22" s="1298" t="str">
        <x:f>IF(COUNT(F20:F21)=0,"",F20-F21)</x:f>
      </x:c>
      <x:c r="G22" s="401"/>
      <x:c r="H22" s="401"/>
      <x:c r="I22" s="401"/>
      <x:c r="J22" s="401"/>
    </x:row>
    <x:row r="23" ht="20" customHeight="1">
      <x:c r="A23" s="488"/>
      <x:c r="B23" s="1144" t="str">
        <x:v>X</x:v>
      </x:c>
      <x:c r="C23" s="2316" t="str">
        <x:v>Tax expense</x:v>
      </x:c>
      <x:c r="D23" s="1146"/>
      <x:c r="E23" s="1299"/>
      <x:c r="F23" s="1300"/>
      <x:c r="G23" s="393"/>
      <x:c r="H23" s="393"/>
      <x:c r="I23" s="393"/>
      <x:c r="J23" s="393"/>
    </x:row>
    <x:row r="24" ht="22" customHeight="1">
      <x:c r="A24" s="488"/>
      <x:c r="B24" s="1205" t="str">
        <x:v>XI</x:v>
      </x:c>
      <x:c r="C24" s="2320" t="str">
        <x:v>Profit / (Loss) for the year</x:v>
      </x:c>
      <x:c r="D24" s="1207"/>
      <x:c r="E24" s="1208" t="str">
        <x:f>IF(COUNT(E22:E23)=0,"",E22-E23)</x:f>
      </x:c>
      <x:c r="F24" s="1208" t="str">
        <x:f>IF(COUNT(F22:F23)=0,"",F22-F23)</x:f>
      </x:c>
      <x:c r="G24" s="393"/>
      <x:c r="H24" s="393"/>
      <x:c r="I24" s="393"/>
      <x:c r="J24" s="393"/>
    </x:row>
    <x:row r="25" ht="25.5" customHeight="1">
      <x:c r="A25" s="488"/>
      <x:c r="B25" s="687"/>
      <x:c r="C25" s="827"/>
      <x:c r="D25" s="828"/>
      <x:c r="E25" s="814"/>
      <x:c r="F25" s="814"/>
      <x:c r="G25" s="393"/>
      <x:c r="H25" s="393"/>
      <x:c r="I25" s="393"/>
      <x:c r="J25" s="393"/>
    </x:row>
    <x:row r="26">
      <x:c r="A26" s="488"/>
      <x:c r="B26" s="793"/>
      <x:c r="C26" s="794"/>
      <x:c r="D26" s="795"/>
      <x:c r="E26" s="813"/>
      <x:c r="F26" s="813"/>
      <x:c r="G26" s="393"/>
      <x:c r="H26" s="393"/>
      <x:c r="I26" s="393"/>
      <x:c r="J26" s="393"/>
    </x:row>
    <x:row r="27">
      <x:c r="A27" s="488"/>
      <x:c r="B27" s="793"/>
      <x:c r="C27" s="794"/>
      <x:c r="D27" s="795"/>
      <x:c r="E27" s="813"/>
      <x:c r="F27" s="813"/>
      <x:c r="G27" s="393"/>
      <x:c r="H27" s="393"/>
      <x:c r="I27" s="393"/>
      <x:c r="J27" s="393"/>
    </x:row>
    <x:row r="28">
      <x:c r="A28" s="450"/>
      <x:c r="B28" s="687"/>
      <x:c r="C28" s="688"/>
      <x:c r="D28" s="828"/>
      <x:c r="E28" s="814"/>
      <x:c r="F28" s="814"/>
      <x:c r="G28" s="399"/>
      <x:c r="H28" s="399"/>
      <x:c r="I28" s="399"/>
      <x:c r="J28" s="399"/>
    </x:row>
    <x:row r="29">
      <x:c r="A29" s="463"/>
      <x:c r="B29" s="729"/>
      <x:c r="C29" s="719"/>
      <x:c r="D29" s="730"/>
      <x:c r="E29" s="704"/>
      <x:c r="F29" s="704"/>
    </x:row>
    <x:row r="30">
      <x:c r="A30" s="464"/>
      <x:c r="B30" s="798"/>
      <x:c r="C30" s="799"/>
      <x:c r="D30" s="800"/>
      <x:c r="E30" s="815"/>
      <x:c r="F30" s="815"/>
    </x:row>
    <x:row r="31">
      <x:c r="A31" s="463"/>
      <x:c r="B31" s="729"/>
      <x:c r="C31" s="719"/>
      <x:c r="D31" s="730"/>
      <x:c r="E31" s="704"/>
      <x:c r="F31" s="704"/>
    </x:row>
    <x:row r="32">
      <x:c r="A32" s="463"/>
      <x:c r="B32" s="802"/>
      <x:c r="C32" s="673"/>
      <x:c r="D32" s="803"/>
      <x:c r="E32" s="706"/>
      <x:c r="F32" s="706"/>
    </x:row>
    <x:row r="33">
      <x:c r="A33" s="463"/>
      <x:c r="B33" s="729"/>
      <x:c r="C33" s="719"/>
      <x:c r="D33" s="730"/>
      <x:c r="E33" s="704"/>
      <x:c r="F33" s="704"/>
    </x:row>
    <x:row r="34">
      <x:c r="A34" s="463"/>
      <x:c r="B34" s="802"/>
      <x:c r="C34" s="673"/>
      <x:c r="D34" s="803"/>
      <x:c r="E34" s="706"/>
      <x:c r="F34" s="706"/>
    </x:row>
    <x:row r="35">
      <x:c r="A35" s="463"/>
      <x:c r="B35" s="676"/>
      <x:c r="C35" s="669"/>
      <x:c r="D35" s="677"/>
      <x:c r="E35" s="704"/>
      <x:c r="F35" s="704"/>
    </x:row>
    <x:row r="36">
      <x:c r="A36" s="463"/>
      <x:c r="B36" s="802"/>
      <x:c r="C36" s="673"/>
      <x:c r="D36" s="803"/>
      <x:c r="E36" s="706"/>
      <x:c r="F36" s="706"/>
    </x:row>
    <x:row r="37">
      <x:c r="A37" s="463"/>
      <x:c r="B37" s="802"/>
      <x:c r="C37" s="673"/>
      <x:c r="D37" s="803"/>
      <x:c r="E37" s="706"/>
      <x:c r="F37" s="706"/>
    </x:row>
    <x:row r="38">
      <x:c r="A38" s="463"/>
      <x:c r="B38" s="802"/>
      <x:c r="C38" s="673"/>
      <x:c r="D38" s="803"/>
      <x:c r="E38" s="816"/>
      <x:c r="F38" s="816"/>
    </x:row>
    <x:row r="39">
      <x:c r="A39" s="463"/>
      <x:c r="B39" s="729"/>
      <x:c r="C39" s="719"/>
      <x:c r="D39" s="730"/>
      <x:c r="E39" s="704"/>
      <x:c r="F39" s="704"/>
    </x:row>
    <x:row r="40">
      <x:c r="A40" s="463"/>
      <x:c r="B40" s="802"/>
      <x:c r="C40" s="673"/>
      <x:c r="D40" s="803"/>
      <x:c r="E40" s="706"/>
      <x:c r="F40" s="706"/>
    </x:row>
    <x:row r="41">
      <x:c r="A41" s="463"/>
      <x:c r="B41" s="729"/>
      <x:c r="C41" s="719"/>
      <x:c r="D41" s="730"/>
      <x:c r="E41" s="704"/>
      <x:c r="F41" s="704"/>
    </x:row>
    <x:row r="42">
      <x:c r="A42" s="463"/>
      <x:c r="B42" s="802"/>
      <x:c r="C42" s="673"/>
      <x:c r="D42" s="803"/>
      <x:c r="E42" s="706"/>
      <x:c r="F42" s="706"/>
    </x:row>
    <x:row r="43">
      <x:c r="A43" s="463"/>
      <x:c r="B43" s="802"/>
      <x:c r="C43" s="673"/>
      <x:c r="D43" s="803"/>
      <x:c r="E43" s="706"/>
      <x:c r="F43" s="706"/>
    </x:row>
    <x:row r="44">
      <x:c r="A44" s="463"/>
      <x:c r="B44" s="802"/>
      <x:c r="C44" s="673"/>
      <x:c r="D44" s="803"/>
      <x:c r="E44" s="706"/>
      <x:c r="F44" s="706"/>
    </x:row>
    <x:row r="45">
      <x:c r="A45" s="463"/>
      <x:c r="B45" s="729"/>
      <x:c r="C45" s="719"/>
      <x:c r="D45" s="730"/>
      <x:c r="E45" s="704"/>
      <x:c r="F45" s="704"/>
    </x:row>
    <x:row r="46">
      <x:c r="A46" s="463"/>
      <x:c r="B46" s="802"/>
      <x:c r="C46" s="673"/>
      <x:c r="D46" s="803"/>
      <x:c r="E46" s="706"/>
      <x:c r="F46" s="706"/>
    </x:row>
    <x:row r="47" ht="13.5" customHeight="1">
      <x:c r="A47" s="463"/>
      <x:c r="B47" s="835"/>
      <x:c r="C47" s="836"/>
      <x:c r="D47" s="837"/>
      <x:c r="E47" s="838"/>
      <x:c r="F47" s="838"/>
    </x:row>
    <x:row r="48" ht="13.5" customHeight="1">
      <x:c r="A48" s="463"/>
      <x:c r="B48" s="802"/>
      <x:c r="C48" s="673"/>
      <x:c r="D48" s="803"/>
      <x:c r="E48" s="706"/>
      <x:c r="F48" s="706"/>
    </x:row>
    <x:row r="49" ht="25.5" customHeight="1">
      <x:c r="A49" s="463"/>
      <x:c r="B49" s="683"/>
      <x:c r="C49" s="684"/>
      <x:c r="D49" s="685"/>
      <x:c r="E49" s="706"/>
      <x:c r="F49" s="706"/>
    </x:row>
    <x:row r="50">
      <x:c r="A50"/>
      <x:c r="B50"/>
      <x:c r="C50"/>
      <x:c r="D50"/>
      <x:c r="E50"/>
      <x:c r="F50"/>
    </x:row>
    <x:row r="51" ht="4.900000095367432" customHeight="1">
      <x:c r="A51"/>
      <x:c r="B51"/>
      <x:c r="C51"/>
      <x:c r="D51"/>
      <x:c r="E51"/>
      <x:c r="F51"/>
    </x:row>
    <x:row r="52">
      <x:c r="A52"/>
      <x:c r="B52" s="839"/>
      <x:c r="C52" s="840"/>
      <x:c r="D52" s="840"/>
      <x:c r="E52" s="840"/>
      <x:c r="F52" s="841"/>
      <x:c r="G52"/>
      <x:c r="H52"/>
      <x:c r="I52"/>
      <x:c r="J52"/>
    </x:row>
    <x:row r="53">
      <x:c r="A53"/>
      <x:c r="B53" s="842"/>
      <x:c r="C53" s="97"/>
      <x:c r="D53" s="97"/>
      <x:c r="E53" s="97"/>
      <x:c r="F53" s="843"/>
      <x:c r="G53"/>
      <x:c r="H53"/>
      <x:c r="I53"/>
      <x:c r="J53"/>
    </x:row>
    <x:row r="54">
      <x:c r="A54"/>
      <x:c r="B54" s="844"/>
      <x:c r="C54" s="845"/>
      <x:c r="D54" s="845"/>
      <x:c r="E54" s="845"/>
      <x:c r="F54" s="846"/>
      <x:c r="G54"/>
      <x:c r="H54"/>
      <x:c r="I54"/>
      <x:c r="J54"/>
    </x:row>
    <x:row r="55">
      <x:c r="A55"/>
      <x:c r="B55"/>
      <x:c r="C55"/>
      <x:c r="D55"/>
      <x:c r="E55"/>
      <x:c r="F55"/>
      <x:c r="G55"/>
      <x:c r="H55"/>
      <x:c r="I55"/>
      <x:c r="J55"/>
    </x:row>
    <x:row r="56">
      <x:c r="A56"/>
      <x:c r="B56"/>
      <x:c r="C56"/>
      <x:c r="D56"/>
      <x:c r="E56"/>
      <x:c r="F56"/>
      <x:c r="G56"/>
      <x:c r="H56"/>
      <x:c r="I56"/>
      <x:c r="J56"/>
    </x:row>
    <x:row r="57">
      <x:c r="A57"/>
      <x:c r="B57"/>
      <x:c r="C57"/>
      <x:c r="D57"/>
      <x:c r="E57"/>
      <x:c r="F57"/>
      <x:c r="G57"/>
      <x:c r="H57"/>
      <x:c r="I57"/>
      <x:c r="J57"/>
    </x:row>
    <x:row r="58">
      <x:c r="A58"/>
      <x:c r="B58"/>
      <x:c r="C58"/>
      <x:c r="D58"/>
      <x:c r="E58"/>
      <x:c r="F58"/>
      <x:c r="G58"/>
      <x:c r="H58"/>
      <x:c r="I58"/>
      <x:c r="J58"/>
    </x:row>
    <x:row r="59">
      <x:c r="A59"/>
      <x:c r="B59"/>
      <x:c r="C59"/>
      <x:c r="D59"/>
      <x:c r="E59"/>
      <x:c r="F59"/>
      <x:c r="G59"/>
      <x:c r="H59"/>
      <x:c r="I59"/>
      <x:c r="J59"/>
    </x:row>
    <x:row r="60">
      <x:c r="A60"/>
      <x:c r="B60"/>
      <x:c r="C60"/>
      <x:c r="D60"/>
      <x:c r="E60"/>
      <x:c r="F60"/>
      <x:c r="G60"/>
      <x:c r="H60"/>
      <x:c r="I60"/>
      <x:c r="J60"/>
    </x:row>
    <x:row r="61">
      <x:c r="A61"/>
      <x:c r="B61"/>
      <x:c r="C61"/>
      <x:c r="D61"/>
      <x:c r="E61"/>
      <x:c r="F61"/>
      <x:c r="G61"/>
      <x:c r="H61"/>
      <x:c r="I61"/>
      <x:c r="J61"/>
    </x:row>
    <x:row r="62">
      <x:c r="A62"/>
      <x:c r="B62"/>
      <x:c r="C62"/>
      <x:c r="D62"/>
      <x:c r="E62"/>
      <x:c r="F62"/>
      <x:c r="G62"/>
      <x:c r="H62"/>
      <x:c r="I62"/>
      <x:c r="J62"/>
    </x:row>
    <x:row r="63">
      <x:c r="A63"/>
      <x:c r="B63"/>
      <x:c r="C63"/>
      <x:c r="D63"/>
      <x:c r="E63"/>
      <x:c r="F63"/>
      <x:c r="G63"/>
      <x:c r="H63"/>
      <x:c r="I63"/>
      <x:c r="J63"/>
    </x:row>
    <x:row r="64">
      <x:c r="A64"/>
      <x:c r="B64"/>
      <x:c r="C64"/>
      <x:c r="D64"/>
      <x:c r="E64"/>
      <x:c r="F64"/>
      <x:c r="G64"/>
      <x:c r="H64"/>
      <x:c r="I64"/>
      <x:c r="J64"/>
    </x:row>
    <x:row r="65">
      <x:c r="A65"/>
      <x:c r="B65"/>
      <x:c r="C65"/>
      <x:c r="D65"/>
      <x:c r="E65"/>
      <x:c r="F65"/>
      <x:c r="G65"/>
      <x:c r="H65"/>
      <x:c r="I65"/>
      <x:c r="J65"/>
    </x:row>
    <x:row r="66">
      <x:c r="A66"/>
      <x:c r="B66"/>
      <x:c r="C66"/>
      <x:c r="D66"/>
      <x:c r="E66"/>
      <x:c r="F66"/>
      <x:c r="G66"/>
      <x:c r="H66"/>
      <x:c r="I66"/>
      <x:c r="J66"/>
    </x:row>
    <x:row r="67">
      <x:c r="A67"/>
      <x:c r="B67"/>
      <x:c r="C67"/>
      <x:c r="D67"/>
      <x:c r="E67"/>
      <x:c r="F67"/>
      <x:c r="G67"/>
      <x:c r="H67"/>
      <x:c r="I67"/>
      <x:c r="J67"/>
    </x:row>
    <x:row r="68">
      <x:c r="A68"/>
      <x:c r="B68"/>
      <x:c r="C68"/>
      <x:c r="D68"/>
      <x:c r="E68"/>
      <x:c r="F68"/>
      <x:c r="G68"/>
      <x:c r="H68"/>
      <x:c r="I68"/>
      <x:c r="J68"/>
    </x:row>
    <x:row r="69">
      <x:c r="A69"/>
      <x:c r="B69"/>
      <x:c r="C69"/>
      <x:c r="D69"/>
      <x:c r="E69"/>
      <x:c r="F69"/>
      <x:c r="G69"/>
      <x:c r="H69"/>
      <x:c r="I69"/>
      <x:c r="J69"/>
    </x:row>
    <x:row r="70">
      <x:c r="A70"/>
      <x:c r="B70"/>
      <x:c r="C70"/>
      <x:c r="D70"/>
      <x:c r="E70"/>
      <x:c r="F70"/>
      <x:c r="G70"/>
      <x:c r="H70"/>
      <x:c r="I70"/>
      <x:c r="J70"/>
    </x:row>
    <x:row r="71">
      <x:c r="A71"/>
      <x:c r="B71"/>
      <x:c r="C71"/>
      <x:c r="D71"/>
      <x:c r="E71"/>
      <x:c r="F71"/>
      <x:c r="G71"/>
      <x:c r="H71"/>
      <x:c r="I71"/>
      <x:c r="J71"/>
    </x:row>
    <x:row r="72">
      <x:c r="A72"/>
      <x:c r="B72"/>
      <x:c r="C72"/>
      <x:c r="D72"/>
      <x:c r="E72"/>
      <x:c r="F72"/>
      <x:c r="G72"/>
      <x:c r="H72"/>
      <x:c r="I72"/>
      <x:c r="J72"/>
    </x:row>
    <x:row r="73">
      <x:c r="A73"/>
      <x:c r="B73"/>
      <x:c r="C73"/>
      <x:c r="D73"/>
      <x:c r="E73"/>
      <x:c r="F73"/>
      <x:c r="G73"/>
      <x:c r="H73"/>
      <x:c r="I73"/>
      <x:c r="J73"/>
    </x:row>
    <x:row r="74">
      <x:c r="A74"/>
      <x:c r="B74"/>
      <x:c r="C74"/>
      <x:c r="D74"/>
      <x:c r="E74"/>
      <x:c r="F74"/>
      <x:c r="G74"/>
      <x:c r="H74"/>
      <x:c r="I74"/>
      <x:c r="J74"/>
    </x:row>
    <x:row r="75">
      <x:c r="A75"/>
      <x:c r="B75"/>
      <x:c r="C75"/>
      <x:c r="D75"/>
      <x:c r="E75"/>
      <x:c r="F75"/>
      <x:c r="G75"/>
      <x:c r="H75"/>
      <x:c r="I75"/>
      <x:c r="J75"/>
    </x:row>
    <x:row r="76">
      <x:c r="A76"/>
      <x:c r="B76"/>
      <x:c r="C76"/>
      <x:c r="D76"/>
      <x:c r="E76"/>
      <x:c r="F76"/>
      <x:c r="G76"/>
      <x:c r="H76"/>
      <x:c r="I76"/>
      <x:c r="J76"/>
    </x:row>
    <x:row r="77">
      <x:c r="A77"/>
      <x:c r="B77"/>
      <x:c r="C77"/>
      <x:c r="D77"/>
      <x:c r="E77"/>
      <x:c r="F77"/>
      <x:c r="G77"/>
      <x:c r="H77"/>
      <x:c r="I77"/>
      <x:c r="J77"/>
    </x:row>
    <x:row r="78">
      <x:c r="A78"/>
      <x:c r="B78"/>
      <x:c r="C78"/>
      <x:c r="D78"/>
      <x:c r="E78"/>
      <x:c r="F78"/>
      <x:c r="G78"/>
      <x:c r="H78"/>
      <x:c r="I78"/>
      <x:c r="J78"/>
    </x:row>
    <x:row r="79">
      <x:c r="A79"/>
      <x:c r="B79"/>
      <x:c r="C79"/>
      <x:c r="D79"/>
      <x:c r="E79"/>
      <x:c r="F79"/>
      <x:c r="G79"/>
      <x:c r="H79"/>
      <x:c r="I79"/>
      <x:c r="J79"/>
    </x:row>
  </x:sheetData>
  <x:mergeCells>
    <x:mergeCell ref="B1:F1"/>
    <x:mergeCell ref="B2:F2"/>
    <x:mergeCell ref="B3:F3"/>
    <x:mergeCell ref="B4:D4"/>
    <x:mergeCell ref="E4:F4"/>
  </x:mergeCells>
  <x:pageMargins left="0.7" right="0.7" top="0.75" bottom="0.75" header="0.3" footer="0.3"/>
</x:worksheet>
</file>

<file path=xl/worksheets/sheet4.xml><?xml version="1.0" encoding="utf-8"?>
<x:worksheet xmlns:x="http://schemas.openxmlformats.org/spreadsheetml/2006/main">
  <x:sheetFormatPr defaultRowHeight="15"/>
  <x:cols>
    <x:col min="1" max="1" width="6.7109375" hidden="0" customWidth="1"/>
    <x:col min="2" max="2" width="28" hidden="0" customWidth="1"/>
    <x:col min="3" max="3" width="18" hidden="0" customWidth="1"/>
    <x:col min="4" max="4" width="18" hidden="0" customWidth="1"/>
    <x:col min="5" max="5" width="18" hidden="0" customWidth="1"/>
    <x:col min="6" max="6" width="18" hidden="0" customWidth="1"/>
    <x:col min="7" max="7" width="17" hidden="0" customWidth="1"/>
    <x:col min="8" max="8" width="1" hidden="0" customWidth="1"/>
    <x:col min="9" max="9" width="17.1796875" hidden="0" customWidth="1"/>
    <x:col min="10" max="10" width="16" hidden="0" customWidth="1"/>
    <x:col min="11" max="11" width="15.26953125" hidden="0" customWidth="1"/>
  </x:cols>
  <x:sheetData>
    <x:row r="1" ht="26" customHeight="1">
      <x:c r="A1" s="520"/>
      <x:c r="B1" s="1231" t="str">
        <x:v>NOTES TO THE FINANCIAL STATEMENTS – 1 TO 2</x:v>
      </x:c>
      <x:c r="C1" s="1232"/>
      <x:c r="D1" s="1232"/>
      <x:c r="E1" s="1232"/>
      <x:c r="F1" s="1232"/>
      <x:c r="G1" s="393"/>
      <x:c r="H1" s="393"/>
      <x:c r="I1" s="393"/>
      <x:c r="J1" s="393"/>
      <x:c r="K1" s="393"/>
      <x:c r="M1" s="184"/>
    </x:row>
    <x:row r="2" ht="19" customHeight="1">
      <x:c r="A2" s="522"/>
      <x:c r="B2" s="1319" t="str">
        <x:f>IF('Basic Info'!C13="","",'Basic Info'!C13)</x:f>
      </x:c>
      <x:c r="C2" s="1320"/>
      <x:c r="D2" s="1321"/>
      <x:c r="E2" s="1321"/>
      <x:c r="F2" s="1316"/>
      <x:c r="G2" s="413"/>
      <x:c r="H2" s="413"/>
      <x:c r="I2" s="413"/>
      <x:c r="J2" s="413"/>
      <x:c r="K2" s="413"/>
    </x:row>
    <x:row r="3" ht="19" customHeight="1">
      <x:c r="A3" s="522"/>
      <x:c r="B3" s="1322" t="str">
        <x:f>IF('Basic Info'!C8="","","Notes forming part of the Financial Statements for the year ended "&amp;TEXT('Basic Info'!C8,"dd-mmm-yyyy"))</x:f>
      </x:c>
      <x:c r="C3" s="1323"/>
      <x:c r="D3" s="1321"/>
      <x:c r="E3" s="1321"/>
      <x:c r="F3" s="1316"/>
      <x:c r="G3" s="413"/>
      <x:c r="H3" s="413"/>
      <x:c r="I3" s="413"/>
      <x:c r="J3" s="413"/>
      <x:c r="K3" s="413"/>
    </x:row>
    <x:row r="4">
      <x:c r="A4" s="520"/>
      <x:c r="B4" s="520"/>
      <x:c r="C4" s="521"/>
      <x:c r="D4" s="521"/>
      <x:c r="E4" s="521"/>
      <x:c r="F4" s="393"/>
      <x:c r="G4" s="393"/>
      <x:c r="H4" s="393"/>
      <x:c r="I4" s="393"/>
      <x:c r="J4" s="393"/>
      <x:c r="K4" s="393"/>
    </x:row>
    <x:row r="5" ht="21" customHeight="1">
      <x:c r="A5" s="520"/>
      <x:c r="B5" s="1330" t="str">
        <x:v>Note 1 – Brief about the Entity</x:v>
      </x:c>
      <x:c r="C5" s="1331"/>
      <x:c r="D5" s="1329"/>
      <x:c r="E5" s="1329"/>
      <x:c r="F5" s="1329"/>
      <x:c r="G5" s="393"/>
      <x:c r="H5" s="393"/>
      <x:c r="I5" s="393"/>
      <x:c r="J5" s="393"/>
      <x:c r="K5" s="393"/>
    </x:row>
    <x:row r="6" ht="24" customHeight="1">
      <x:c r="A6" s="520"/>
      <x:c r="B6" s="1380" t="str"/>
      <x:c r="C6" s="1381"/>
      <x:c r="D6" s="1381"/>
      <x:c r="E6" s="1381"/>
      <x:c r="F6" s="1382"/>
      <x:c r="G6" s="393"/>
      <x:c r="H6" s="393"/>
      <x:c r="I6" s="393"/>
      <x:c r="J6" s="393"/>
      <x:c r="K6" s="393"/>
    </x:row>
    <x:row r="7" ht="24" customHeight="1">
      <x:c r="A7" s="520"/>
      <x:c r="B7" s="1383"/>
      <x:c r="C7" s="1384"/>
      <x:c r="D7" s="1384"/>
      <x:c r="E7" s="1384"/>
      <x:c r="F7" s="1385"/>
      <x:c r="G7" s="393"/>
      <x:c r="H7" s="393"/>
      <x:c r="I7" s="393"/>
      <x:c r="J7" s="393"/>
      <x:c r="K7" s="393"/>
    </x:row>
    <x:row r="8" ht="24" customHeight="1">
      <x:c r="A8" s="520"/>
      <x:c r="B8" s="1383"/>
      <x:c r="C8" s="1384"/>
      <x:c r="D8" s="1384"/>
      <x:c r="E8" s="1384"/>
      <x:c r="F8" s="1385"/>
      <x:c r="G8" s="393"/>
      <x:c r="H8" s="393"/>
      <x:c r="I8" s="393"/>
      <x:c r="J8" s="393"/>
      <x:c r="K8" s="393"/>
    </x:row>
    <x:row r="9" ht="24" customHeight="1">
      <x:c r="A9" s="520"/>
      <x:c r="B9" s="1383"/>
      <x:c r="C9" s="1384"/>
      <x:c r="D9" s="1384"/>
      <x:c r="E9" s="1384"/>
      <x:c r="F9" s="1385"/>
      <x:c r="G9" s="393"/>
      <x:c r="H9" s="393"/>
      <x:c r="I9" s="393"/>
      <x:c r="J9" s="393"/>
      <x:c r="K9" s="393"/>
    </x:row>
    <x:row r="10" ht="24" customHeight="1">
      <x:c r="A10" s="520"/>
      <x:c r="B10" s="1383"/>
      <x:c r="C10" s="1384"/>
      <x:c r="D10" s="1384"/>
      <x:c r="E10" s="1384"/>
      <x:c r="F10" s="1385"/>
      <x:c r="G10" s="393"/>
      <x:c r="H10" s="393"/>
      <x:c r="I10" s="393"/>
      <x:c r="J10" s="393"/>
      <x:c r="K10" s="393"/>
    </x:row>
    <x:row r="11" ht="24" customHeight="1">
      <x:c r="A11" s="520"/>
      <x:c r="B11" s="1383"/>
      <x:c r="C11" s="1384"/>
      <x:c r="D11" s="1384"/>
      <x:c r="E11" s="1384"/>
      <x:c r="F11" s="1385"/>
      <x:c r="G11" s="393"/>
      <x:c r="H11" s="393"/>
      <x:c r="I11" s="393"/>
      <x:c r="J11" s="393"/>
      <x:c r="K11" s="393"/>
    </x:row>
    <x:row r="12" ht="24" customHeight="1">
      <x:c r="A12" s="524"/>
      <x:c r="B12" s="1386"/>
      <x:c r="C12" s="1387"/>
      <x:c r="D12" s="1387"/>
      <x:c r="E12" s="1387"/>
      <x:c r="F12" s="1388"/>
      <x:c r="G12" s="397"/>
      <x:c r="H12" s="397"/>
      <x:c r="I12" s="397"/>
      <x:c r="J12" s="397"/>
      <x:c r="K12" s="397"/>
    </x:row>
    <x:row r="13" ht="21" customHeight="1">
      <x:c r="A13" s="520"/>
      <x:c r="B13" s="885"/>
      <x:c r="C13" s="886"/>
      <x:c r="D13" s="521"/>
      <x:c r="E13" s="521"/>
      <x:c r="F13" s="393"/>
      <x:c r="G13" s="393"/>
      <x:c r="H13" s="393"/>
      <x:c r="I13" s="393"/>
      <x:c r="J13" s="393"/>
      <x:c r="K13" s="393"/>
    </x:row>
    <x:row r="14" ht="21" customHeight="1">
      <x:c r="A14" s="520"/>
      <x:c r="B14" s="1330" t="str">
        <x:v>Note 2 – Summary of Significant Accounting Policies</x:v>
      </x:c>
      <x:c r="C14" s="1331"/>
      <x:c r="D14" s="1329"/>
      <x:c r="E14" s="1331"/>
      <x:c r="F14" s="1329"/>
      <x:c r="G14" s="393"/>
      <x:c r="H14" s="393"/>
      <x:c r="I14" s="393"/>
      <x:c r="J14" s="393"/>
      <x:c r="K14" s="393"/>
    </x:row>
    <x:row r="15" ht="21" customHeight="1">
      <x:c r="A15" s="520"/>
      <x:c r="B15" s="1399" t="str">
        <x:v>Accounting Policy</x:v>
      </x:c>
      <x:c r="C15" s="1400" t="str">
        <x:v>Policy / Disclosure</x:v>
      </x:c>
      <x:c r="D15" s="1401" t="str"/>
      <x:c r="E15" s="1400" t="str"/>
      <x:c r="F15" s="1402" t="str"/>
      <x:c r="G15" s="393"/>
      <x:c r="H15" s="393"/>
      <x:c r="I15" s="393"/>
      <x:c r="J15" s="393"/>
      <x:c r="K15" s="393"/>
    </x:row>
    <x:row r="16" ht="21" customHeight="1">
      <x:c r="A16" s="520"/>
      <x:c r="B16" s="1414" t="str">
        <x:v>Basis of preparation</x:v>
      </x:c>
      <x:c r="C16" s="1415" t="str"/>
      <x:c r="D16" s="1415"/>
      <x:c r="E16" s="1415"/>
      <x:c r="F16" s="1416"/>
      <x:c r="G16" s="393"/>
      <x:c r="H16" s="393"/>
      <x:c r="I16" s="393"/>
      <x:c r="J16" s="393"/>
      <x:c r="K16" s="393"/>
    </x:row>
    <x:row r="17" ht="21" customHeight="1">
      <x:c r="A17" s="520"/>
      <x:c r="B17" s="1414" t="str">
        <x:v>Use of estimates</x:v>
      </x:c>
      <x:c r="C17" s="1415" t="str"/>
      <x:c r="D17" s="1415"/>
      <x:c r="E17" s="1415"/>
      <x:c r="F17" s="1416"/>
      <x:c r="G17" s="393"/>
      <x:c r="H17" s="393"/>
      <x:c r="I17" s="393"/>
      <x:c r="J17" s="393"/>
      <x:c r="K17" s="393"/>
    </x:row>
    <x:row r="18" ht="21" customHeight="1">
      <x:c r="A18" s="520"/>
      <x:c r="B18" s="1414" t="str">
        <x:v>Revenue recognition</x:v>
      </x:c>
      <x:c r="C18" s="1415" t="str"/>
      <x:c r="D18" s="1415"/>
      <x:c r="E18" s="1415"/>
      <x:c r="F18" s="1416"/>
      <x:c r="G18" s="393"/>
      <x:c r="H18" s="393"/>
      <x:c r="I18" s="393"/>
      <x:c r="J18" s="393"/>
      <x:c r="K18" s="393"/>
    </x:row>
    <x:row r="19" ht="21" customHeight="1">
      <x:c r="A19" s="520"/>
      <x:c r="B19" s="1414" t="str">
        <x:v>Property, Plant and Equipment</x:v>
      </x:c>
      <x:c r="C19" s="1415" t="str"/>
      <x:c r="D19" s="1415"/>
      <x:c r="E19" s="1415"/>
      <x:c r="F19" s="1416"/>
      <x:c r="G19" s="393"/>
      <x:c r="H19" s="393"/>
      <x:c r="I19" s="393"/>
      <x:c r="J19" s="393"/>
      <x:c r="K19" s="393"/>
    </x:row>
    <x:row r="20" ht="21" customHeight="1">
      <x:c r="A20" s="520"/>
      <x:c r="B20" s="1414" t="str">
        <x:v>Depreciation and amortisation</x:v>
      </x:c>
      <x:c r="C20" s="1415" t="str"/>
      <x:c r="D20" s="1415"/>
      <x:c r="E20" s="1415"/>
      <x:c r="F20" s="1416"/>
      <x:c r="G20" s="393"/>
      <x:c r="H20" s="393"/>
      <x:c r="I20" s="393"/>
      <x:c r="J20" s="393"/>
      <x:c r="K20" s="393"/>
    </x:row>
    <x:row r="21" ht="21" customHeight="1">
      <x:c r="A21" s="520"/>
      <x:c r="B21" s="1414" t="str">
        <x:v>Inventories</x:v>
      </x:c>
      <x:c r="C21" s="1415" t="str"/>
      <x:c r="D21" s="1415"/>
      <x:c r="E21" s="1415"/>
      <x:c r="F21" s="1416"/>
      <x:c r="G21" s="393"/>
      <x:c r="H21" s="393"/>
      <x:c r="I21" s="393"/>
      <x:c r="J21" s="393"/>
      <x:c r="K21" s="393"/>
    </x:row>
    <x:row r="22" ht="21" customHeight="1">
      <x:c r="A22" s="520"/>
      <x:c r="B22" s="1414" t="str">
        <x:v>Investments</x:v>
      </x:c>
      <x:c r="C22" s="1415" t="str"/>
      <x:c r="D22" s="1415"/>
      <x:c r="E22" s="1415"/>
      <x:c r="F22" s="1416"/>
      <x:c r="G22" s="393"/>
      <x:c r="H22" s="393"/>
      <x:c r="I22" s="393"/>
      <x:c r="J22" s="393"/>
      <x:c r="K22" s="393"/>
    </x:row>
    <x:row r="23" ht="21" customHeight="1">
      <x:c r="A23" s="520"/>
      <x:c r="B23" s="1414" t="str">
        <x:v>Employee benefits</x:v>
      </x:c>
      <x:c r="C23" s="1415" t="str"/>
      <x:c r="D23" s="1415"/>
      <x:c r="E23" s="1415"/>
      <x:c r="F23" s="1416"/>
      <x:c r="G23" s="393"/>
      <x:c r="H23" s="393"/>
      <x:c r="I23" s="393"/>
      <x:c r="J23" s="393"/>
      <x:c r="K23" s="393"/>
    </x:row>
    <x:row r="24" ht="21" customHeight="1">
      <x:c r="A24" s="520"/>
      <x:c r="B24" s="1414" t="str">
        <x:v>Borrowing costs</x:v>
      </x:c>
      <x:c r="C24" s="1415" t="str"/>
      <x:c r="D24" s="1415"/>
      <x:c r="E24" s="1415"/>
      <x:c r="F24" s="1416"/>
      <x:c r="G24" s="393"/>
      <x:c r="H24" s="393"/>
      <x:c r="I24" s="393"/>
      <x:c r="J24" s="393"/>
      <x:c r="K24" s="393"/>
    </x:row>
    <x:row r="25" ht="21" customHeight="1">
      <x:c r="A25" s="520"/>
      <x:c r="B25" s="1414" t="str">
        <x:v>Taxes on income</x:v>
      </x:c>
      <x:c r="C25" s="1415" t="str"/>
      <x:c r="D25" s="1415"/>
      <x:c r="E25" s="1415"/>
      <x:c r="F25" s="1416"/>
      <x:c r="G25" s="393"/>
      <x:c r="H25" s="393"/>
      <x:c r="I25" s="393"/>
      <x:c r="J25" s="393"/>
      <x:c r="K25" s="393"/>
    </x:row>
    <x:row r="26" ht="21" customHeight="1">
      <x:c r="A26" s="520"/>
      <x:c r="B26" s="1414" t="str">
        <x:v>Provisions and contingencies</x:v>
      </x:c>
      <x:c r="C26" s="1415" t="str"/>
      <x:c r="D26" s="1415"/>
      <x:c r="E26" s="1415"/>
      <x:c r="F26" s="1416"/>
      <x:c r="G26" s="393"/>
      <x:c r="H26" s="393"/>
      <x:c r="I26" s="393"/>
      <x:c r="J26" s="393"/>
      <x:c r="K26" s="393"/>
    </x:row>
    <x:row r="27" ht="21" customHeight="1">
      <x:c r="A27" s="520"/>
      <x:c r="B27" s="1414" t="str">
        <x:v>Foreign currency transactions</x:v>
      </x:c>
      <x:c r="C27" s="1415" t="str"/>
      <x:c r="D27" s="1415"/>
      <x:c r="E27" s="1415"/>
      <x:c r="F27" s="1416"/>
      <x:c r="G27" s="393"/>
      <x:c r="H27" s="393"/>
      <x:c r="I27" s="393"/>
      <x:c r="J27" s="393"/>
      <x:c r="K27" s="393"/>
    </x:row>
    <x:row r="28" ht="21" customHeight="1">
      <x:c r="A28" s="520"/>
      <x:c r="B28" s="1414" t="str">
        <x:v>Cash and cash equivalents</x:v>
      </x:c>
      <x:c r="C28" s="1415" t="str"/>
      <x:c r="D28" s="1415"/>
      <x:c r="E28" s="1415"/>
      <x:c r="F28" s="1416"/>
      <x:c r="G28" s="393"/>
      <x:c r="H28" s="393"/>
      <x:c r="I28" s="393"/>
      <x:c r="J28" s="393"/>
      <x:c r="K28" s="393"/>
    </x:row>
    <x:row r="29" ht="21" customHeight="1">
      <x:c r="A29" s="520"/>
      <x:c r="B29" s="1414" t="str">
        <x:v>Other material accounting policies</x:v>
      </x:c>
      <x:c r="C29" s="1415" t="str"/>
      <x:c r="D29" s="1415"/>
      <x:c r="E29" s="1415"/>
      <x:c r="F29" s="1416"/>
      <x:c r="G29" s="393"/>
      <x:c r="H29" s="393"/>
      <x:c r="I29" s="393"/>
      <x:c r="J29" s="393"/>
      <x:c r="K29" s="393"/>
    </x:row>
    <x:row r="30">
      <x:c r="A30" s="524"/>
      <x:c r="B30" s="883"/>
      <x:c r="C30" s="887"/>
      <x:c r="D30" s="525"/>
      <x:c r="E30" s="920"/>
      <x:c r="F30" s="397"/>
      <x:c r="G30" s="397"/>
      <x:c r="H30" s="397"/>
      <x:c r="I30" s="397"/>
      <x:c r="J30" s="397"/>
      <x:c r="K30" s="397"/>
    </x:row>
    <x:row r="31" ht="15" customHeight="1">
      <x:c r="A31" s="520"/>
      <x:c r="B31" s="885"/>
      <x:c r="C31" s="886"/>
      <x:c r="D31" s="521"/>
      <x:c r="E31" s="919"/>
      <x:c r="F31" s="393"/>
      <x:c r="G31" s="393"/>
      <x:c r="H31" s="393"/>
      <x:c r="I31" s="393"/>
      <x:c r="J31" s="393"/>
      <x:c r="K31" s="393"/>
    </x:row>
    <x:row r="32" ht="130.5" customHeight="1">
      <x:c r="A32" s="520"/>
      <x:c r="B32" s="885"/>
      <x:c r="C32" s="886"/>
      <x:c r="D32" s="521"/>
      <x:c r="E32" s="919"/>
      <x:c r="F32" s="393"/>
      <x:c r="G32" s="393"/>
      <x:c r="H32" s="393"/>
      <x:c r="I32" s="393"/>
      <x:c r="J32" s="393"/>
      <x:c r="K32" s="393"/>
    </x:row>
    <x:row r="33">
      <x:c r="A33" s="520"/>
      <x:c r="B33" s="885"/>
      <x:c r="C33" s="886"/>
      <x:c r="D33" s="521"/>
      <x:c r="E33" s="919"/>
      <x:c r="F33" s="393"/>
      <x:c r="G33" s="393"/>
      <x:c r="H33" s="393"/>
      <x:c r="I33" s="393"/>
      <x:c r="J33" s="393"/>
      <x:c r="K33" s="393"/>
    </x:row>
    <x:row r="34" ht="15" customHeight="1">
      <x:c r="A34" s="520"/>
      <x:c r="B34" s="885"/>
      <x:c r="C34" s="886"/>
      <x:c r="D34" s="521"/>
      <x:c r="E34" s="919"/>
      <x:c r="F34" s="393"/>
      <x:c r="G34" s="393"/>
      <x:c r="H34" s="393"/>
      <x:c r="I34" s="393"/>
      <x:c r="J34" s="393"/>
      <x:c r="K34" s="393"/>
    </x:row>
    <x:row r="35" ht="57" customHeight="1">
      <x:c r="A35" s="520"/>
      <x:c r="B35" s="885"/>
      <x:c r="C35" s="886"/>
      <x:c r="D35" s="521"/>
      <x:c r="E35" s="919"/>
      <x:c r="F35" s="393"/>
      <x:c r="G35" s="393"/>
      <x:c r="H35" s="393"/>
      <x:c r="I35" s="393"/>
      <x:c r="J35" s="393"/>
      <x:c r="K35" s="393"/>
    </x:row>
    <x:row r="36">
      <x:c r="A36" s="520"/>
      <x:c r="B36" s="885"/>
      <x:c r="C36" s="886"/>
      <x:c r="D36" s="521"/>
      <x:c r="E36" s="919"/>
      <x:c r="F36" s="393"/>
      <x:c r="G36" s="393"/>
      <x:c r="H36" s="393"/>
      <x:c r="I36" s="393"/>
      <x:c r="J36" s="393"/>
      <x:c r="K36" s="393"/>
    </x:row>
    <x:row r="37" ht="15" customHeight="1">
      <x:c r="A37" s="520"/>
      <x:c r="B37" s="885"/>
      <x:c r="C37" s="886"/>
      <x:c r="D37" s="521"/>
      <x:c r="E37" s="919"/>
      <x:c r="F37" s="393"/>
      <x:c r="G37" s="393"/>
      <x:c r="H37" s="393"/>
      <x:c r="I37" s="393"/>
      <x:c r="J37" s="393"/>
      <x:c r="K37" s="393"/>
    </x:row>
    <x:row r="38" ht="57" customHeight="1">
      <x:c r="A38" s="520"/>
      <x:c r="B38" s="885"/>
      <x:c r="C38" s="886"/>
      <x:c r="D38" s="521"/>
      <x:c r="E38" s="919"/>
      <x:c r="F38" s="393"/>
      <x:c r="G38" s="393"/>
      <x:c r="H38" s="393"/>
      <x:c r="I38" s="393"/>
      <x:c r="J38" s="393"/>
      <x:c r="K38" s="393"/>
    </x:row>
    <x:row r="39">
      <x:c r="A39" s="520"/>
      <x:c r="B39" s="885"/>
      <x:c r="C39" s="886"/>
      <x:c r="D39" s="521"/>
      <x:c r="E39" s="919"/>
      <x:c r="F39" s="393"/>
      <x:c r="G39" s="393"/>
      <x:c r="H39" s="393"/>
      <x:c r="I39" s="393"/>
      <x:c r="J39" s="393"/>
      <x:c r="K39" s="393"/>
    </x:row>
    <x:row r="40" ht="15" customHeight="1">
      <x:c r="A40" s="520"/>
      <x:c r="B40" s="885"/>
      <x:c r="C40" s="886"/>
      <x:c r="D40" s="521"/>
      <x:c r="E40" s="919"/>
      <x:c r="F40" s="393"/>
      <x:c r="G40" s="393"/>
      <x:c r="H40" s="393"/>
      <x:c r="I40" s="393"/>
      <x:c r="J40" s="393"/>
      <x:c r="K40" s="393"/>
    </x:row>
    <x:row r="41" ht="28.5" customHeight="1">
      <x:c r="A41" s="520"/>
      <x:c r="B41" s="885"/>
      <x:c r="C41" s="886"/>
      <x:c r="D41" s="521"/>
      <x:c r="E41" s="919"/>
      <x:c r="F41" s="393"/>
      <x:c r="G41" s="393"/>
      <x:c r="H41" s="393"/>
      <x:c r="I41" s="393"/>
      <x:c r="J41" s="393"/>
      <x:c r="K41" s="393"/>
    </x:row>
    <x:row r="42">
      <x:c r="A42" s="520"/>
      <x:c r="B42" s="885"/>
      <x:c r="C42" s="886"/>
      <x:c r="D42" s="521"/>
      <x:c r="E42" s="919"/>
      <x:c r="F42" s="393"/>
      <x:c r="G42" s="393"/>
      <x:c r="H42" s="393"/>
      <x:c r="I42" s="393"/>
      <x:c r="J42" s="393"/>
      <x:c r="K42" s="393"/>
    </x:row>
    <x:row r="43" ht="15" customHeight="1">
      <x:c r="A43" s="520"/>
      <x:c r="B43" s="885"/>
      <x:c r="C43" s="886"/>
      <x:c r="D43" s="521"/>
      <x:c r="E43" s="919"/>
      <x:c r="F43" s="393"/>
      <x:c r="G43" s="393"/>
      <x:c r="H43" s="393"/>
      <x:c r="I43" s="393"/>
      <x:c r="J43" s="393"/>
      <x:c r="K43" s="393"/>
    </x:row>
    <x:row r="44" ht="159" customHeight="1">
      <x:c r="A44" s="520"/>
      <x:c r="B44" s="885"/>
      <x:c r="C44" s="886"/>
      <x:c r="D44" s="521"/>
      <x:c r="E44" s="919"/>
      <x:c r="F44" s="393"/>
      <x:c r="G44" s="393"/>
      <x:c r="H44" s="393"/>
      <x:c r="I44" s="393"/>
      <x:c r="J44" s="393"/>
      <x:c r="K44" s="393"/>
    </x:row>
    <x:row r="45">
      <x:c r="A45" s="524"/>
      <x:c r="B45" s="883"/>
      <x:c r="C45" s="887"/>
      <x:c r="D45" s="525"/>
      <x:c r="E45" s="920"/>
      <x:c r="F45" s="397"/>
      <x:c r="G45" s="397"/>
      <x:c r="H45" s="397"/>
      <x:c r="I45" s="397"/>
      <x:c r="J45" s="397"/>
      <x:c r="K45" s="397"/>
    </x:row>
    <x:row r="46" ht="15" customHeight="1">
      <x:c r="A46" s="520"/>
      <x:c r="B46" s="885"/>
      <x:c r="C46" s="886"/>
      <x:c r="D46" s="521"/>
      <x:c r="E46" s="919"/>
      <x:c r="F46" s="393"/>
      <x:c r="G46" s="393"/>
      <x:c r="H46" s="393"/>
      <x:c r="I46" s="393"/>
      <x:c r="J46" s="393"/>
      <x:c r="K46" s="393"/>
    </x:row>
    <x:row r="47" ht="157.5" customHeight="1">
      <x:c r="A47" s="524"/>
      <x:c r="B47" s="883"/>
      <x:c r="C47" s="887"/>
      <x:c r="D47" s="525"/>
      <x:c r="E47" s="920"/>
      <x:c r="F47" s="397"/>
      <x:c r="G47" s="397"/>
      <x:c r="H47" s="397"/>
      <x:c r="I47" s="397"/>
      <x:c r="J47" s="397"/>
      <x:c r="K47" s="397"/>
    </x:row>
    <x:row r="48" ht="14" customHeight="1">
      <x:c r="A48" s="520"/>
      <x:c r="B48" s="885"/>
      <x:c r="C48" s="886"/>
      <x:c r="D48" s="521"/>
      <x:c r="E48" s="919"/>
      <x:c r="F48" s="393"/>
      <x:c r="G48" s="393"/>
      <x:c r="H48" s="393"/>
      <x:c r="I48" s="393"/>
      <x:c r="J48" s="393"/>
      <x:c r="K48" s="393"/>
    </x:row>
    <x:row r="49" ht="15" customHeight="1">
      <x:c r="A49" s="520"/>
      <x:c r="B49" s="885"/>
      <x:c r="C49" s="886"/>
      <x:c r="D49" s="521"/>
      <x:c r="E49" s="919"/>
      <x:c r="F49" s="393"/>
      <x:c r="G49" s="393"/>
      <x:c r="H49" s="393"/>
      <x:c r="I49" s="393"/>
      <x:c r="J49" s="393"/>
      <x:c r="K49" s="393"/>
    </x:row>
    <x:row r="50" ht="71.25" customHeight="1">
      <x:c r="A50" s="520"/>
      <x:c r="B50" s="885"/>
      <x:c r="C50" s="886"/>
      <x:c r="D50" s="521"/>
      <x:c r="E50" s="919"/>
      <x:c r="F50" s="393"/>
      <x:c r="G50" s="393"/>
      <x:c r="H50" s="393"/>
      <x:c r="I50" s="393"/>
      <x:c r="J50" s="393"/>
      <x:c r="K50" s="393"/>
    </x:row>
    <x:row r="51">
      <x:c r="A51" s="520"/>
      <x:c r="B51" s="885"/>
      <x:c r="C51" s="886"/>
      <x:c r="D51" s="521"/>
      <x:c r="E51" s="919"/>
      <x:c r="F51" s="393"/>
      <x:c r="G51" s="393"/>
      <x:c r="H51" s="393"/>
      <x:c r="I51" s="393"/>
      <x:c r="J51" s="393"/>
      <x:c r="K51" s="393"/>
    </x:row>
    <x:row r="52" ht="15" customHeight="1">
      <x:c r="A52" s="520"/>
      <x:c r="B52" s="885"/>
      <x:c r="C52" s="886"/>
      <x:c r="D52" s="521"/>
      <x:c r="E52" s="919"/>
      <x:c r="F52" s="393"/>
      <x:c r="G52" s="393"/>
      <x:c r="H52" s="393"/>
      <x:c r="I52" s="393"/>
      <x:c r="J52" s="393"/>
      <x:c r="K52" s="393"/>
    </x:row>
    <x:row r="53" ht="71.25" customHeight="1">
      <x:c r="A53" s="520"/>
      <x:c r="B53" s="885"/>
      <x:c r="C53" s="886"/>
      <x:c r="D53" s="521"/>
      <x:c r="E53" s="919"/>
      <x:c r="F53" s="393"/>
      <x:c r="G53" s="393"/>
      <x:c r="H53" s="393"/>
      <x:c r="I53" s="393"/>
      <x:c r="J53" s="393"/>
      <x:c r="K53" s="393"/>
    </x:row>
    <x:row r="54" ht="27" customHeight="1">
      <x:c r="A54" s="520"/>
      <x:c r="B54" s="885"/>
      <x:c r="C54" s="886"/>
      <x:c r="D54" s="521"/>
      <x:c r="E54" s="919"/>
      <x:c r="F54" s="393"/>
      <x:c r="G54" s="393"/>
      <x:c r="H54" s="393"/>
      <x:c r="I54" s="393"/>
      <x:c r="J54" s="393"/>
      <x:c r="K54" s="393"/>
    </x:row>
    <x:row r="55" ht="15" customHeight="1">
      <x:c r="A55" s="520"/>
      <x:c r="B55" s="885"/>
      <x:c r="C55" s="886"/>
      <x:c r="D55" s="521"/>
      <x:c r="E55" s="919"/>
      <x:c r="F55" s="393"/>
      <x:c r="G55" s="393"/>
      <x:c r="H55" s="393"/>
      <x:c r="I55" s="393"/>
      <x:c r="J55" s="393"/>
      <x:c r="K55" s="393"/>
    </x:row>
    <x:row r="56" ht="99.75" customHeight="1">
      <x:c r="A56" s="520"/>
      <x:c r="B56" s="885"/>
      <x:c r="C56" s="886"/>
      <x:c r="D56" s="521"/>
      <x:c r="E56" s="919"/>
      <x:c r="F56" s="393"/>
      <x:c r="G56" s="393"/>
      <x:c r="H56" s="393"/>
      <x:c r="I56" s="393"/>
      <x:c r="J56" s="393"/>
      <x:c r="K56" s="393"/>
    </x:row>
    <x:row r="57">
      <x:c r="A57" s="520"/>
      <x:c r="B57" s="885"/>
      <x:c r="C57" s="886"/>
      <x:c r="D57" s="521"/>
      <x:c r="E57" s="919"/>
      <x:c r="F57" s="393"/>
      <x:c r="G57" s="393"/>
      <x:c r="H57" s="393"/>
      <x:c r="I57" s="393"/>
      <x:c r="J57" s="393"/>
      <x:c r="K57" s="393"/>
    </x:row>
    <x:row r="58" ht="15" customHeight="1">
      <x:c r="A58" s="520"/>
      <x:c r="B58" s="885"/>
      <x:c r="C58" s="886"/>
      <x:c r="D58" s="521"/>
      <x:c r="E58" s="919"/>
      <x:c r="F58" s="393"/>
      <x:c r="G58" s="393"/>
      <x:c r="H58" s="393"/>
      <x:c r="I58" s="393"/>
      <x:c r="J58" s="393"/>
      <x:c r="K58" s="393"/>
    </x:row>
    <x:row r="59" ht="158.25" customHeight="1">
      <x:c r="A59" s="520"/>
      <x:c r="B59" s="885"/>
      <x:c r="C59" s="886"/>
      <x:c r="D59" s="521"/>
      <x:c r="E59" s="919"/>
      <x:c r="F59" s="393"/>
      <x:c r="G59" s="393"/>
      <x:c r="H59" s="393"/>
      <x:c r="I59" s="393"/>
      <x:c r="J59" s="393"/>
      <x:c r="K59" s="393"/>
    </x:row>
    <x:row r="60">
      <x:c r="A60" s="520"/>
      <x:c r="B60" s="885"/>
      <x:c r="C60" s="886"/>
      <x:c r="D60" s="521"/>
      <x:c r="E60" s="919"/>
      <x:c r="F60" s="393"/>
      <x:c r="G60" s="393"/>
      <x:c r="H60" s="393"/>
      <x:c r="I60" s="393"/>
      <x:c r="J60" s="393"/>
      <x:c r="K60" s="393"/>
    </x:row>
    <x:row r="61" ht="15" customHeight="1">
      <x:c r="A61" s="520"/>
      <x:c r="B61" s="885"/>
      <x:c r="C61" s="886"/>
      <x:c r="D61" s="521"/>
      <x:c r="E61" s="919"/>
      <x:c r="F61" s="393"/>
      <x:c r="G61" s="393"/>
      <x:c r="H61" s="393"/>
      <x:c r="I61" s="393"/>
      <x:c r="J61" s="393"/>
      <x:c r="K61" s="393"/>
    </x:row>
    <x:row r="62" ht="57" customHeight="1">
      <x:c r="A62" s="520"/>
      <x:c r="B62" s="885"/>
      <x:c r="C62" s="886"/>
      <x:c r="D62" s="521"/>
      <x:c r="E62" s="919"/>
      <x:c r="F62" s="393"/>
      <x:c r="G62" s="393"/>
      <x:c r="H62" s="393"/>
      <x:c r="I62" s="393"/>
      <x:c r="J62" s="393"/>
      <x:c r="K62" s="393"/>
    </x:row>
    <x:row r="63">
      <x:c r="A63" s="520"/>
      <x:c r="B63" s="885"/>
      <x:c r="C63" s="886"/>
      <x:c r="D63" s="521"/>
      <x:c r="E63" s="919"/>
      <x:c r="F63" s="393"/>
      <x:c r="G63" s="393"/>
      <x:c r="H63" s="393"/>
      <x:c r="I63" s="393"/>
      <x:c r="J63" s="393"/>
      <x:c r="K63" s="393"/>
    </x:row>
    <x:row r="64" ht="29.25" customHeight="1">
      <x:c r="A64" s="520"/>
      <x:c r="B64" s="885"/>
      <x:c r="C64" s="886"/>
      <x:c r="D64" s="521"/>
      <x:c r="E64" s="919"/>
      <x:c r="F64" s="393"/>
      <x:c r="G64" s="393"/>
      <x:c r="H64" s="393"/>
      <x:c r="I64" s="393"/>
      <x:c r="J64" s="393"/>
      <x:c r="K64" s="393"/>
    </x:row>
    <x:row r="65" ht="4.5" customHeight="1">
      <x:c r="A65" s="520"/>
      <x:c r="B65" s="885"/>
      <x:c r="C65" s="886"/>
      <x:c r="D65" s="521"/>
      <x:c r="E65" s="919"/>
      <x:c r="F65" s="393"/>
      <x:c r="G65" s="393"/>
      <x:c r="H65" s="393"/>
      <x:c r="I65" s="393"/>
      <x:c r="J65" s="393"/>
      <x:c r="K65" s="393"/>
    </x:row>
    <x:row r="66" ht="15" customHeight="1">
      <x:c r="A66" s="520"/>
      <x:c r="B66" s="885"/>
      <x:c r="C66" s="886"/>
      <x:c r="D66" s="521"/>
      <x:c r="E66" s="919"/>
      <x:c r="F66" s="393"/>
      <x:c r="G66" s="393"/>
      <x:c r="H66" s="393"/>
      <x:c r="I66" s="393"/>
      <x:c r="J66" s="393"/>
      <x:c r="K66" s="393"/>
    </x:row>
    <x:row r="67">
      <x:c r="A67" s="526"/>
      <x:c r="B67" s="885"/>
      <x:c r="C67" s="904"/>
      <x:c r="D67" s="526"/>
      <x:c r="E67" s="921"/>
    </x:row>
    <x:row r="68" ht="15" customHeight="1">
      <x:c r="A68" s="527"/>
      <x:c r="B68" s="905"/>
      <x:c r="C68" s="906"/>
      <x:c r="D68" s="527"/>
      <x:c r="E68" s="922"/>
      <x:c r="F68" s="79"/>
    </x:row>
    <x:row r="69">
      <x:c r="A69" s="526"/>
      <x:c r="B69" s="885"/>
      <x:c r="C69" s="904"/>
      <x:c r="D69" s="526"/>
      <x:c r="E69" s="921"/>
    </x:row>
    <x:row r="70">
      <x:c r="A70" s="526"/>
      <x:c r="B70" s="885"/>
      <x:c r="C70" s="904"/>
      <x:c r="D70" s="526"/>
      <x:c r="E70" s="921"/>
    </x:row>
    <x:row r="71">
      <x:c r="A71" s="526"/>
      <x:c r="B71" s="885"/>
      <x:c r="C71" s="904"/>
      <x:c r="D71" s="526"/>
      <x:c r="E71" s="921"/>
    </x:row>
  </x:sheetData>
  <x:mergeCells>
    <x:mergeCell ref="B1:F1"/>
    <x:mergeCell ref="B2:F2"/>
    <x:mergeCell ref="B3:F3"/>
    <x:mergeCell ref="B5:F5"/>
    <x:mergeCell ref="B6:F12"/>
    <x:mergeCell ref="B14:F14"/>
    <x:mergeCell ref="C16:F16"/>
    <x:mergeCell ref="C17:F17"/>
    <x:mergeCell ref="C18:F18"/>
    <x:mergeCell ref="C19:F19"/>
    <x:mergeCell ref="C20:F20"/>
    <x:mergeCell ref="C21:F21"/>
    <x:mergeCell ref="C22:F22"/>
    <x:mergeCell ref="C23:F23"/>
    <x:mergeCell ref="C24:F24"/>
    <x:mergeCell ref="C25:F25"/>
    <x:mergeCell ref="C26:F26"/>
    <x:mergeCell ref="C27:F27"/>
    <x:mergeCell ref="C28:F28"/>
    <x:mergeCell ref="C29:F29"/>
  </x:mergeCells>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34" hidden="0" customWidth="1"/>
    <x:col min="3" max="3" width="11"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8" hidden="0" customWidth="1"/>
    <x:col min="11" max="11" width="18" hidden="0" customWidth="1"/>
    <x:col min="12" max="12" width="3" hidden="0" customWidth="1"/>
  </x:cols>
  <x:sheetData>
    <x:row r="1" ht="26" customHeight="1">
      <x:c r="A1" s="750"/>
      <x:c r="B1" s="2321" t="str">
        <x:v>NOTES TO THE FINANCIAL STATEMENTS – 3 TO 6</x:v>
      </x:c>
      <x:c r="C1" s="2322"/>
      <x:c r="D1" s="2322"/>
      <x:c r="E1" s="2322"/>
      <x:c r="F1" s="2322"/>
      <x:c r="G1" s="2322"/>
      <x:c r="H1" s="2322"/>
      <x:c r="I1" s="2322"/>
      <x:c r="J1" s="2322"/>
      <x:c r="K1" s="2322"/>
      <x:c r="M1" s="184"/>
    </x:row>
    <x:row r="2" ht="19" customHeight="1">
      <x:c r="A2" s="979"/>
      <x:c r="B2" s="2325" t="str">
        <x:f>IF('Basic Info'!C13="","",'Basic Info'!C13)</x:f>
      </x:c>
      <x:c r="C2" s="2326"/>
      <x:c r="D2" s="2326"/>
      <x:c r="E2" s="2326"/>
      <x:c r="F2" s="2326"/>
      <x:c r="G2" s="2326"/>
      <x:c r="H2" s="2326"/>
      <x:c r="I2" s="2326"/>
      <x:c r="J2" s="2326"/>
      <x:c r="K2" s="2326"/>
    </x:row>
    <x:row r="3" ht="19" customHeight="1">
      <x:c r="A3" s="979"/>
      <x:c r="B3" s="2325" t="str">
        <x:f>IF('Basic Info'!C8="","","Notes forming part of the Financial Statements for the year ended "&amp;TEXT('Basic Info'!C8,"dd-mmm-yyyy"))</x:f>
      </x:c>
      <x:c r="C3" s="2326"/>
      <x:c r="D3" s="2326"/>
      <x:c r="E3" s="2326"/>
      <x:c r="F3" s="2326"/>
      <x:c r="G3" s="2326"/>
      <x:c r="H3" s="2326"/>
      <x:c r="I3" s="2326"/>
      <x:c r="J3" s="2326"/>
      <x:c r="K3" s="2326"/>
    </x:row>
    <x:row r="4" ht="16.5" customHeight="1">
      <x:c r="A4" s="750"/>
      <x:c r="B4" s="977"/>
      <x:c r="C4" s="978"/>
      <x:c r="D4" s="813"/>
      <x:c r="E4" s="813"/>
      <x:c r="F4" s="813"/>
      <x:c r="G4" s="813"/>
      <x:c r="H4" s="813"/>
      <x:c r="I4" s="813"/>
      <x:c r="J4" s="813"/>
      <x:c r="K4" s="813"/>
    </x:row>
    <x:row r="5" ht="22" customHeight="1">
      <x:c r="A5" s="2332" t="str">
        <x:v>Note 3 – Owners' Capital Account</x:v>
      </x:c>
      <x:c r="B5" s="2329"/>
      <x:c r="C5" s="2330"/>
      <x:c r="D5" s="2331"/>
      <x:c r="E5" s="2331"/>
      <x:c r="F5" s="2331"/>
      <x:c r="G5" s="2331"/>
      <x:c r="H5" s="2331"/>
      <x:c r="I5" s="2331"/>
      <x:c r="J5" s="2331"/>
      <x:c r="K5" s="2331"/>
      <x:c r="L5" s="1435"/>
    </x:row>
    <x:row r="6" ht="36" customHeight="1">
      <x:c r="A6" s="2334" t="str">
        <x:v>Sr.</x:v>
      </x:c>
      <x:c r="B6" s="2377" t="str">
        <x:v>Name of Partner / Proprietor / Owner</x:v>
      </x:c>
      <x:c r="C6" s="2335" t="str">
        <x:v>Share %</x:v>
      </x:c>
      <x:c r="D6" s="2335" t="str">
        <x:v>Opening Balance</x:v>
      </x:c>
      <x:c r="E6" s="2335" t="str">
        <x:v>Capital Introduced</x:v>
      </x:c>
      <x:c r="F6" s="2335" t="str">
        <x:v>Remuneration</x:v>
      </x:c>
      <x:c r="G6" s="2335" t="str">
        <x:v>Interest</x:v>
      </x:c>
      <x:c r="H6" s="2335" t="str">
        <x:v>Withdrawals</x:v>
      </x:c>
      <x:c r="I6" s="2335" t="str">
        <x:v>Share of Profit / (Loss)</x:v>
      </x:c>
      <x:c r="J6" s="2335" t="str">
        <x:v>Closing Balance</x:v>
      </x:c>
      <x:c r="K6" s="2338" t="str">
        <x:v>Previous Year Closing</x:v>
      </x:c>
      <x:c r="L6" s="1484"/>
    </x:row>
    <x:row r="7" ht="22" customHeight="1">
      <x:c r="A7" s="2378" t="n">
        <x:v>1</x:v>
      </x:c>
      <x:c r="B7" s="2384"/>
      <x:c r="C7" s="2394"/>
      <x:c r="D7" s="2387"/>
      <x:c r="E7" s="2387"/>
      <x:c r="F7" s="2387"/>
      <x:c r="G7" s="2387"/>
      <x:c r="H7" s="2387"/>
      <x:c r="I7" s="2387"/>
      <x:c r="J7" s="2187" t="str">
        <x:f>IF(COUNTA(C7:I7)=0,"",D7+E7+F7+G7-H7+I7)</x:f>
      </x:c>
      <x:c r="K7" s="2392"/>
      <x:c r="L7" s="1501"/>
    </x:row>
    <x:row r="8" ht="22" customHeight="1">
      <x:c r="A8" s="2378" t="n">
        <x:v>2</x:v>
      </x:c>
      <x:c r="B8" s="2384"/>
      <x:c r="C8" s="2394"/>
      <x:c r="D8" s="2387"/>
      <x:c r="E8" s="2387"/>
      <x:c r="F8" s="2387"/>
      <x:c r="G8" s="2387"/>
      <x:c r="H8" s="2387"/>
      <x:c r="I8" s="2387"/>
      <x:c r="J8" s="2187" t="str">
        <x:f>IF(COUNTA(C8:I8)=0,"",D8+E8+F8+G8-H8+I8)</x:f>
      </x:c>
      <x:c r="K8" s="2392"/>
      <x:c r="L8" s="1501"/>
    </x:row>
    <x:row r="9" ht="22" customHeight="1">
      <x:c r="A9" s="2378" t="n">
        <x:v>3</x:v>
      </x:c>
      <x:c r="B9" s="2384"/>
      <x:c r="C9" s="2394"/>
      <x:c r="D9" s="2387"/>
      <x:c r="E9" s="2387"/>
      <x:c r="F9" s="2387"/>
      <x:c r="G9" s="2387"/>
      <x:c r="H9" s="2387"/>
      <x:c r="I9" s="2388"/>
      <x:c r="J9" s="2188" t="str">
        <x:f>IF(COUNTA(C9:I9)=0,"",D9+E9+F9+G9-H9+I9)</x:f>
      </x:c>
      <x:c r="K9" s="2393"/>
      <x:c r="L9" s="1501"/>
    </x:row>
    <x:row r="10" ht="22" customHeight="1">
      <x:c r="A10" s="2378" t="n">
        <x:v>4</x:v>
      </x:c>
      <x:c r="B10" s="2384"/>
      <x:c r="C10" s="2394"/>
      <x:c r="D10" s="2387"/>
      <x:c r="E10" s="2387"/>
      <x:c r="F10" s="2387"/>
      <x:c r="G10" s="2387"/>
      <x:c r="H10" s="2387"/>
      <x:c r="I10" s="2387"/>
      <x:c r="J10" s="2187" t="str">
        <x:f>IF(COUNTA(C10:I10)=0,"",D10+E10+F10+G10-H10+I10)</x:f>
      </x:c>
      <x:c r="K10" s="2392"/>
      <x:c r="L10" s="1501"/>
    </x:row>
    <x:row r="11" ht="22" customHeight="1">
      <x:c r="A11" s="2380" t="n">
        <x:v>5</x:v>
      </x:c>
      <x:c r="B11" s="2389"/>
      <x:c r="C11" s="2395"/>
      <x:c r="D11" s="2388"/>
      <x:c r="E11" s="2388"/>
      <x:c r="F11" s="2388"/>
      <x:c r="G11" s="2388"/>
      <x:c r="H11" s="2388"/>
      <x:c r="I11" s="2388"/>
      <x:c r="J11" s="2188" t="str">
        <x:f>IF(COUNTA(C11:I11)=0,"",D11+E11+F11+G11-H11+I11)</x:f>
      </x:c>
      <x:c r="K11" s="2393"/>
      <x:c r="L11" s="1501"/>
    </x:row>
    <x:row r="12" ht="22" customHeight="1">
      <x:c r="A12" s="2380" t="n">
        <x:v>6</x:v>
      </x:c>
      <x:c r="B12" s="2389"/>
      <x:c r="C12" s="2395"/>
      <x:c r="D12" s="2388"/>
      <x:c r="E12" s="2388"/>
      <x:c r="F12" s="2388"/>
      <x:c r="G12" s="2388"/>
      <x:c r="H12" s="2388"/>
      <x:c r="I12" s="2388"/>
      <x:c r="J12" s="2188" t="str">
        <x:f>IF(COUNTA(C12:I12)=0,"",D12+E12+F12+G12-H12+I12)</x:f>
      </x:c>
      <x:c r="K12" s="2393"/>
      <x:c r="L12" s="1501"/>
    </x:row>
    <x:row r="13" ht="22" customHeight="1">
      <x:c r="A13" s="2380" t="n">
        <x:v>7</x:v>
      </x:c>
      <x:c r="B13" s="2389"/>
      <x:c r="C13" s="2395"/>
      <x:c r="D13" s="2388"/>
      <x:c r="E13" s="2388"/>
      <x:c r="F13" s="2388"/>
      <x:c r="G13" s="2388"/>
      <x:c r="H13" s="2388"/>
      <x:c r="I13" s="2388"/>
      <x:c r="J13" s="2188" t="str">
        <x:f>IF(COUNTA(C13:I13)=0,"",D13+E13+F13+G13-H13+I13)</x:f>
      </x:c>
      <x:c r="K13" s="2393"/>
      <x:c r="L13" s="1501"/>
    </x:row>
    <x:row r="14" ht="22" customHeight="1">
      <x:c r="A14" s="2402" t="str"/>
      <x:c r="B14" s="2403" t="str">
        <x:v>Total Owners' Capital</x:v>
      </x:c>
      <x:c r="C14" s="2404"/>
      <x:c r="D14" s="2405"/>
      <x:c r="E14" s="2405"/>
      <x:c r="F14" s="2405"/>
      <x:c r="G14" s="2405"/>
      <x:c r="H14" s="2405"/>
      <x:c r="I14" s="2405"/>
      <x:c r="J14" s="2405" t="str">
        <x:f>IF(COUNT(J7:J13)=0,"",SUM(J7:J13))</x:f>
      </x:c>
      <x:c r="K14" s="2405" t="str">
        <x:f>IF(COUNT(K7:K13)=0,"",SUM(K7:K13))</x:f>
      </x:c>
      <x:c r="L14" s="1516"/>
    </x:row>
    <x:row r="15">
      <x:c r="A15" s="719"/>
      <x:c r="B15" s="979"/>
      <x:c r="C15" s="827"/>
      <x:c r="D15" s="814"/>
      <x:c r="E15" s="814"/>
      <x:c r="F15" s="814"/>
      <x:c r="G15" s="814"/>
      <x:c r="H15" s="814"/>
      <x:c r="I15" s="814"/>
      <x:c r="J15" s="814"/>
      <x:c r="K15" s="814"/>
    </x:row>
    <x:row r="16">
      <x:c r="A16" s="750"/>
      <x:c r="B16" s="977"/>
      <x:c r="C16" s="978"/>
      <x:c r="D16" s="813"/>
      <x:c r="E16" s="813"/>
      <x:c r="F16" s="813"/>
      <x:c r="G16" s="813"/>
      <x:c r="H16" s="813"/>
      <x:c r="I16" s="813"/>
      <x:c r="J16" s="813"/>
      <x:c r="K16" s="813"/>
    </x:row>
    <x:row r="17" ht="22" customHeight="1">
      <x:c r="A17" s="719"/>
      <x:c r="B17" s="1432" t="str">
        <x:v>Note 4 – Reserves and Surplus</x:v>
      </x:c>
      <x:c r="C17" s="1331"/>
      <x:c r="D17" s="1433"/>
      <x:c r="E17" s="1433"/>
      <x:c r="F17" s="1433"/>
      <x:c r="G17" s="814"/>
      <x:c r="H17" s="814"/>
      <x:c r="I17" s="814"/>
      <x:c r="J17" s="814"/>
      <x:c r="K17" s="814"/>
    </x:row>
    <x:row r="18" ht="30" customHeight="1">
      <x:c r="A18" s="687"/>
      <x:c r="B18" s="2297" t="str">
        <x:v>Particulars</x:v>
      </x:c>
      <x:c r="C18" s="1564" t="str">
        <x:v>Current Year</x:v>
      </x:c>
      <x:c r="D18" s="1564" t="str">
        <x:v>Previous Year</x:v>
      </x:c>
      <x:c r="E18" s="1564" t="str">
        <x:v>Mapping / Source</x:v>
      </x:c>
      <x:c r="F18" s="1565" t="str">
        <x:v>Remarks</x:v>
      </x:c>
      <x:c r="G18" s="814"/>
      <x:c r="H18" s="814"/>
      <x:c r="I18" s="813"/>
      <x:c r="J18" s="813"/>
      <x:c r="K18" s="813"/>
    </x:row>
    <x:row r="19" ht="21" customHeight="1">
      <x:c r="A19" s="750"/>
      <x:c r="B19" s="1490" t="str">
        <x:v>Capital reserve</x:v>
      </x:c>
      <x:c r="C19" s="1498"/>
      <x:c r="D19" s="1498"/>
      <x:c r="E19" s="1591"/>
      <x:c r="F19" s="1592"/>
      <x:c r="G19" s="813"/>
      <x:c r="H19" s="813"/>
      <x:c r="I19" s="813"/>
      <x:c r="J19" s="813"/>
      <x:c r="K19" s="813"/>
    </x:row>
    <x:row r="20" ht="21" customHeight="1">
      <x:c r="A20" s="392"/>
      <x:c r="B20" s="1490" t="str">
        <x:v>Securities premium</x:v>
      </x:c>
      <x:c r="C20" s="1498"/>
      <x:c r="D20" s="1498"/>
      <x:c r="E20" s="1593"/>
      <x:c r="F20" s="1594"/>
      <x:c r="G20" s="393"/>
      <x:c r="H20" s="393"/>
    </x:row>
    <x:row r="21" ht="21" customHeight="1">
      <x:c r="A21" s="396"/>
      <x:c r="B21" s="1485" t="str">
        <x:v>General reserve</x:v>
      </x:c>
      <x:c r="C21" s="1497"/>
      <x:c r="D21" s="1497"/>
      <x:c r="E21" s="1595"/>
      <x:c r="F21" s="1596"/>
      <x:c r="G21" s="397"/>
      <x:c r="H21" s="397"/>
    </x:row>
    <x:row r="22" ht="21" customHeight="1">
      <x:c r="A22" s="392"/>
      <x:c r="B22" s="1490" t="str">
        <x:v>Retained earnings / Surplus</x:v>
      </x:c>
      <x:c r="C22" s="1498"/>
      <x:c r="D22" s="1498"/>
      <x:c r="E22" s="1593"/>
      <x:c r="F22" s="1594"/>
      <x:c r="G22" s="393"/>
      <x:c r="H22" s="393"/>
    </x:row>
    <x:row r="23" ht="21" customHeight="1">
      <x:c r="A23" s="392"/>
      <x:c r="B23" s="1490" t="str">
        <x:v>Other reserves</x:v>
      </x:c>
      <x:c r="C23" s="1498"/>
      <x:c r="D23" s="1498"/>
      <x:c r="E23" s="1593"/>
      <x:c r="F23" s="1594"/>
      <x:c r="G23" s="393"/>
      <x:c r="H23" s="393"/>
    </x:row>
    <x:row r="24" ht="21" customHeight="1">
      <x:c r="A24" s="396"/>
      <x:c r="B24" s="2230" t="str">
        <x:v>Total Reserves and Surplus</x:v>
      </x:c>
      <x:c r="C24" s="1606" t="str">
        <x:f>IF(COUNT(C19:C23)=0,"",SUM(C19:C23))</x:f>
      </x:c>
      <x:c r="D24" s="1606" t="str">
        <x:f>IF(COUNT(D19:D23)=0,"",SUM(D19:D23))</x:f>
      </x:c>
      <x:c r="E24" s="1607"/>
      <x:c r="F24" s="1607"/>
      <x:c r="G24" s="397"/>
      <x:c r="H24" s="397"/>
    </x:row>
    <x:row r="25" ht="21" customHeight="1">
      <x:c r="A25" s="719"/>
      <x:c r="B25" s="979"/>
      <x:c r="C25" s="827"/>
      <x:c r="D25" s="827"/>
      <x:c r="E25" s="827"/>
      <x:c r="F25" s="814"/>
      <x:c r="G25" s="814"/>
      <x:c r="H25" s="397"/>
    </x:row>
    <x:row r="26" ht="21" customHeight="1">
      <x:c r="A26" s="719"/>
      <x:c r="B26" s="979"/>
      <x:c r="C26" s="827"/>
      <x:c r="D26" s="827"/>
      <x:c r="E26" s="827"/>
      <x:c r="F26" s="814"/>
      <x:c r="G26" s="814"/>
      <x:c r="H26" s="397"/>
    </x:row>
    <x:row r="27" ht="21" customHeight="1">
      <x:c r="A27" s="719"/>
      <x:c r="B27" s="979"/>
      <x:c r="C27" s="827"/>
      <x:c r="D27" s="827"/>
      <x:c r="E27" s="827"/>
      <x:c r="F27" s="814"/>
      <x:c r="G27" s="814"/>
      <x:c r="H27" s="393"/>
    </x:row>
    <x:row r="28" ht="21" customHeight="1">
      <x:c r="A28" s="750"/>
      <x:c r="B28" s="977"/>
      <x:c r="C28" s="978"/>
      <x:c r="D28" s="978"/>
      <x:c r="E28" s="978"/>
      <x:c r="F28" s="813"/>
      <x:c r="G28" s="813"/>
      <x:c r="H28" s="393"/>
    </x:row>
    <x:row r="29" ht="21" customHeight="1">
      <x:c r="A29" s="687"/>
      <x:c r="B29" s="979"/>
      <x:c r="C29" s="688"/>
      <x:c r="D29" s="688"/>
      <x:c r="E29" s="688"/>
      <x:c r="F29" s="814"/>
      <x:c r="G29" s="814"/>
      <x:c r="H29" s="401"/>
    </x:row>
    <x:row r="30" ht="21" customHeight="1">
      <x:c r="A30" s="719"/>
      <x:c r="B30" s="979"/>
      <x:c r="C30" s="827"/>
      <x:c r="D30" s="827"/>
      <x:c r="E30" s="827"/>
      <x:c r="F30" s="814"/>
      <x:c r="G30" s="814"/>
      <x:c r="H30" s="393"/>
    </x:row>
    <x:row r="31" ht="21" customHeight="1">
      <x:c r="A31" s="750"/>
      <x:c r="B31" s="2158" t="str">
        <x:v>Note 5 – Long-term Borrowings</x:v>
      </x:c>
      <x:c r="C31" s="1331"/>
      <x:c r="D31" s="1331"/>
      <x:c r="E31" s="1331"/>
      <x:c r="F31" s="1433"/>
      <x:c r="G31" s="813"/>
      <x:c r="H31" s="393"/>
    </x:row>
    <x:row r="32" ht="30" customHeight="1">
      <x:c r="A32" s="750"/>
      <x:c r="B32" s="2297" t="str">
        <x:v>Particulars</x:v>
      </x:c>
      <x:c r="C32" s="1564" t="str">
        <x:v>Current Year</x:v>
      </x:c>
      <x:c r="D32" s="1564" t="str">
        <x:v>Previous Year</x:v>
      </x:c>
      <x:c r="E32" s="1564" t="str">
        <x:v>Mapping / Source</x:v>
      </x:c>
      <x:c r="F32" s="1565" t="str">
        <x:v>Remarks</x:v>
      </x:c>
      <x:c r="G32" s="813"/>
      <x:c r="H32" s="393"/>
    </x:row>
    <x:row r="33" ht="21" customHeight="1">
      <x:c r="A33" s="719"/>
      <x:c r="B33" s="1485" t="str">
        <x:v>Term loans from banks</x:v>
      </x:c>
      <x:c r="C33" s="1497"/>
      <x:c r="D33" s="1497"/>
      <x:c r="E33" s="1595"/>
      <x:c r="F33" s="1614"/>
      <x:c r="G33" s="814"/>
      <x:c r="H33" s="397"/>
    </x:row>
    <x:row r="34" ht="21" customHeight="1">
      <x:c r="A34" s="750"/>
      <x:c r="B34" s="1490" t="str">
        <x:v>Term loans from other parties</x:v>
      </x:c>
      <x:c r="C34" s="1498"/>
      <x:c r="D34" s="1498"/>
      <x:c r="E34" s="1593"/>
      <x:c r="F34" s="1592"/>
      <x:c r="G34" s="813"/>
      <x:c r="H34" s="393"/>
    </x:row>
    <x:row r="35" ht="21" customHeight="1">
      <x:c r="A35" s="719"/>
      <x:c r="B35" s="1485" t="str">
        <x:v>Loans from partners / related parties</x:v>
      </x:c>
      <x:c r="C35" s="1497"/>
      <x:c r="D35" s="1497"/>
      <x:c r="E35" s="1595"/>
      <x:c r="F35" s="1614"/>
      <x:c r="G35" s="814"/>
      <x:c r="H35" s="393"/>
    </x:row>
    <x:row r="36" ht="21" customHeight="1">
      <x:c r="A36" s="750"/>
      <x:c r="B36" s="1490" t="str">
        <x:v>Deposits</x:v>
      </x:c>
      <x:c r="C36" s="1498"/>
      <x:c r="D36" s="1498"/>
      <x:c r="E36" s="1593"/>
      <x:c r="F36" s="1592"/>
      <x:c r="G36" s="813"/>
      <x:c r="H36" s="393"/>
    </x:row>
    <x:row r="37" ht="21" customHeight="1">
      <x:c r="A37" s="719"/>
      <x:c r="B37" s="1485" t="str">
        <x:v>Finance lease obligations</x:v>
      </x:c>
      <x:c r="C37" s="1497"/>
      <x:c r="D37" s="1497"/>
      <x:c r="E37" s="1595"/>
      <x:c r="F37" s="1614"/>
      <x:c r="G37" s="814"/>
      <x:c r="H37" s="393"/>
    </x:row>
    <x:row r="38" ht="21" customHeight="1">
      <x:c r="A38" s="750"/>
      <x:c r="B38" s="1490" t="str">
        <x:v>Other borrowings</x:v>
      </x:c>
      <x:c r="C38" s="1498"/>
      <x:c r="D38" s="1498"/>
      <x:c r="E38" s="1593"/>
      <x:c r="F38" s="1592"/>
      <x:c r="G38" s="813"/>
      <x:c r="H38" s="393"/>
    </x:row>
    <x:row r="39" ht="21" customHeight="1">
      <x:c r="A39" s="750"/>
      <x:c r="B39" s="2230" t="str">
        <x:v>Total Long-term Borrowings</x:v>
      </x:c>
      <x:c r="C39" s="1606" t="str">
        <x:f>IF(COUNT(C33:C38)=0,"",SUM(C33:C38))</x:f>
      </x:c>
      <x:c r="D39" s="1606" t="str">
        <x:f>IF(COUNT(D33:D38)=0,"",SUM(D33:D38))</x:f>
      </x:c>
      <x:c r="E39" s="1607"/>
      <x:c r="F39" s="1606"/>
      <x:c r="G39" s="813"/>
      <x:c r="H39" s="393"/>
    </x:row>
    <x:row r="40" ht="21" customHeight="1">
      <x:c r="A40" s="750"/>
      <x:c r="B40" s="977"/>
      <x:c r="C40" s="978"/>
      <x:c r="D40" s="978"/>
      <x:c r="E40" s="978"/>
      <x:c r="F40" s="813"/>
      <x:c r="G40" s="813"/>
      <x:c r="H40" s="393"/>
    </x:row>
    <x:row r="41" ht="21" customHeight="1">
      <x:c r="A41" s="750"/>
      <x:c r="B41" s="977"/>
      <x:c r="C41" s="978"/>
      <x:c r="D41" s="978"/>
      <x:c r="E41" s="978"/>
      <x:c r="F41" s="813"/>
      <x:c r="G41" s="813"/>
      <x:c r="H41" s="393"/>
    </x:row>
    <x:row r="42" ht="21" customHeight="1">
      <x:c r="A42" s="750"/>
      <x:c r="B42" s="977"/>
      <x:c r="C42" s="978"/>
      <x:c r="D42" s="978"/>
      <x:c r="E42" s="978"/>
      <x:c r="F42" s="813"/>
      <x:c r="G42" s="813"/>
      <x:c r="H42" s="393"/>
    </x:row>
    <x:row r="43" ht="21" customHeight="1">
      <x:c r="A43" s="750"/>
      <x:c r="B43" s="2158" t="str">
        <x:v>Note 6 – Deferred Tax Balances</x:v>
      </x:c>
      <x:c r="C43" s="1331"/>
      <x:c r="D43" s="1331"/>
      <x:c r="E43" s="1331"/>
      <x:c r="F43" s="1433"/>
      <x:c r="G43" s="813"/>
      <x:c r="H43" s="393"/>
    </x:row>
    <x:row r="44" ht="30" customHeight="1">
      <x:c r="A44" s="750"/>
      <x:c r="B44" s="2297" t="str">
        <x:v>Particulars</x:v>
      </x:c>
      <x:c r="C44" s="1564" t="str">
        <x:v>Current Year</x:v>
      </x:c>
      <x:c r="D44" s="1564" t="str">
        <x:v>Previous Year</x:v>
      </x:c>
      <x:c r="E44" s="1564" t="str">
        <x:v>Mapping / Source</x:v>
      </x:c>
      <x:c r="F44" s="1565" t="str">
        <x:v>Remarks</x:v>
      </x:c>
      <x:c r="G44" s="813"/>
      <x:c r="H44" s="393"/>
    </x:row>
    <x:row r="45" ht="21" customHeight="1">
      <x:c r="A45" s="719"/>
      <x:c r="B45" s="1485" t="str">
        <x:v>Deferred tax liability – depreciation / amortisation</x:v>
      </x:c>
      <x:c r="C45" s="1496"/>
      <x:c r="D45" s="1496"/>
      <x:c r="E45" s="1486"/>
      <x:c r="F45" s="1611"/>
      <x:c r="G45" s="814"/>
      <x:c r="H45" s="393"/>
    </x:row>
    <x:row r="46" ht="21" customHeight="1">
      <x:c r="A46" s="750"/>
      <x:c r="B46" s="1490" t="str">
        <x:v>Deferred tax liability – other timing differences</x:v>
      </x:c>
      <x:c r="C46" s="1499"/>
      <x:c r="D46" s="1499"/>
      <x:c r="E46" s="1491"/>
      <x:c r="F46" s="1566"/>
      <x:c r="G46" s="813"/>
      <x:c r="H46" s="393"/>
    </x:row>
    <x:row r="47" ht="21" customHeight="1">
      <x:c r="A47" s="750"/>
      <x:c r="B47" s="1490" t="str">
        <x:v>Other deferred tax liabilities</x:v>
      </x:c>
      <x:c r="C47" s="1499"/>
      <x:c r="D47" s="1499"/>
      <x:c r="E47" s="1491"/>
      <x:c r="F47" s="1566"/>
      <x:c r="G47" s="813"/>
      <x:c r="H47" s="393"/>
    </x:row>
    <x:row r="48" ht="21" customHeight="1">
      <x:c r="A48" s="719"/>
      <x:c r="B48" s="2239" t="str">
        <x:v>Total Deferred Tax Liabilities</x:v>
      </x:c>
      <x:c r="C48" s="1644" t="str">
        <x:f>IF(COUNT(C45:C47)=0,"",SUM(C45:C47))</x:f>
      </x:c>
      <x:c r="D48" s="1644" t="str">
        <x:f>IF(COUNT(D45:D47)=0,"",SUM(D45:D47))</x:f>
      </x:c>
      <x:c r="E48" s="1644"/>
      <x:c r="F48" s="1645"/>
      <x:c r="G48" s="814"/>
      <x:c r="H48" s="397"/>
    </x:row>
    <x:row r="49" ht="21" customHeight="1">
      <x:c r="A49" s="750"/>
      <x:c r="B49" s="1490" t="str"/>
      <x:c r="C49" s="1491"/>
      <x:c r="D49" s="1491"/>
      <x:c r="E49" s="1632"/>
      <x:c r="F49" s="1566"/>
      <x:c r="G49" s="813"/>
    </x:row>
    <x:row r="50" ht="21" customHeight="1">
      <x:c r="A50" s="997"/>
      <x:c r="B50" s="1633" t="str">
        <x:v>Deferred tax asset – unabsorbed losses / allowances</x:v>
      </x:c>
      <x:c r="C50" s="1641"/>
      <x:c r="D50" s="1641"/>
      <x:c r="E50" s="1634"/>
      <x:c r="F50" s="1635"/>
      <x:c r="G50" s="813"/>
    </x:row>
    <x:row r="51" ht="21" customHeight="1">
      <x:c r="A51" s="750"/>
      <x:c r="B51" s="1490" t="str">
        <x:v>Deferred tax asset – provisions / expenses</x:v>
      </x:c>
      <x:c r="C51" s="1499"/>
      <x:c r="D51" s="1499"/>
      <x:c r="E51" s="1632"/>
      <x:c r="F51" s="1566"/>
      <x:c r="G51" s="813"/>
    </x:row>
    <x:row r="52" ht="21" customHeight="1">
      <x:c r="A52" s="750"/>
      <x:c r="B52" s="1490" t="str">
        <x:v>Other deferred tax assets</x:v>
      </x:c>
      <x:c r="C52" s="1499"/>
      <x:c r="D52" s="1499"/>
      <x:c r="E52" s="1632"/>
      <x:c r="F52" s="1566"/>
      <x:c r="G52" s="813"/>
    </x:row>
    <x:row r="53" ht="21" customHeight="1">
      <x:c r="A53" s="750"/>
      <x:c r="B53" s="2239" t="str">
        <x:v>Total Deferred Tax Assets</x:v>
      </x:c>
      <x:c r="C53" s="1644" t="str">
        <x:f>IF(COUNT(C50:C52)=0,"",SUM(C50:C52))</x:f>
      </x:c>
      <x:c r="D53" s="1644" t="str">
        <x:f>IF(COUNT(D50:D52)=0,"",SUM(D50:D52))</x:f>
      </x:c>
      <x:c r="E53" s="1650"/>
      <x:c r="F53" s="1645"/>
      <x:c r="G53" s="813"/>
    </x:row>
    <x:row r="54" ht="21" customHeight="1">
      <x:c r="A54" s="719"/>
      <x:c r="B54" s="2202" t="str">
        <x:v>Net Deferred Tax Balance</x:v>
      </x:c>
      <x:c r="C54" s="1514" t="str">
        <x:f>IF(COUNT(C48,C53)=0,"",C48-C53)</x:f>
      </x:c>
      <x:c r="D54" s="1514" t="str">
        <x:f>IF(COUNT(D48,D53)=0,"",D48-D53)</x:f>
      </x:c>
      <x:c r="E54" s="1652"/>
      <x:c r="F54" s="1515"/>
      <x:c r="G54" s="814"/>
    </x:row>
    <x:row r="55" ht="6" customHeight="1">
      <x:c r="A55" s="750"/>
      <x:c r="B55" s="977"/>
      <x:c r="C55" s="750"/>
      <x:c r="D55" s="750"/>
      <x:c r="E55" s="750"/>
      <x:c r="F55" s="813"/>
      <x:c r="G55" s="813"/>
    </x:row>
    <x:row r="56" ht="14.25" customHeight="1">
      <x:c r="A56" s="719"/>
      <x:c r="B56" s="979"/>
      <x:c r="C56" s="719"/>
      <x:c r="D56" s="719"/>
      <x:c r="E56" s="719"/>
      <x:c r="F56" s="814"/>
      <x:c r="G56" s="814"/>
    </x:row>
    <x:row r="57" ht="14.25" customHeight="1">
      <x:c r="A57" s="750"/>
      <x:c r="B57" s="977"/>
      <x:c r="C57" s="750"/>
      <x:c r="D57" s="750"/>
      <x:c r="E57" s="750"/>
      <x:c r="F57" s="813"/>
      <x:c r="G57" s="813"/>
    </x:row>
    <x:row r="58">
      <x:c r="A58" s="750"/>
      <x:c r="B58" s="977"/>
      <x:c r="C58" s="750"/>
      <x:c r="D58" s="750"/>
      <x:c r="E58" s="750"/>
      <x:c r="F58" s="813"/>
      <x:c r="G58" s="813"/>
    </x:row>
    <x:row r="59">
      <x:c r="A59" s="750"/>
      <x:c r="B59" s="977"/>
      <x:c r="C59" s="750"/>
      <x:c r="D59" s="750"/>
      <x:c r="E59" s="750"/>
      <x:c r="F59" s="813"/>
      <x:c r="G59" s="813"/>
    </x:row>
    <x:row r="60">
      <x:c r="A60" s="750"/>
      <x:c r="B60" s="977"/>
      <x:c r="C60" s="750"/>
      <x:c r="D60" s="750"/>
      <x:c r="E60" s="750"/>
      <x:c r="F60" s="813"/>
      <x:c r="G60" s="813"/>
    </x:row>
    <x:row r="61" ht="12.600000381469727" customHeight="1">
      <x:c r="A61" s="750"/>
      <x:c r="B61" s="977"/>
      <x:c r="C61" s="750"/>
      <x:c r="D61" s="750"/>
      <x:c r="E61" s="750"/>
      <x:c r="F61" s="813"/>
      <x:c r="G61" s="813"/>
    </x:row>
    <x:row r="62">
      <x:c r="A62" s="750"/>
      <x:c r="B62" s="977"/>
      <x:c r="C62" s="750"/>
      <x:c r="D62" s="750"/>
      <x:c r="E62" s="750"/>
      <x:c r="F62" s="813"/>
      <x:c r="G62" s="813"/>
    </x:row>
    <x:row r="63">
      <x:c r="A63" s="750"/>
      <x:c r="B63" s="977"/>
      <x:c r="C63" s="750"/>
      <x:c r="D63" s="750"/>
      <x:c r="E63" s="750"/>
      <x:c r="F63" s="813"/>
      <x:c r="G63" s="813"/>
    </x:row>
    <x:row r="64">
      <x:c r="A64" s="750"/>
      <x:c r="B64" s="977"/>
      <x:c r="C64" s="750"/>
      <x:c r="D64" s="750"/>
      <x:c r="E64" s="750"/>
      <x:c r="F64" s="813"/>
      <x:c r="G64" s="813"/>
    </x:row>
    <x:row r="65">
      <x:c r="A65" s="750"/>
      <x:c r="B65" s="977"/>
      <x:c r="C65" s="750"/>
      <x:c r="D65" s="750"/>
      <x:c r="E65" s="750"/>
      <x:c r="F65" s="813"/>
      <x:c r="G65" s="813"/>
    </x:row>
    <x:row r="66">
      <x:c r="A66" s="750"/>
      <x:c r="B66" s="977"/>
      <x:c r="C66" s="750"/>
      <x:c r="D66" s="750"/>
      <x:c r="E66" s="750"/>
      <x:c r="F66" s="813"/>
      <x:c r="G66" s="813"/>
    </x:row>
    <x:row r="67" ht="35.45000076293945" customHeight="1">
      <x:c r="A67" s="719"/>
      <x:c r="B67" s="979"/>
      <x:c r="C67" s="719"/>
      <x:c r="D67" s="719"/>
      <x:c r="E67" s="719"/>
      <x:c r="F67" s="814"/>
      <x:c r="G67" s="814"/>
    </x:row>
    <x:row r="68">
      <x:c r="A68" s="750"/>
      <x:c r="B68" s="977"/>
      <x:c r="C68" s="750"/>
      <x:c r="D68" s="750"/>
      <x:c r="E68" s="750"/>
      <x:c r="F68" s="813"/>
      <x:c r="G68" s="813"/>
    </x:row>
    <x:row r="69" ht="17.25" customHeight="1">
      <x:c r="A69" s="750"/>
      <x:c r="B69" s="977"/>
      <x:c r="C69" s="750"/>
      <x:c r="D69" s="750"/>
      <x:c r="E69" s="750"/>
      <x:c r="F69" s="813"/>
      <x:c r="G69" s="813"/>
    </x:row>
    <x:row r="70">
      <x:c r="A70" s="750"/>
      <x:c r="B70" s="977"/>
      <x:c r="C70" s="750"/>
      <x:c r="D70" s="750"/>
      <x:c r="E70" s="750"/>
      <x:c r="F70" s="813"/>
      <x:c r="G70" s="813"/>
    </x:row>
    <x:row r="71">
      <x:c r="A71" s="750"/>
      <x:c r="B71" s="977"/>
      <x:c r="C71" s="750"/>
      <x:c r="D71" s="750"/>
      <x:c r="E71" s="750"/>
      <x:c r="F71" s="813"/>
      <x:c r="G71" s="813"/>
    </x:row>
    <x:row r="72">
      <x:c r="A72" s="750"/>
      <x:c r="B72" s="977"/>
      <x:c r="C72" s="750"/>
      <x:c r="D72" s="750"/>
      <x:c r="E72" s="750"/>
      <x:c r="F72" s="813"/>
      <x:c r="G72" s="813"/>
    </x:row>
    <x:row r="73">
      <x:c r="A73" s="750"/>
      <x:c r="B73" s="977"/>
      <x:c r="C73" s="750"/>
      <x:c r="D73" s="750"/>
      <x:c r="E73" s="750"/>
      <x:c r="F73" s="813"/>
      <x:c r="G73" s="813"/>
    </x:row>
    <x:row r="74">
      <x:c r="A74" s="750"/>
      <x:c r="B74" s="977"/>
      <x:c r="C74" s="750"/>
      <x:c r="D74" s="750"/>
      <x:c r="E74" s="750"/>
      <x:c r="F74" s="813"/>
      <x:c r="G74" s="813"/>
    </x:row>
    <x:row r="75">
      <x:c r="A75" s="750"/>
      <x:c r="B75" s="977"/>
      <x:c r="C75" s="750"/>
      <x:c r="D75" s="750"/>
      <x:c r="E75" s="750"/>
      <x:c r="F75" s="813"/>
      <x:c r="G75" s="813"/>
    </x:row>
    <x:row r="76">
      <x:c r="A76" s="750"/>
      <x:c r="B76" s="977"/>
      <x:c r="C76" s="750"/>
      <x:c r="D76" s="750"/>
      <x:c r="E76" s="750"/>
      <x:c r="F76" s="813"/>
      <x:c r="G76" s="813"/>
    </x:row>
    <x:row r="77">
      <x:c r="A77" s="750"/>
      <x:c r="B77" s="977"/>
      <x:c r="C77" s="750"/>
      <x:c r="D77" s="750"/>
      <x:c r="E77" s="750"/>
      <x:c r="F77" s="813"/>
      <x:c r="G77" s="813"/>
    </x:row>
    <x:row r="78" ht="13.149999618530273" customHeight="1">
      <x:c r="A78" s="750"/>
      <x:c r="B78" s="977"/>
      <x:c r="C78" s="750"/>
      <x:c r="D78" s="750"/>
      <x:c r="E78" s="750"/>
      <x:c r="F78" s="813"/>
      <x:c r="G78" s="813"/>
    </x:row>
    <x:row r="79" ht="17.25" customHeight="1">
      <x:c r="A79" s="750"/>
      <x:c r="B79" s="977"/>
      <x:c r="C79" s="750"/>
      <x:c r="D79" s="750"/>
      <x:c r="E79" s="750"/>
      <x:c r="F79" s="813"/>
      <x:c r="G79" s="813"/>
    </x:row>
    <x:row r="80" ht="14.25" customHeight="1">
      <x:c r="A80" s="719"/>
      <x:c r="B80" s="979"/>
      <x:c r="C80" s="719"/>
      <x:c r="D80" s="719"/>
      <x:c r="E80" s="719"/>
      <x:c r="F80" s="814"/>
      <x:c r="G80" s="814"/>
    </x:row>
    <x:row r="81">
      <x:c r="A81" s="750"/>
      <x:c r="B81" s="977"/>
      <x:c r="C81" s="750"/>
      <x:c r="D81" s="750"/>
      <x:c r="E81" s="750"/>
      <x:c r="F81" s="813"/>
      <x:c r="G81" s="813"/>
    </x:row>
  </x:sheetData>
  <x:mergeCells>
    <x:mergeCell ref="B5:L5"/>
    <x:mergeCell ref="B17:F17"/>
    <x:mergeCell ref="B31:F31"/>
    <x:mergeCell ref="B43:F43"/>
    <x:mergeCell ref="B1:K1"/>
    <x:mergeCell ref="B2:K2"/>
    <x:mergeCell ref="B3:K3"/>
    <x:mergeCell ref="A5:K5"/>
  </x:mergeCells>
  <x:pageMargins left="0.7" right="0.7" top="0.75" bottom="0.75" header="0.3" footer="0.3"/>
</x:worksheet>
</file>

<file path=xl/worksheets/sheet6.xml><?xml version="1.0" encoding="utf-8"?>
<x:worksheet xmlns:x="http://schemas.openxmlformats.org/spreadsheetml/2006/main">
  <x:sheetFormatPr defaultRowHeight="15"/>
  <x:cols>
    <x:col min="1" max="1" width="9.28515625" hidden="0" customWidth="1"/>
    <x:col min="2" max="2" width="3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22" hidden="0" customWidth="1"/>
    <x:col min="10" max="10" width="18.7109375" hidden="0" customWidth="1"/>
    <x:col min="11" max="11" width="18.7109375" hidden="0" customWidth="1"/>
    <x:col min="12" max="12" width="18.7109375" hidden="0" customWidth="1"/>
    <x:col min="13" max="13" width="18.7109375" hidden="0" customWidth="1"/>
    <x:col min="14" max="14" width="18.7109375" hidden="0" customWidth="1"/>
  </x:cols>
  <x:sheetData>
    <x:row r="1" ht="26" customHeight="1">
      <x:c r="A1" s="750"/>
      <x:c r="B1" s="2321" t="str">
        <x:v>NOTES TO THE FINANCIAL STATEMENTS – 7 TO 14</x:v>
      </x:c>
      <x:c r="C1" s="2322"/>
      <x:c r="D1" s="2322"/>
      <x:c r="E1" s="2322"/>
      <x:c r="F1" s="2322"/>
      <x:c r="G1" s="2322"/>
      <x:c r="H1" s="2408"/>
      <x:c r="I1" s="2408"/>
      <x:c r="J1" s="393"/>
      <x:c r="K1" s="393"/>
      <x:c r="L1" s="393"/>
      <x:c r="M1" s="184"/>
    </x:row>
    <x:row r="2" ht="19" customHeight="1">
      <x:c r="A2" s="979"/>
      <x:c r="B2" s="2325" t="str">
        <x:f>IF('Basic Info'!C13="","",'Basic Info'!C13)</x:f>
      </x:c>
      <x:c r="C2" s="2326"/>
      <x:c r="D2" s="2326"/>
      <x:c r="E2" s="2326"/>
      <x:c r="F2" s="2326"/>
      <x:c r="G2" s="2326"/>
      <x:c r="H2" s="2410"/>
      <x:c r="I2" s="2410"/>
      <x:c r="J2" s="413"/>
      <x:c r="K2" s="413"/>
      <x:c r="L2" s="413"/>
    </x:row>
    <x:row r="3" ht="19" customHeight="1">
      <x:c r="A3" s="979"/>
      <x:c r="B3" s="2325" t="str">
        <x:f>IF('Basic Info'!C8="","","Notes forming part of the Financial Statements for the year ended "&amp;TEXT('Basic Info'!C8,"dd-mmm-yyyy"))</x:f>
      </x:c>
      <x:c r="C3" s="2326"/>
      <x:c r="D3" s="2326"/>
      <x:c r="E3" s="2326"/>
      <x:c r="F3" s="2326"/>
      <x:c r="G3" s="2326"/>
      <x:c r="H3" s="2410"/>
      <x:c r="I3" s="2410"/>
      <x:c r="J3" s="413"/>
      <x:c r="K3" s="413"/>
      <x:c r="L3" s="413"/>
    </x:row>
    <x:row r="4" ht="16.5" customHeight="1">
      <x:c r="A4" s="750"/>
      <x:c r="B4" s="977"/>
      <x:c r="C4" s="978"/>
      <x:c r="D4" s="978"/>
      <x:c r="E4" s="978"/>
      <x:c r="F4" s="813"/>
      <x:c r="G4" s="813"/>
      <x:c r="H4" s="393"/>
      <x:c r="I4" s="393"/>
      <x:c r="J4" s="393"/>
      <x:c r="K4" s="393"/>
      <x:c r="L4" s="393"/>
    </x:row>
    <x:row r="5" ht="21" customHeight="1">
      <x:c r="A5" s="750"/>
      <x:c r="B5" s="1432" t="str">
        <x:v>Note 7 – Other Long-term Liabilities</x:v>
      </x:c>
      <x:c r="C5" s="1331"/>
      <x:c r="D5" s="1331"/>
      <x:c r="E5" s="1331"/>
      <x:c r="F5" s="1433"/>
      <x:c r="G5" s="813"/>
      <x:c r="H5" s="393"/>
      <x:c r="I5" s="393"/>
      <x:c r="J5" s="393"/>
      <x:c r="K5" s="393"/>
      <x:c r="L5" s="393"/>
    </x:row>
    <x:row r="6" ht="21" customHeight="1">
      <x:c r="A6" s="687"/>
      <x:c r="B6" s="1563" t="str">
        <x:v>Particulars</x:v>
      </x:c>
      <x:c r="C6" s="1564" t="str">
        <x:v>Current Year</x:v>
      </x:c>
      <x:c r="D6" s="1564" t="str">
        <x:v>Previous Year</x:v>
      </x:c>
      <x:c r="E6" s="1564" t="str">
        <x:v>Mapping / Source</x:v>
      </x:c>
      <x:c r="F6" s="1565" t="str">
        <x:v>Remarks</x:v>
      </x:c>
      <x:c r="G6" s="814"/>
      <x:c r="H6" s="399"/>
      <x:c r="I6" s="399"/>
      <x:c r="J6" s="399"/>
      <x:c r="K6" s="399"/>
      <x:c r="L6" s="399"/>
    </x:row>
    <x:row r="7" ht="21" customHeight="1">
      <x:c r="A7" s="719"/>
      <x:c r="B7" s="1587" t="str">
        <x:v>Interest accrued but not due on borrowings</x:v>
      </x:c>
      <x:c r="C7" s="1497"/>
      <x:c r="D7" s="1497"/>
      <x:c r="E7" s="1595"/>
      <x:c r="F7" s="1614"/>
      <x:c r="G7" s="814"/>
      <x:c r="H7" s="397"/>
      <x:c r="I7" s="397"/>
      <x:c r="J7" s="397"/>
      <x:c r="K7" s="397"/>
      <x:c r="L7" s="397"/>
    </x:row>
    <x:row r="8" ht="21" customHeight="1">
      <x:c r="A8" s="750"/>
      <x:c r="B8" s="1576" t="str">
        <x:v>Trade / security deposits</x:v>
      </x:c>
      <x:c r="C8" s="1498"/>
      <x:c r="D8" s="1498"/>
      <x:c r="E8" s="1593"/>
      <x:c r="F8" s="1592"/>
      <x:c r="G8" s="813"/>
      <x:c r="H8" s="393"/>
      <x:c r="I8" s="393"/>
      <x:c r="J8" s="393"/>
      <x:c r="K8" s="393"/>
      <x:c r="L8" s="393"/>
    </x:row>
    <x:row r="9" ht="21" customHeight="1">
      <x:c r="A9" s="750"/>
      <x:c r="B9" s="1576" t="str">
        <x:v>Deferred revenue</x:v>
      </x:c>
      <x:c r="C9" s="1498"/>
      <x:c r="D9" s="1498"/>
      <x:c r="E9" s="1593"/>
      <x:c r="F9" s="1592"/>
      <x:c r="G9" s="813"/>
      <x:c r="H9" s="393"/>
      <x:c r="I9" s="393"/>
      <x:c r="J9" s="393"/>
      <x:c r="K9" s="393"/>
      <x:c r="L9" s="393"/>
    </x:row>
    <x:row r="10" ht="21" customHeight="1">
      <x:c r="A10" s="750"/>
      <x:c r="B10" s="1576" t="str">
        <x:v>Other long-term liabilities</x:v>
      </x:c>
      <x:c r="C10" s="1498"/>
      <x:c r="D10" s="1498"/>
      <x:c r="E10" s="1593"/>
      <x:c r="F10" s="1592"/>
      <x:c r="G10" s="813"/>
      <x:c r="H10" s="393"/>
      <x:c r="I10" s="393"/>
      <x:c r="J10" s="393"/>
      <x:c r="K10" s="393"/>
      <x:c r="L10" s="393"/>
    </x:row>
    <x:row r="11" ht="21" customHeight="1">
      <x:c r="A11" s="719"/>
      <x:c r="B11" s="1605" t="str">
        <x:v>Total Other Long-term Liabilities</x:v>
      </x:c>
      <x:c r="C11" s="1606" t="str">
        <x:f>IF(COUNT(C7:C10)=0,"",SUM(C7:C10))</x:f>
      </x:c>
      <x:c r="D11" s="1606" t="str">
        <x:f>IF(COUNT(D7:D10)=0,"",SUM(D7:D10))</x:f>
      </x:c>
      <x:c r="E11" s="1607"/>
      <x:c r="F11" s="1606"/>
      <x:c r="G11" s="814"/>
      <x:c r="H11" s="393"/>
      <x:c r="I11" s="393"/>
      <x:c r="J11" s="393"/>
      <x:c r="K11" s="393"/>
      <x:c r="L11" s="393"/>
    </x:row>
    <x:row r="12" ht="21" customHeight="1">
      <x:c r="A12" s="750"/>
      <x:c r="B12" s="977"/>
      <x:c r="C12" s="978"/>
      <x:c r="D12" s="978"/>
      <x:c r="E12" s="978"/>
      <x:c r="F12" s="813"/>
      <x:c r="G12" s="813"/>
      <x:c r="H12" s="393"/>
      <x:c r="I12" s="393"/>
      <x:c r="J12" s="393"/>
      <x:c r="K12" s="393"/>
      <x:c r="L12" s="393"/>
    </x:row>
    <x:row r="13" ht="21" customHeight="1">
      <x:c r="A13" s="719"/>
      <x:c r="B13" s="979"/>
      <x:c r="C13" s="827"/>
      <x:c r="D13" s="827"/>
      <x:c r="E13" s="827"/>
      <x:c r="F13" s="814"/>
      <x:c r="G13" s="814"/>
      <x:c r="H13" s="393"/>
      <x:c r="I13" s="393"/>
      <x:c r="J13" s="393"/>
      <x:c r="K13" s="393"/>
      <x:c r="L13" s="393"/>
    </x:row>
    <x:row r="14" ht="21" customHeight="1">
      <x:c r="A14" s="750"/>
      <x:c r="B14" s="977"/>
      <x:c r="C14" s="978"/>
      <x:c r="D14" s="978"/>
      <x:c r="E14" s="978"/>
      <x:c r="F14" s="813"/>
      <x:c r="G14" s="813"/>
      <x:c r="H14" s="393"/>
      <x:c r="I14" s="393"/>
      <x:c r="J14" s="393"/>
      <x:c r="K14" s="393"/>
      <x:c r="L14" s="393"/>
    </x:row>
    <x:row r="15" ht="21" customHeight="1">
      <x:c r="A15" s="750"/>
      <x:c r="B15" s="977"/>
      <x:c r="C15" s="978"/>
      <x:c r="D15" s="978"/>
      <x:c r="E15" s="978"/>
      <x:c r="F15" s="813"/>
      <x:c r="G15" s="813"/>
      <x:c r="H15" s="393"/>
      <x:c r="I15" s="393"/>
      <x:c r="J15" s="393"/>
      <x:c r="K15" s="393"/>
      <x:c r="L15" s="393"/>
    </x:row>
    <x:row r="16" ht="21" customHeight="1">
      <x:c r="A16" s="750"/>
      <x:c r="B16" s="977"/>
      <x:c r="C16" s="978"/>
      <x:c r="D16" s="978"/>
      <x:c r="E16" s="978"/>
      <x:c r="F16" s="813"/>
      <x:c r="G16" s="813"/>
      <x:c r="H16" s="393"/>
      <x:c r="I16" s="393"/>
      <x:c r="J16" s="393"/>
      <x:c r="K16" s="393"/>
      <x:c r="L16" s="393"/>
    </x:row>
    <x:row r="17" ht="21" customHeight="1">
      <x:c r="A17" s="750"/>
      <x:c r="B17" s="1432" t="str">
        <x:v>Note 8 – Long-term Provisions</x:v>
      </x:c>
      <x:c r="C17" s="1331"/>
      <x:c r="D17" s="1331"/>
      <x:c r="E17" s="1331"/>
      <x:c r="F17" s="1433"/>
      <x:c r="G17" s="813"/>
      <x:c r="H17" s="393"/>
      <x:c r="I17" s="393"/>
      <x:c r="J17" s="393"/>
      <x:c r="K17" s="393"/>
      <x:c r="L17" s="393"/>
    </x:row>
    <x:row r="18" ht="21" customHeight="1">
      <x:c r="A18" s="750"/>
      <x:c r="B18" s="1563" t="str">
        <x:v>Particulars</x:v>
      </x:c>
      <x:c r="C18" s="1564" t="str">
        <x:v>Current Year</x:v>
      </x:c>
      <x:c r="D18" s="1564" t="str">
        <x:v>Previous Year</x:v>
      </x:c>
      <x:c r="E18" s="1564" t="str">
        <x:v>Mapping / Source</x:v>
      </x:c>
      <x:c r="F18" s="1565" t="str">
        <x:v>Remarks</x:v>
      </x:c>
      <x:c r="G18" s="813"/>
      <x:c r="H18" s="393"/>
      <x:c r="I18" s="393"/>
      <x:c r="J18" s="393"/>
      <x:c r="K18" s="393"/>
      <x:c r="L18" s="393"/>
    </x:row>
    <x:row r="19" ht="21" customHeight="1">
      <x:c r="A19" s="750"/>
      <x:c r="B19" s="1576" t="str">
        <x:v>Provision for employee benefits</x:v>
      </x:c>
      <x:c r="C19" s="1498"/>
      <x:c r="D19" s="1498"/>
      <x:c r="E19" s="1593"/>
      <x:c r="F19" s="1592"/>
      <x:c r="G19" s="813"/>
      <x:c r="H19" s="393"/>
      <x:c r="I19" s="393"/>
      <x:c r="J19" s="393"/>
      <x:c r="K19" s="393"/>
      <x:c r="L19" s="393"/>
    </x:row>
    <x:row r="20" ht="21" customHeight="1">
      <x:c r="A20" s="719"/>
      <x:c r="B20" s="1587" t="str">
        <x:v>Provision for taxation</x:v>
      </x:c>
      <x:c r="C20" s="1497"/>
      <x:c r="D20" s="1497"/>
      <x:c r="E20" s="1595"/>
      <x:c r="F20" s="1614"/>
      <x:c r="G20" s="814"/>
      <x:c r="H20" s="393"/>
      <x:c r="I20" s="393"/>
      <x:c r="J20" s="393"/>
      <x:c r="K20" s="393"/>
      <x:c r="L20" s="393"/>
    </x:row>
    <x:row r="21" ht="21" customHeight="1">
      <x:c r="A21" s="750"/>
      <x:c r="B21" s="1576" t="str">
        <x:v>Provision for warranties / obligations</x:v>
      </x:c>
      <x:c r="C21" s="1498"/>
      <x:c r="D21" s="1498"/>
      <x:c r="E21" s="1593"/>
      <x:c r="F21" s="1592"/>
      <x:c r="G21" s="813"/>
      <x:c r="H21" s="393"/>
      <x:c r="I21" s="393"/>
      <x:c r="J21" s="393"/>
      <x:c r="K21" s="393"/>
      <x:c r="L21" s="393"/>
    </x:row>
    <x:row r="22" ht="21" customHeight="1">
      <x:c r="A22" s="719"/>
      <x:c r="B22" s="1587" t="str">
        <x:v>Other long-term provisions</x:v>
      </x:c>
      <x:c r="C22" s="1497"/>
      <x:c r="D22" s="1497"/>
      <x:c r="E22" s="1595"/>
      <x:c r="F22" s="1614"/>
      <x:c r="G22" s="814"/>
      <x:c r="H22" s="393"/>
      <x:c r="I22" s="393"/>
      <x:c r="J22" s="393"/>
      <x:c r="K22" s="393"/>
      <x:c r="L22" s="393"/>
    </x:row>
    <x:row r="23" ht="21" customHeight="1">
      <x:c r="A23" s="750"/>
      <x:c r="B23" s="1605" t="str">
        <x:v>Total Long-term Provisions</x:v>
      </x:c>
      <x:c r="C23" s="1606" t="str">
        <x:f>IF(COUNT(C19:C22)=0,"",SUM(C19:C22))</x:f>
      </x:c>
      <x:c r="D23" s="1606" t="str">
        <x:f>IF(COUNT(D19:D22)=0,"",SUM(D19:D22))</x:f>
      </x:c>
      <x:c r="E23" s="1607"/>
      <x:c r="F23" s="1606"/>
      <x:c r="G23" s="813"/>
      <x:c r="H23" s="393"/>
      <x:c r="I23" s="393"/>
      <x:c r="J23" s="393"/>
      <x:c r="K23" s="393"/>
      <x:c r="L23" s="393"/>
    </x:row>
    <x:row r="24" ht="21" customHeight="1">
      <x:c r="A24" s="750"/>
      <x:c r="B24" s="977"/>
      <x:c r="C24" s="978"/>
      <x:c r="D24" s="978"/>
      <x:c r="E24" s="978"/>
      <x:c r="F24" s="813"/>
      <x:c r="G24" s="813"/>
      <x:c r="H24" s="393"/>
      <x:c r="I24" s="393"/>
      <x:c r="J24" s="393"/>
      <x:c r="K24" s="393"/>
      <x:c r="L24" s="393"/>
    </x:row>
    <x:row r="25" ht="21" customHeight="1">
      <x:c r="A25" s="750"/>
      <x:c r="B25" s="977"/>
      <x:c r="C25" s="978"/>
      <x:c r="D25" s="978"/>
      <x:c r="E25" s="978"/>
      <x:c r="F25" s="813"/>
      <x:c r="G25" s="813"/>
      <x:c r="H25" s="393"/>
      <x:c r="I25" s="393"/>
      <x:c r="J25" s="393"/>
      <x:c r="K25" s="393"/>
      <x:c r="L25" s="393"/>
    </x:row>
    <x:row r="26" ht="21" customHeight="1">
      <x:c r="A26" s="750"/>
      <x:c r="B26" s="977"/>
      <x:c r="C26" s="978"/>
      <x:c r="D26" s="978"/>
      <x:c r="E26" s="978"/>
      <x:c r="F26" s="813"/>
      <x:c r="G26" s="813"/>
      <x:c r="H26" s="393"/>
      <x:c r="I26" s="393"/>
      <x:c r="J26" s="393"/>
      <x:c r="K26" s="393"/>
      <x:c r="L26" s="393"/>
    </x:row>
    <x:row r="27" ht="21" customHeight="1">
      <x:c r="A27" s="750"/>
      <x:c r="B27" s="977"/>
      <x:c r="C27" s="978"/>
      <x:c r="D27" s="978"/>
      <x:c r="E27" s="978"/>
      <x:c r="F27" s="813"/>
      <x:c r="G27" s="813"/>
      <x:c r="H27" s="393"/>
      <x:c r="I27" s="393"/>
      <x:c r="J27" s="393"/>
      <x:c r="K27" s="393"/>
      <x:c r="L27" s="393"/>
    </x:row>
    <x:row r="28" ht="21" customHeight="1">
      <x:c r="A28" s="750"/>
      <x:c r="B28" s="977"/>
      <x:c r="C28" s="978"/>
      <x:c r="D28" s="978"/>
      <x:c r="E28" s="978"/>
      <x:c r="F28" s="813"/>
      <x:c r="G28" s="813"/>
      <x:c r="H28" s="393"/>
      <x:c r="I28" s="393"/>
      <x:c r="J28" s="393"/>
      <x:c r="K28" s="393"/>
      <x:c r="L28" s="393"/>
    </x:row>
    <x:row r="29" ht="21" customHeight="1">
      <x:c r="A29" s="750"/>
      <x:c r="B29" s="1432" t="str">
        <x:v>Note 9 – Short-term Borrowings</x:v>
      </x:c>
      <x:c r="C29" s="1331"/>
      <x:c r="D29" s="1331"/>
      <x:c r="E29" s="1331"/>
      <x:c r="F29" s="1433"/>
      <x:c r="G29" s="813"/>
      <x:c r="H29" s="393"/>
      <x:c r="I29" s="393"/>
      <x:c r="J29" s="393"/>
      <x:c r="K29" s="393"/>
      <x:c r="L29" s="393"/>
    </x:row>
    <x:row r="30" ht="21" customHeight="1">
      <x:c r="A30" s="750"/>
      <x:c r="B30" s="1563" t="str">
        <x:v>Particulars</x:v>
      </x:c>
      <x:c r="C30" s="1564" t="str">
        <x:v>Current Year</x:v>
      </x:c>
      <x:c r="D30" s="1564" t="str">
        <x:v>Previous Year</x:v>
      </x:c>
      <x:c r="E30" s="1564" t="str">
        <x:v>Mapping / Source</x:v>
      </x:c>
      <x:c r="F30" s="1565" t="str">
        <x:v>Remarks</x:v>
      </x:c>
      <x:c r="G30" s="813"/>
      <x:c r="H30" s="393"/>
      <x:c r="I30" s="393"/>
      <x:c r="J30" s="393"/>
      <x:c r="K30" s="393"/>
      <x:c r="L30" s="393"/>
    </x:row>
    <x:row r="31" ht="21" customHeight="1">
      <x:c r="A31" s="750"/>
      <x:c r="B31" s="1576" t="str">
        <x:v>Loans repayable on demand from banks</x:v>
      </x:c>
      <x:c r="C31" s="1498"/>
      <x:c r="D31" s="1498"/>
      <x:c r="E31" s="1593"/>
      <x:c r="F31" s="1592"/>
      <x:c r="G31" s="813"/>
      <x:c r="H31" s="393"/>
      <x:c r="I31" s="393"/>
      <x:c r="J31" s="393"/>
      <x:c r="K31" s="393"/>
      <x:c r="L31" s="393"/>
    </x:row>
    <x:row r="32" ht="21" customHeight="1">
      <x:c r="A32" s="687"/>
      <x:c r="B32" s="1587" t="str">
        <x:v>Loans from banks</x:v>
      </x:c>
      <x:c r="C32" s="1497"/>
      <x:c r="D32" s="1497"/>
      <x:c r="E32" s="1662"/>
      <x:c r="F32" s="1614"/>
      <x:c r="G32" s="814"/>
      <x:c r="H32" s="399"/>
      <x:c r="I32" s="399"/>
      <x:c r="J32" s="399"/>
      <x:c r="K32" s="399"/>
      <x:c r="L32" s="399"/>
    </x:row>
    <x:row r="33" ht="21" customHeight="1">
      <x:c r="A33" s="719"/>
      <x:c r="B33" s="1587" t="str">
        <x:v>Loans from other parties</x:v>
      </x:c>
      <x:c r="C33" s="1497"/>
      <x:c r="D33" s="1497"/>
      <x:c r="E33" s="1595"/>
      <x:c r="F33" s="1614"/>
      <x:c r="G33" s="814"/>
      <x:c r="H33" s="397"/>
      <x:c r="I33" s="397"/>
      <x:c r="J33" s="397"/>
      <x:c r="K33" s="397"/>
      <x:c r="L33" s="397"/>
    </x:row>
    <x:row r="34" ht="21" customHeight="1">
      <x:c r="A34" s="750"/>
      <x:c r="B34" s="1576" t="str">
        <x:v>Loans from partners / related parties</x:v>
      </x:c>
      <x:c r="C34" s="1498"/>
      <x:c r="D34" s="1498"/>
      <x:c r="E34" s="1593"/>
      <x:c r="F34" s="1592"/>
      <x:c r="G34" s="813"/>
      <x:c r="H34" s="393"/>
      <x:c r="I34" s="393"/>
      <x:c r="J34" s="393"/>
      <x:c r="K34" s="393"/>
      <x:c r="L34" s="393"/>
    </x:row>
    <x:row r="35" ht="21" customHeight="1">
      <x:c r="A35" s="750"/>
      <x:c r="B35" s="1576" t="str">
        <x:v>Other short-term borrowings</x:v>
      </x:c>
      <x:c r="C35" s="1498"/>
      <x:c r="D35" s="1498"/>
      <x:c r="E35" s="1593"/>
      <x:c r="F35" s="1592"/>
      <x:c r="G35" s="813"/>
      <x:c r="H35" s="393"/>
      <x:c r="I35" s="393"/>
      <x:c r="J35" s="393"/>
      <x:c r="K35" s="393"/>
      <x:c r="L35" s="393"/>
    </x:row>
    <x:row r="36" ht="21" customHeight="1">
      <x:c r="A36" s="750"/>
      <x:c r="B36" s="1605" t="str">
        <x:v>Total Short-term Borrowings</x:v>
      </x:c>
      <x:c r="C36" s="1606" t="str">
        <x:f>IF(COUNT(C31:C35)=0,"",SUM(C31:C35))</x:f>
      </x:c>
      <x:c r="D36" s="1606" t="str">
        <x:f>IF(COUNT(D31:D35)=0,"",SUM(D31:D35))</x:f>
      </x:c>
      <x:c r="E36" s="1607"/>
      <x:c r="F36" s="1606"/>
      <x:c r="G36" s="813"/>
      <x:c r="H36" s="393"/>
      <x:c r="I36" s="393"/>
      <x:c r="J36" s="393"/>
      <x:c r="K36" s="393"/>
      <x:c r="L36" s="393"/>
    </x:row>
    <x:row r="37" ht="21" customHeight="1">
      <x:c r="A37" s="750"/>
      <x:c r="B37" s="977"/>
      <x:c r="C37" s="978"/>
      <x:c r="D37" s="978"/>
      <x:c r="E37" s="978"/>
      <x:c r="F37" s="813"/>
      <x:c r="G37" s="813"/>
      <x:c r="H37" s="393"/>
      <x:c r="I37" s="393"/>
      <x:c r="J37" s="393"/>
      <x:c r="K37" s="393"/>
      <x:c r="L37" s="393"/>
    </x:row>
    <x:row r="38" ht="21" customHeight="1">
      <x:c r="A38" s="750"/>
      <x:c r="B38" s="977"/>
      <x:c r="C38" s="978"/>
      <x:c r="D38" s="978"/>
      <x:c r="E38" s="978"/>
      <x:c r="F38" s="813"/>
      <x:c r="G38" s="813"/>
      <x:c r="H38" s="393"/>
      <x:c r="I38" s="393"/>
      <x:c r="J38" s="393"/>
      <x:c r="K38" s="393"/>
      <x:c r="L38" s="393"/>
    </x:row>
    <x:row r="39" ht="21" customHeight="1">
      <x:c r="A39" s="750"/>
      <x:c r="B39" s="977"/>
      <x:c r="C39" s="978"/>
      <x:c r="D39" s="978"/>
      <x:c r="E39" s="978"/>
      <x:c r="F39" s="813"/>
      <x:c r="G39" s="813"/>
      <x:c r="H39" s="393"/>
      <x:c r="I39" s="393"/>
      <x:c r="J39" s="393"/>
      <x:c r="K39" s="393"/>
      <x:c r="L39" s="393"/>
    </x:row>
    <x:row r="40" ht="21" customHeight="1">
      <x:c r="A40" s="750"/>
      <x:c r="B40" s="977"/>
      <x:c r="C40" s="978"/>
      <x:c r="D40" s="978"/>
      <x:c r="E40" s="978"/>
      <x:c r="F40" s="813"/>
      <x:c r="G40" s="813"/>
      <x:c r="H40" s="393"/>
      <x:c r="I40" s="393"/>
      <x:c r="J40" s="393"/>
      <x:c r="K40" s="393"/>
      <x:c r="L40" s="393"/>
    </x:row>
    <x:row r="41" ht="21" customHeight="1">
      <x:c r="A41" s="750"/>
      <x:c r="B41" s="1432" t="str">
        <x:v>Note 10 – Trade Payables</x:v>
      </x:c>
      <x:c r="C41" s="1331"/>
      <x:c r="D41" s="1331"/>
      <x:c r="E41" s="1331"/>
      <x:c r="F41" s="1433"/>
      <x:c r="G41" s="813"/>
      <x:c r="H41" s="393"/>
      <x:c r="I41" s="393"/>
      <x:c r="J41" s="393"/>
      <x:c r="K41" s="393"/>
      <x:c r="L41" s="393"/>
    </x:row>
    <x:row r="42" ht="21" customHeight="1">
      <x:c r="A42" s="719"/>
      <x:c r="B42" s="1563" t="str">
        <x:v>Particulars</x:v>
      </x:c>
      <x:c r="C42" s="1564" t="str">
        <x:v>Current Year</x:v>
      </x:c>
      <x:c r="D42" s="1564" t="str">
        <x:v>Previous Year</x:v>
      </x:c>
      <x:c r="E42" s="1564" t="str">
        <x:v>Mapping / Source</x:v>
      </x:c>
      <x:c r="F42" s="1565" t="str">
        <x:v>Remarks</x:v>
      </x:c>
      <x:c r="G42" s="814"/>
      <x:c r="H42" s="393"/>
      <x:c r="I42" s="393"/>
      <x:c r="J42" s="393"/>
      <x:c r="K42" s="393"/>
      <x:c r="L42" s="393"/>
    </x:row>
    <x:row r="43" ht="21" customHeight="1">
      <x:c r="A43" s="750"/>
      <x:c r="B43" s="1576" t="str">
        <x:v>MSME dues</x:v>
      </x:c>
      <x:c r="C43" s="1498"/>
      <x:c r="D43" s="1498"/>
      <x:c r="E43" s="1593"/>
      <x:c r="F43" s="1592"/>
      <x:c r="G43" s="813"/>
      <x:c r="H43" s="393"/>
      <x:c r="I43" s="393"/>
      <x:c r="J43" s="393"/>
      <x:c r="K43" s="393"/>
      <x:c r="L43" s="393"/>
    </x:row>
    <x:row r="44" ht="21" customHeight="1">
      <x:c r="A44" s="719"/>
      <x:c r="B44" s="1587" t="str">
        <x:v>Other trade payables</x:v>
      </x:c>
      <x:c r="C44" s="1497"/>
      <x:c r="D44" s="1497"/>
      <x:c r="E44" s="1595"/>
      <x:c r="F44" s="1614"/>
      <x:c r="G44" s="814"/>
      <x:c r="H44" s="393"/>
      <x:c r="I44" s="393"/>
      <x:c r="J44" s="393"/>
      <x:c r="K44" s="393"/>
      <x:c r="L44" s="393"/>
    </x:row>
    <x:row r="45" ht="21" customHeight="1">
      <x:c r="A45" s="750"/>
      <x:c r="B45" s="1576" t="str">
        <x:v>Interest due under MSMED Act</x:v>
      </x:c>
      <x:c r="C45" s="1498"/>
      <x:c r="D45" s="1498"/>
      <x:c r="E45" s="1593"/>
      <x:c r="F45" s="1592"/>
      <x:c r="G45" s="813"/>
      <x:c r="H45" s="393"/>
      <x:c r="I45" s="393"/>
      <x:c r="J45" s="393"/>
      <x:c r="K45" s="393"/>
      <x:c r="L45" s="393"/>
    </x:row>
    <x:row r="46" ht="21" customHeight="1">
      <x:c r="A46" s="750"/>
      <x:c r="B46" s="1576" t="str">
        <x:v>Unbilled trade payables</x:v>
      </x:c>
      <x:c r="C46" s="1498"/>
      <x:c r="D46" s="1498"/>
      <x:c r="E46" s="1593"/>
      <x:c r="F46" s="1592"/>
      <x:c r="G46" s="813"/>
      <x:c r="H46" s="393"/>
      <x:c r="I46" s="393"/>
      <x:c r="J46" s="393"/>
      <x:c r="K46" s="393"/>
      <x:c r="L46" s="393"/>
    </x:row>
    <x:row r="47" ht="21" customHeight="1">
      <x:c r="A47" s="750"/>
      <x:c r="B47" s="1576" t="str">
        <x:v>Other trade payable balances</x:v>
      </x:c>
      <x:c r="C47" s="1498"/>
      <x:c r="D47" s="1498"/>
      <x:c r="E47" s="1593"/>
      <x:c r="F47" s="1592"/>
      <x:c r="G47" s="813"/>
      <x:c r="H47" s="393"/>
      <x:c r="I47" s="393"/>
      <x:c r="J47" s="393"/>
      <x:c r="K47" s="393"/>
      <x:c r="L47" s="393"/>
    </x:row>
    <x:row r="48" ht="21" customHeight="1">
      <x:c r="A48" s="750"/>
      <x:c r="B48" s="1605" t="str">
        <x:v>Total Trade Payables</x:v>
      </x:c>
      <x:c r="C48" s="1606" t="str">
        <x:f>IF(COUNT(C43:C47)=0,"",SUM(C43:C47))</x:f>
      </x:c>
      <x:c r="D48" s="1606" t="str">
        <x:f>IF(COUNT(D43:D47)=0,"",SUM(D43:D47))</x:f>
      </x:c>
      <x:c r="E48" s="1607"/>
      <x:c r="F48" s="1606"/>
      <x:c r="G48" s="813"/>
      <x:c r="H48" s="393"/>
      <x:c r="I48" s="393"/>
      <x:c r="J48" s="393"/>
      <x:c r="K48" s="393"/>
      <x:c r="L48" s="393"/>
    </x:row>
    <x:row r="49" ht="21" customHeight="1">
      <x:c r="A49" s="750"/>
      <x:c r="B49" s="977"/>
      <x:c r="C49" s="978"/>
      <x:c r="D49" s="978"/>
      <x:c r="E49" s="978"/>
      <x:c r="F49" s="813"/>
      <x:c r="G49" s="813"/>
      <x:c r="H49" s="393"/>
      <x:c r="I49" s="393"/>
      <x:c r="J49" s="393"/>
      <x:c r="K49" s="393"/>
      <x:c r="L49" s="393"/>
    </x:row>
    <x:row r="50" ht="21" customHeight="1">
      <x:c r="A50" s="750"/>
      <x:c r="B50" s="977"/>
      <x:c r="C50" s="978"/>
      <x:c r="D50" s="978"/>
      <x:c r="E50" s="978"/>
      <x:c r="F50" s="813"/>
      <x:c r="G50" s="813"/>
      <x:c r="H50" s="393"/>
      <x:c r="I50" s="393"/>
      <x:c r="J50" s="393"/>
      <x:c r="K50" s="393"/>
      <x:c r="L50" s="393"/>
    </x:row>
    <x:row r="51" ht="21" customHeight="1">
      <x:c r="A51" s="719"/>
      <x:c r="B51" s="979"/>
      <x:c r="C51" s="827"/>
      <x:c r="D51" s="827"/>
      <x:c r="E51" s="827"/>
      <x:c r="F51" s="814"/>
      <x:c r="G51" s="814"/>
      <x:c r="H51" s="393"/>
      <x:c r="I51" s="393"/>
      <x:c r="J51" s="393"/>
      <x:c r="K51" s="393"/>
      <x:c r="L51" s="393"/>
    </x:row>
    <x:row r="52" ht="21" customHeight="1">
      <x:c r="A52" s="719"/>
      <x:c r="B52" s="979"/>
      <x:c r="C52" s="827"/>
      <x:c r="D52" s="827"/>
      <x:c r="E52" s="827"/>
      <x:c r="F52" s="814"/>
      <x:c r="G52" s="814"/>
      <x:c r="H52" s="393"/>
      <x:c r="I52" s="393"/>
      <x:c r="J52" s="393"/>
      <x:c r="K52" s="393"/>
      <x:c r="L52" s="393"/>
    </x:row>
    <x:row r="53" ht="21" customHeight="1">
      <x:c r="A53" s="719"/>
      <x:c r="B53" s="1432" t="str">
        <x:v>Note 11 – Other Current Liabilities</x:v>
      </x:c>
      <x:c r="C53" s="1331"/>
      <x:c r="D53" s="1331"/>
      <x:c r="E53" s="1331"/>
      <x:c r="F53" s="1433"/>
      <x:c r="G53" s="814"/>
      <x:c r="H53" s="393"/>
      <x:c r="I53" s="393"/>
      <x:c r="J53" s="393"/>
      <x:c r="K53" s="393"/>
      <x:c r="L53" s="393"/>
    </x:row>
    <x:row r="54" ht="21" customHeight="1">
      <x:c r="A54" s="719"/>
      <x:c r="B54" s="1563" t="str">
        <x:v>Particulars</x:v>
      </x:c>
      <x:c r="C54" s="1564" t="str">
        <x:v>Current Year</x:v>
      </x:c>
      <x:c r="D54" s="1564" t="str">
        <x:v>Previous Year</x:v>
      </x:c>
      <x:c r="E54" s="1564" t="str">
        <x:v>Mapping / Source</x:v>
      </x:c>
      <x:c r="F54" s="1565" t="str">
        <x:v>Remarks</x:v>
      </x:c>
      <x:c r="G54" s="814"/>
      <x:c r="H54" s="393"/>
      <x:c r="I54" s="393"/>
      <x:c r="J54" s="393"/>
      <x:c r="K54" s="393"/>
      <x:c r="L54" s="393"/>
    </x:row>
    <x:row r="55" ht="21" customHeight="1">
      <x:c r="A55" s="750"/>
      <x:c r="B55" s="1576" t="str">
        <x:v>Current maturities of long-term debt</x:v>
      </x:c>
      <x:c r="C55" s="1498"/>
      <x:c r="D55" s="1498"/>
      <x:c r="E55" s="1593"/>
      <x:c r="F55" s="1592"/>
      <x:c r="G55" s="813"/>
      <x:c r="H55" s="393"/>
      <x:c r="I55" s="393"/>
      <x:c r="J55" s="393"/>
      <x:c r="K55" s="393"/>
      <x:c r="L55" s="393"/>
    </x:row>
    <x:row r="56" ht="21" customHeight="1">
      <x:c r="A56" s="750"/>
      <x:c r="B56" s="1576" t="str">
        <x:v>Interest accrued and due</x:v>
      </x:c>
      <x:c r="C56" s="1498"/>
      <x:c r="D56" s="1498"/>
      <x:c r="E56" s="1593"/>
      <x:c r="F56" s="1592"/>
      <x:c r="G56" s="813"/>
      <x:c r="H56" s="393"/>
      <x:c r="I56" s="393"/>
      <x:c r="J56" s="393"/>
      <x:c r="K56" s="393"/>
      <x:c r="L56" s="393"/>
    </x:row>
    <x:row r="57" ht="21" customHeight="1">
      <x:c r="A57" s="719"/>
      <x:c r="B57" s="1587" t="str">
        <x:v>Statutory dues payable</x:v>
      </x:c>
      <x:c r="C57" s="1497"/>
      <x:c r="D57" s="1497"/>
      <x:c r="E57" s="1595"/>
      <x:c r="F57" s="1614"/>
      <x:c r="G57" s="814"/>
      <x:c r="H57" s="393"/>
      <x:c r="I57" s="393"/>
      <x:c r="J57" s="393"/>
      <x:c r="K57" s="393"/>
      <x:c r="L57" s="393"/>
    </x:row>
    <x:row r="58" ht="21" customHeight="1">
      <x:c r="A58" s="750"/>
      <x:c r="B58" s="1576" t="str">
        <x:v>Advances from customers</x:v>
      </x:c>
      <x:c r="C58" s="1498"/>
      <x:c r="D58" s="1498"/>
      <x:c r="E58" s="1593"/>
      <x:c r="F58" s="1592"/>
      <x:c r="G58" s="813"/>
      <x:c r="H58" s="393"/>
      <x:c r="I58" s="393"/>
      <x:c r="J58" s="393"/>
      <x:c r="K58" s="393"/>
      <x:c r="L58" s="393"/>
    </x:row>
    <x:row r="59" ht="21" customHeight="1">
      <x:c r="A59" s="750"/>
      <x:c r="B59" s="1576" t="str">
        <x:v>Expenses payable</x:v>
      </x:c>
      <x:c r="C59" s="1498"/>
      <x:c r="D59" s="1498"/>
      <x:c r="E59" s="1593"/>
      <x:c r="F59" s="1592"/>
      <x:c r="G59" s="813"/>
      <x:c r="H59" s="393"/>
      <x:c r="I59" s="393"/>
      <x:c r="J59" s="393"/>
      <x:c r="K59" s="393"/>
      <x:c r="L59" s="393"/>
    </x:row>
    <x:row r="60" ht="21" customHeight="1">
      <x:c r="A60" s="750"/>
      <x:c r="B60" s="1576" t="str">
        <x:v>Other current liabilities</x:v>
      </x:c>
      <x:c r="C60" s="1498"/>
      <x:c r="D60" s="1498"/>
      <x:c r="E60" s="1593"/>
      <x:c r="F60" s="1592"/>
      <x:c r="G60" s="813"/>
      <x:c r="H60" s="393"/>
      <x:c r="I60" s="393"/>
      <x:c r="J60" s="393"/>
      <x:c r="K60" s="393"/>
      <x:c r="L60" s="393"/>
    </x:row>
    <x:row r="61" ht="21" customHeight="1">
      <x:c r="A61" s="719"/>
      <x:c r="B61" s="1605" t="str">
        <x:v>Total Other Current Liabilities</x:v>
      </x:c>
      <x:c r="C61" s="1606" t="str">
        <x:f>IF(COUNT(C55:C60)=0,"",SUM(C55:C60))</x:f>
      </x:c>
      <x:c r="D61" s="1606" t="str">
        <x:f>IF(COUNT(D55:D60)=0,"",SUM(D55:D60))</x:f>
      </x:c>
      <x:c r="E61" s="1607"/>
      <x:c r="F61" s="1606"/>
      <x:c r="G61" s="814"/>
      <x:c r="H61" s="393"/>
      <x:c r="I61" s="393"/>
      <x:c r="J61" s="393"/>
      <x:c r="K61" s="393"/>
      <x:c r="L61" s="393"/>
    </x:row>
    <x:row r="62" ht="21" customHeight="1">
      <x:c r="A62" s="719"/>
      <x:c r="B62" s="979"/>
      <x:c r="C62" s="827"/>
      <x:c r="D62" s="827"/>
      <x:c r="E62" s="827"/>
      <x:c r="F62" s="814"/>
      <x:c r="G62" s="814"/>
      <x:c r="H62" s="397"/>
      <x:c r="I62" s="397"/>
      <x:c r="J62" s="397"/>
      <x:c r="K62" s="397"/>
      <x:c r="L62" s="397"/>
    </x:row>
    <x:row r="63" ht="21" customHeight="1">
      <x:c r="A63" s="750"/>
      <x:c r="B63" s="977"/>
      <x:c r="C63" s="750"/>
      <x:c r="D63" s="750"/>
      <x:c r="E63" s="750"/>
      <x:c r="F63" s="813"/>
      <x:c r="G63" s="813"/>
    </x:row>
    <x:row r="64" ht="21" customHeight="1">
      <x:c r="A64" s="997"/>
      <x:c r="B64" s="997"/>
      <x:c r="C64" s="997"/>
      <x:c r="D64" s="997"/>
      <x:c r="E64" s="997"/>
      <x:c r="F64" s="815"/>
      <x:c r="G64" s="813"/>
    </x:row>
    <x:row r="65" ht="21" customHeight="1">
      <x:c r="A65" s="750"/>
      <x:c r="B65" s="1432" t="str">
        <x:v>Note 12 – Short-term Provisions</x:v>
      </x:c>
      <x:c r="C65" s="1330"/>
      <x:c r="D65" s="1330"/>
      <x:c r="E65" s="1330"/>
      <x:c r="F65" s="1433"/>
      <x:c r="G65" s="813"/>
    </x:row>
    <x:row r="66" ht="21" customHeight="1">
      <x:c r="A66" s="750"/>
      <x:c r="B66" s="1563" t="str">
        <x:v>Particulars</x:v>
      </x:c>
      <x:c r="C66" s="1671" t="str">
        <x:v>Current Year</x:v>
      </x:c>
      <x:c r="D66" s="1671" t="str">
        <x:v>Previous Year</x:v>
      </x:c>
      <x:c r="E66" s="1671" t="str">
        <x:v>Mapping / Source</x:v>
      </x:c>
      <x:c r="F66" s="1565" t="str">
        <x:v>Remarks</x:v>
      </x:c>
      <x:c r="G66" s="813"/>
    </x:row>
    <x:row r="67" ht="21" customHeight="1">
      <x:c r="A67" s="719"/>
      <x:c r="B67" s="1587" t="str">
        <x:v>Provision for employee benefits</x:v>
      </x:c>
      <x:c r="C67" s="1497"/>
      <x:c r="D67" s="1497"/>
      <x:c r="E67" s="1677"/>
      <x:c r="F67" s="1614"/>
      <x:c r="G67" s="814"/>
    </x:row>
    <x:row r="68" ht="21" customHeight="1">
      <x:c r="A68" s="750"/>
      <x:c r="B68" s="1576" t="str">
        <x:v>Provision for tax</x:v>
      </x:c>
      <x:c r="C68" s="1498"/>
      <x:c r="D68" s="1498"/>
      <x:c r="E68" s="1678"/>
      <x:c r="F68" s="1592"/>
      <x:c r="G68" s="813"/>
    </x:row>
    <x:row r="69" ht="21" customHeight="1">
      <x:c r="A69" s="750"/>
      <x:c r="B69" s="1576" t="str">
        <x:v>Provision for expenses / obligations</x:v>
      </x:c>
      <x:c r="C69" s="1498"/>
      <x:c r="D69" s="1498"/>
      <x:c r="E69" s="1678"/>
      <x:c r="F69" s="1592"/>
      <x:c r="G69" s="813"/>
    </x:row>
    <x:row r="70" ht="21" customHeight="1">
      <x:c r="A70" s="750"/>
      <x:c r="B70" s="1576" t="str">
        <x:v>Other short-term provisions</x:v>
      </x:c>
      <x:c r="C70" s="1498"/>
      <x:c r="D70" s="1498"/>
      <x:c r="E70" s="1678"/>
      <x:c r="F70" s="1592"/>
      <x:c r="G70" s="813"/>
    </x:row>
    <x:row r="71" ht="21" customHeight="1">
      <x:c r="A71" s="750"/>
      <x:c r="B71" s="1605" t="str">
        <x:v>Total Short-term Provisions</x:v>
      </x:c>
      <x:c r="C71" s="1606" t="str">
        <x:f>IF(COUNT(C67:C70)=0,"",SUM(C67:C70))</x:f>
      </x:c>
      <x:c r="D71" s="1606" t="str">
        <x:f>IF(COUNT(D67:D70)=0,"",SUM(D67:D70))</x:f>
      </x:c>
      <x:c r="E71" s="1681"/>
      <x:c r="F71" s="1606"/>
      <x:c r="G71" s="813"/>
    </x:row>
    <x:row r="72" ht="21" customHeight="1">
      <x:c r="A72" s="750"/>
      <x:c r="B72" s="977"/>
      <x:c r="C72" s="750"/>
      <x:c r="D72" s="750"/>
      <x:c r="E72" s="750"/>
      <x:c r="F72" s="813"/>
      <x:c r="G72" s="813"/>
    </x:row>
    <x:row r="73" ht="21" customHeight="1">
      <x:c r="A73" s="750"/>
      <x:c r="B73" s="977"/>
      <x:c r="C73" s="750"/>
      <x:c r="D73" s="750"/>
      <x:c r="E73" s="750"/>
      <x:c r="F73" s="813"/>
      <x:c r="G73" s="813"/>
    </x:row>
    <x:row r="74" ht="21" customHeight="1">
      <x:c r="A74" s="750"/>
      <x:c r="B74" s="977"/>
      <x:c r="C74" s="750"/>
      <x:c r="D74" s="750"/>
      <x:c r="E74" s="750"/>
      <x:c r="F74" s="813"/>
      <x:c r="G74" s="813"/>
    </x:row>
    <x:row r="75" ht="21" customHeight="1">
      <x:c r="A75" s="750"/>
      <x:c r="B75" s="977"/>
      <x:c r="C75" s="750"/>
      <x:c r="D75" s="750"/>
      <x:c r="E75" s="750"/>
      <x:c r="F75" s="813"/>
      <x:c r="G75" s="813"/>
    </x:row>
    <x:row r="76" ht="21" customHeight="1">
      <x:c r="A76" s="750"/>
      <x:c r="B76" s="977"/>
      <x:c r="C76" s="750"/>
      <x:c r="D76" s="750"/>
      <x:c r="E76" s="750"/>
      <x:c r="F76" s="813"/>
      <x:c r="G76" s="813"/>
    </x:row>
    <x:row r="77" ht="21" customHeight="1">
      <x:c r="A77" s="750"/>
      <x:c r="B77" s="1432" t="str">
        <x:v>Note 13 – Property, Plant and Equipment and Intangible Assets</x:v>
      </x:c>
      <x:c r="C77" s="1330"/>
      <x:c r="D77" s="1330"/>
      <x:c r="E77" s="1330"/>
      <x:c r="F77" s="1433"/>
      <x:c r="G77" s="1433"/>
      <x:c r="H77" s="1435"/>
      <x:c r="I77" s="1435"/>
    </x:row>
    <x:row r="78" ht="38" customHeight="1">
      <x:c r="A78" s="719"/>
      <x:c r="B78" s="1482" t="str">
        <x:v>Asset Class</x:v>
      </x:c>
      <x:c r="C78" s="1697" t="str">
        <x:v>Opening Gross Block</x:v>
      </x:c>
      <x:c r="D78" s="1697" t="str">
        <x:v>Additions</x:v>
      </x:c>
      <x:c r="E78" s="1697" t="str">
        <x:v>Disposals</x:v>
      </x:c>
      <x:c r="F78" s="1483" t="str">
        <x:v>Depreciation / Amortisation</x:v>
      </x:c>
      <x:c r="G78" s="1483" t="str">
        <x:v>Closing Net Block</x:v>
      </x:c>
      <x:c r="H78" s="1698" t="str">
        <x:v>Previous Year Net Block</x:v>
      </x:c>
      <x:c r="I78" s="1484" t="str">
        <x:v>Remarks</x:v>
      </x:c>
    </x:row>
    <x:row r="79" ht="21" customHeight="1">
      <x:c r="A79" s="750"/>
      <x:c r="B79" s="1490" t="str">
        <x:v>Freehold land</x:v>
      </x:c>
      <x:c r="C79" s="1499"/>
      <x:c r="D79" s="1499"/>
      <x:c r="E79" s="1499"/>
      <x:c r="F79" s="1498"/>
      <x:c r="G79" s="1489" t="str">
        <x:f>IF(COUNTA(C79:F79)=0,"",C79+D79-E79-F79)</x:f>
      </x:c>
      <x:c r="H79" s="1702"/>
      <x:c r="I79" s="1500"/>
    </x:row>
    <x:row r="80" ht="21" customHeight="1">
      <x:c r="A80" s="719"/>
      <x:c r="B80" s="1485" t="str">
        <x:v>Buildings</x:v>
      </x:c>
      <x:c r="C80" s="1496"/>
      <x:c r="D80" s="1496"/>
      <x:c r="E80" s="1496"/>
      <x:c r="F80" s="1497"/>
      <x:c r="G80" s="1487" t="str">
        <x:f>IF(COUNTA(C80:F80)=0,"",C80+D80-E80-F80)</x:f>
      </x:c>
      <x:c r="H80" s="1702"/>
      <x:c r="I80" s="1500"/>
    </x:row>
    <x:row r="81" ht="21" customHeight="1">
      <x:c r="A81" s="750"/>
      <x:c r="B81" s="1490" t="str">
        <x:v>Plant and equipment</x:v>
      </x:c>
      <x:c r="C81" s="1499"/>
      <x:c r="D81" s="1499"/>
      <x:c r="E81" s="1499"/>
      <x:c r="F81" s="1498"/>
      <x:c r="G81" s="1489" t="str">
        <x:f>IF(COUNTA(C81:F81)=0,"",C81+D81-E81-F81)</x:f>
      </x:c>
      <x:c r="H81" s="1702"/>
      <x:c r="I81" s="1500"/>
    </x:row>
    <x:row r="82" ht="21" customHeight="1">
      <x:c r="A82" s="750"/>
      <x:c r="B82" s="1490" t="str">
        <x:v>Furniture and fixtures</x:v>
      </x:c>
      <x:c r="C82" s="1499"/>
      <x:c r="D82" s="1499"/>
      <x:c r="E82" s="1499"/>
      <x:c r="F82" s="1498"/>
      <x:c r="G82" s="1489" t="str">
        <x:f>IF(COUNTA(C82:F82)=0,"",C82+D82-E82-F82)</x:f>
      </x:c>
      <x:c r="H82" s="1702"/>
      <x:c r="I82" s="1500"/>
    </x:row>
    <x:row r="83" ht="21" customHeight="1">
      <x:c r="A83" s="750"/>
      <x:c r="B83" s="1490" t="str">
        <x:v>Vehicles</x:v>
      </x:c>
      <x:c r="C83" s="1499"/>
      <x:c r="D83" s="1499"/>
      <x:c r="E83" s="1499"/>
      <x:c r="F83" s="1498"/>
      <x:c r="G83" s="1489" t="str">
        <x:f>IF(COUNTA(C83:F83)=0,"",C83+D83-E83-F83)</x:f>
      </x:c>
      <x:c r="H83" s="1702"/>
      <x:c r="I83" s="1500"/>
    </x:row>
    <x:row r="84" ht="21" customHeight="1">
      <x:c r="A84" s="750"/>
      <x:c r="B84" s="1490" t="str">
        <x:v>Office equipment</x:v>
      </x:c>
      <x:c r="C84" s="1499"/>
      <x:c r="D84" s="1499"/>
      <x:c r="E84" s="1499"/>
      <x:c r="F84" s="1498"/>
      <x:c r="G84" s="1489" t="str">
        <x:f>IF(COUNTA(C84:F84)=0,"",C84+D84-E84-F84)</x:f>
      </x:c>
      <x:c r="H84" s="1702"/>
      <x:c r="I84" s="1500"/>
    </x:row>
    <x:row r="85" ht="21" customHeight="1">
      <x:c r="A85" s="750"/>
      <x:c r="B85" s="1490" t="str">
        <x:v>Computers and peripherals</x:v>
      </x:c>
      <x:c r="C85" s="1499"/>
      <x:c r="D85" s="1499"/>
      <x:c r="E85" s="1499"/>
      <x:c r="F85" s="1498"/>
      <x:c r="G85" s="1489" t="str">
        <x:f>IF(COUNTA(C85:F85)=0,"",C85+D85-E85-F85)</x:f>
      </x:c>
      <x:c r="H85" s="1702"/>
      <x:c r="I85" s="1500"/>
    </x:row>
    <x:row r="86" ht="21" customHeight="1">
      <x:c r="A86" s="750"/>
      <x:c r="B86" s="1490" t="str">
        <x:v>Other PPE</x:v>
      </x:c>
      <x:c r="C86" s="1499"/>
      <x:c r="D86" s="1499"/>
      <x:c r="E86" s="1499"/>
      <x:c r="F86" s="1498"/>
      <x:c r="G86" s="1489" t="str">
        <x:f>IF(COUNTA(C86:F86)=0,"",C86+D86-E86-F86)</x:f>
      </x:c>
      <x:c r="H86" s="1702"/>
      <x:c r="I86" s="1500"/>
    </x:row>
    <x:row r="87" ht="21" customHeight="1">
      <x:c r="A87" s="750"/>
      <x:c r="B87" s="1490" t="str">
        <x:v>Goodwill</x:v>
      </x:c>
      <x:c r="C87" s="1499"/>
      <x:c r="D87" s="1499"/>
      <x:c r="E87" s="1499"/>
      <x:c r="F87" s="1498"/>
      <x:c r="G87" s="1489" t="str">
        <x:f>IF(COUNTA(C87:F87)=0,"",C87+D87-E87-F87)</x:f>
      </x:c>
      <x:c r="H87" s="1702"/>
      <x:c r="I87" s="1500"/>
    </x:row>
    <x:row r="88" ht="21" customHeight="1">
      <x:c r="A88" s="719"/>
      <x:c r="B88" s="1485" t="str">
        <x:v>Computer software</x:v>
      </x:c>
      <x:c r="C88" s="1496"/>
      <x:c r="D88" s="1496"/>
      <x:c r="E88" s="1496"/>
      <x:c r="F88" s="1497"/>
      <x:c r="G88" s="1487" t="str">
        <x:f>IF(COUNTA(C88:F88)=0,"",C88+D88-E88-F88)</x:f>
      </x:c>
      <x:c r="H88" s="1702"/>
      <x:c r="I88" s="1500"/>
    </x:row>
    <x:row r="89" ht="21" customHeight="1">
      <x:c r="A89" s="750"/>
      <x:c r="B89" s="1490" t="str">
        <x:v>Other intangible assets</x:v>
      </x:c>
      <x:c r="C89" s="1499"/>
      <x:c r="D89" s="1499"/>
      <x:c r="E89" s="1499"/>
      <x:c r="F89" s="1498"/>
      <x:c r="G89" s="1489" t="str">
        <x:f>IF(COUNTA(C89:F89)=0,"",C89+D89-E89-F89)</x:f>
      </x:c>
      <x:c r="H89" s="1702"/>
      <x:c r="I89" s="1500"/>
    </x:row>
    <x:row r="90" ht="21" customHeight="1">
      <x:c r="A90" s="750"/>
      <x:c r="B90" s="1513" t="str">
        <x:v>Total</x:v>
      </x:c>
      <x:c r="C90" s="1514" t="str">
        <x:f>IF(COUNT(C79:C89)=0,"",SUM(C79:C89))</x:f>
      </x:c>
      <x:c r="D90" s="1514" t="str">
        <x:f>IF(COUNT(D79:D89)=0,"",SUM(D79:D89))</x:f>
      </x:c>
      <x:c r="E90" s="1514" t="str">
        <x:f>IF(COUNT(E79:E89)=0,"",SUM(E79:E89))</x:f>
      </x:c>
      <x:c r="F90" s="1515" t="str">
        <x:f>IF(COUNT(F79:F89)=0,"",SUM(F79:F89))</x:f>
      </x:c>
      <x:c r="G90" s="1515" t="str">
        <x:f>IF(COUNT(G79:G89)=0,"",SUM(G79:G89))</x:f>
      </x:c>
      <x:c r="H90" s="1516" t="str">
        <x:f>IF(COUNT(H79:H89)=0,"",SUM(H79:H89))</x:f>
      </x:c>
      <x:c r="I90" s="1708"/>
    </x:row>
    <x:row r="91" ht="21" customHeight="1">
      <x:c r="A91" s="750"/>
      <x:c r="B91" s="977"/>
      <x:c r="C91" s="750"/>
      <x:c r="D91" s="750"/>
      <x:c r="E91" s="750"/>
      <x:c r="F91" s="813"/>
      <x:c r="G91" s="813"/>
    </x:row>
    <x:row r="92" ht="21" customHeight="1">
      <x:c r="B92" s="1749" t="str">
        <x:v>Property, Plant and Equipment</x:v>
      </x:c>
      <x:c r="C92" s="1750"/>
      <x:c r="D92" s="1750"/>
      <x:c r="E92" s="1750"/>
      <x:c r="F92" s="1750"/>
      <x:c r="G92" s="1750" t="str">
        <x:f>IF(COUNT(G79:G86)=0,"",SUM(G79:G86))</x:f>
      </x:c>
      <x:c r="H92" s="1751" t="str">
        <x:f>IF(COUNT(H79:H86)=0,"",SUM(H79:H86))</x:f>
      </x:c>
    </x:row>
    <x:row r="93" ht="21" customHeight="1">
      <x:c r="B93" s="1752" t="str">
        <x:v>Intangible Assets</x:v>
      </x:c>
      <x:c r="C93" s="1753"/>
      <x:c r="D93" s="1753"/>
      <x:c r="E93" s="1753"/>
      <x:c r="F93" s="1753"/>
      <x:c r="G93" s="1753" t="str">
        <x:f>IF(COUNT(G87:G89)=0,"",SUM(G87:G89))</x:f>
      </x:c>
      <x:c r="H93" s="1754" t="str">
        <x:f>IF(COUNT(H87:H89)=0,"",SUM(H87:H89))</x:f>
      </x:c>
    </x:row>
    <x:row r="94" ht="21" customHeight="1">
      <x:c r="B94" s="549"/>
    </x:row>
    <x:row r="95" ht="21" customHeight="1">
      <x:c r="B95" s="549"/>
    </x:row>
    <x:row r="96" ht="21" customHeight="1">
      <x:c r="B96" s="1723" t="str">
        <x:v>Capital work-in-progress</x:v>
      </x:c>
      <x:c r="C96" s="1724"/>
      <x:c r="D96" s="1724"/>
      <x:c r="E96" s="1724"/>
      <x:c r="F96" s="1724"/>
      <x:c r="G96" s="1739"/>
      <x:c r="H96" s="1740"/>
    </x:row>
    <x:row r="97" ht="21" customHeight="1">
      <x:c r="A97" s="750"/>
      <x:c r="B97" s="1492" t="str">
        <x:v>Intangible assets under development</x:v>
      </x:c>
      <x:c r="C97" s="1673"/>
      <x:c r="D97" s="1494"/>
      <x:c r="E97" s="1494"/>
      <x:c r="F97" s="1494"/>
      <x:c r="G97" s="1741"/>
      <x:c r="H97" s="1742"/>
      <x:c r="I97" s="813"/>
      <x:c r="J97" s="813"/>
      <x:c r="K97" s="813"/>
      <x:c r="L97" s="813"/>
      <x:c r="M97" s="813"/>
      <x:c r="N97" s="813"/>
    </x:row>
    <x:row r="98" ht="21" customHeight="1">
      <x:c r="A98" s="719"/>
      <x:c r="B98" s="1002"/>
      <x:c r="C98" s="719"/>
      <x:c r="D98" s="814"/>
      <x:c r="E98" s="814"/>
      <x:c r="F98" s="814"/>
      <x:c r="G98" s="814"/>
      <x:c r="H98" s="814"/>
      <x:c r="I98" s="814"/>
      <x:c r="J98" s="814"/>
      <x:c r="K98" s="814"/>
      <x:c r="L98" s="814"/>
      <x:c r="M98" s="814"/>
      <x:c r="N98" s="814"/>
    </x:row>
    <x:row r="99" ht="21" customHeight="1">
      <x:c r="A99" s="719"/>
      <x:c r="B99" s="1002"/>
      <x:c r="C99" s="719"/>
      <x:c r="D99" s="814"/>
      <x:c r="E99" s="814"/>
      <x:c r="F99" s="814"/>
      <x:c r="G99" s="814"/>
      <x:c r="H99" s="814"/>
      <x:c r="I99" s="814"/>
      <x:c r="J99" s="814"/>
      <x:c r="K99" s="814"/>
      <x:c r="L99" s="814"/>
      <x:c r="M99" s="814"/>
      <x:c r="N99" s="814"/>
    </x:row>
    <x:row r="100" ht="21" customHeight="1">
      <x:c r="A100" s="750"/>
      <x:c r="B100" s="1432" t="str">
        <x:v>Note 14 – Investments</x:v>
      </x:c>
      <x:c r="C100" s="1330"/>
      <x:c r="D100" s="1433"/>
      <x:c r="E100" s="1433"/>
      <x:c r="F100" s="1433"/>
      <x:c r="G100" s="813"/>
      <x:c r="H100" s="813"/>
      <x:c r="I100" s="813"/>
      <x:c r="J100" s="813"/>
      <x:c r="K100" s="813"/>
      <x:c r="L100" s="813"/>
      <x:c r="M100" s="813"/>
      <x:c r="N100" s="813"/>
    </x:row>
    <x:row r="101" ht="21" customHeight="1">
      <x:c r="A101" s="750"/>
      <x:c r="B101" s="1563" t="str">
        <x:v>Particulars</x:v>
      </x:c>
      <x:c r="C101" s="1671" t="str">
        <x:v>Current Year</x:v>
      </x:c>
      <x:c r="D101" s="1564" t="str">
        <x:v>Previous Year</x:v>
      </x:c>
      <x:c r="E101" s="1564" t="str">
        <x:v>Mapping / Source</x:v>
      </x:c>
      <x:c r="F101" s="1565" t="str">
        <x:v>Remarks</x:v>
      </x:c>
      <x:c r="G101" s="813"/>
      <x:c r="H101" s="813"/>
      <x:c r="I101" s="813"/>
      <x:c r="J101" s="813"/>
      <x:c r="K101" s="813"/>
      <x:c r="L101" s="813"/>
      <x:c r="M101" s="813"/>
      <x:c r="N101" s="813"/>
    </x:row>
    <x:row r="102" ht="21" customHeight="1">
      <x:c r="A102" s="719"/>
      <x:c r="B102" s="1485" t="str">
        <x:v>Non-current – Equity instruments</x:v>
      </x:c>
      <x:c r="C102" s="1496"/>
      <x:c r="D102" s="1497"/>
      <x:c r="E102" s="1487"/>
      <x:c r="F102" s="1611"/>
      <x:c r="G102" s="814"/>
      <x:c r="H102" s="814"/>
      <x:c r="I102" s="814"/>
      <x:c r="J102" s="814"/>
      <x:c r="K102" s="814"/>
      <x:c r="L102" s="814"/>
      <x:c r="M102" s="814"/>
      <x:c r="N102" s="814"/>
    </x:row>
    <x:row r="103" ht="21" customHeight="1">
      <x:c r="A103" s="719"/>
      <x:c r="B103" s="1485" t="str">
        <x:v>Non-current – Preference shares</x:v>
      </x:c>
      <x:c r="C103" s="1496"/>
      <x:c r="D103" s="1497"/>
      <x:c r="E103" s="1487"/>
      <x:c r="F103" s="1611"/>
      <x:c r="G103" s="814"/>
      <x:c r="H103" s="814"/>
      <x:c r="I103" s="814"/>
      <x:c r="J103" s="814"/>
      <x:c r="K103" s="814"/>
      <x:c r="L103" s="814"/>
      <x:c r="M103" s="814"/>
      <x:c r="N103" s="814"/>
    </x:row>
    <x:row r="104" ht="21" customHeight="1">
      <x:c r="A104" s="750"/>
      <x:c r="B104" s="1490" t="str">
        <x:v>Non-current – Government / debt securities</x:v>
      </x:c>
      <x:c r="C104" s="1499"/>
      <x:c r="D104" s="1498"/>
      <x:c r="E104" s="1489"/>
      <x:c r="F104" s="1566"/>
      <x:c r="G104" s="813"/>
      <x:c r="H104" s="813"/>
      <x:c r="I104" s="813"/>
      <x:c r="J104" s="813"/>
      <x:c r="K104" s="813"/>
      <x:c r="L104" s="813"/>
      <x:c r="M104" s="813"/>
      <x:c r="N104" s="813"/>
    </x:row>
    <x:row r="105" ht="21" customHeight="1">
      <x:c r="A105" s="750"/>
      <x:c r="B105" s="1490" t="str">
        <x:v>Non-current – Mutual funds</x:v>
      </x:c>
      <x:c r="C105" s="1499"/>
      <x:c r="D105" s="1498"/>
      <x:c r="E105" s="1489"/>
      <x:c r="F105" s="1566"/>
      <x:c r="G105" s="813"/>
      <x:c r="H105" s="813"/>
      <x:c r="I105" s="813"/>
      <x:c r="J105" s="813"/>
      <x:c r="K105" s="813"/>
      <x:c r="L105" s="813"/>
      <x:c r="M105" s="813"/>
      <x:c r="N105" s="813"/>
    </x:row>
    <x:row r="106" ht="21" customHeight="1">
      <x:c r="A106" s="750"/>
      <x:c r="B106" s="1490" t="str">
        <x:v>Non-current – Other investments</x:v>
      </x:c>
      <x:c r="C106" s="1499"/>
      <x:c r="D106" s="1498"/>
      <x:c r="E106" s="1489"/>
      <x:c r="F106" s="1566"/>
      <x:c r="G106" s="813"/>
      <x:c r="H106" s="813"/>
      <x:c r="I106" s="813"/>
      <x:c r="J106" s="813"/>
      <x:c r="K106" s="813"/>
      <x:c r="L106" s="813"/>
      <x:c r="M106" s="813"/>
      <x:c r="N106" s="813"/>
    </x:row>
    <x:row r="107" ht="21" customHeight="1">
      <x:c r="A107" s="750"/>
      <x:c r="B107" s="1643" t="str">
        <x:v>Total Non-current Investments</x:v>
      </x:c>
      <x:c r="C107" s="1644" t="str">
        <x:f>IF(COUNT(C102:C106)=0,"",SUM(C102:C106))</x:f>
      </x:c>
      <x:c r="D107" s="1779" t="str">
        <x:f>IF(COUNT(D102:D106)=0,"",SUM(D102:D106))</x:f>
      </x:c>
      <x:c r="E107" s="1779"/>
      <x:c r="F107" s="1645"/>
      <x:c r="G107" s="813"/>
      <x:c r="H107" s="813"/>
      <x:c r="I107" s="813"/>
      <x:c r="J107" s="813"/>
      <x:c r="K107" s="813"/>
      <x:c r="L107" s="813"/>
      <x:c r="M107" s="813"/>
      <x:c r="N107" s="813"/>
    </x:row>
    <x:row r="108" ht="21" customHeight="1">
      <x:c r="A108" s="750"/>
      <x:c r="B108" s="1490" t="str"/>
      <x:c r="C108" s="1491"/>
      <x:c r="D108" s="1489"/>
      <x:c r="E108" s="1489"/>
      <x:c r="F108" s="1566"/>
      <x:c r="G108" s="813"/>
      <x:c r="H108" s="813"/>
      <x:c r="I108" s="813"/>
      <x:c r="J108" s="813"/>
      <x:c r="K108" s="813"/>
      <x:c r="L108" s="813"/>
      <x:c r="M108" s="813"/>
      <x:c r="N108" s="813"/>
    </x:row>
    <x:row r="109" ht="21" customHeight="1">
      <x:c r="A109" s="750"/>
      <x:c r="B109" s="1490" t="str">
        <x:v>Current Investments</x:v>
      </x:c>
      <x:c r="C109" s="1491"/>
      <x:c r="D109" s="1489"/>
      <x:c r="E109" s="1489"/>
      <x:c r="F109" s="1566"/>
      <x:c r="G109" s="813"/>
      <x:c r="H109" s="813"/>
      <x:c r="I109" s="813"/>
      <x:c r="J109" s="813"/>
      <x:c r="K109" s="813"/>
      <x:c r="L109" s="813"/>
      <x:c r="M109" s="813"/>
      <x:c r="N109" s="813"/>
    </x:row>
    <x:row r="110" ht="21" customHeight="1">
      <x:c r="A110" s="750"/>
      <x:c r="B110" s="1490" t="str">
        <x:v>Current – Equity / debt instruments</x:v>
      </x:c>
      <x:c r="C110" s="1499"/>
      <x:c r="D110" s="1498"/>
      <x:c r="E110" s="1489"/>
      <x:c r="F110" s="1566"/>
      <x:c r="G110" s="813"/>
      <x:c r="H110" s="813"/>
      <x:c r="I110" s="813"/>
      <x:c r="J110" s="813"/>
      <x:c r="K110" s="813"/>
      <x:c r="L110" s="813"/>
      <x:c r="M110" s="813"/>
      <x:c r="N110" s="813"/>
    </x:row>
    <x:row r="111" ht="21" customHeight="1">
      <x:c r="A111" s="750"/>
      <x:c r="B111" s="1490" t="str">
        <x:v>Current – Mutual funds</x:v>
      </x:c>
      <x:c r="C111" s="1499"/>
      <x:c r="D111" s="1498"/>
      <x:c r="E111" s="1489"/>
      <x:c r="F111" s="1566"/>
      <x:c r="G111" s="813"/>
      <x:c r="H111" s="813"/>
      <x:c r="I111" s="813"/>
      <x:c r="J111" s="813"/>
      <x:c r="K111" s="813"/>
      <x:c r="L111" s="813"/>
      <x:c r="M111" s="813"/>
      <x:c r="N111" s="813"/>
    </x:row>
    <x:row r="112" ht="21" customHeight="1">
      <x:c r="A112" s="750"/>
      <x:c r="B112" s="1490" t="str">
        <x:v>Current – Other investments</x:v>
      </x:c>
      <x:c r="C112" s="1499"/>
      <x:c r="D112" s="1498"/>
      <x:c r="E112" s="1489"/>
      <x:c r="F112" s="1566"/>
      <x:c r="G112" s="813"/>
      <x:c r="H112" s="813"/>
      <x:c r="I112" s="813"/>
      <x:c r="J112" s="813"/>
      <x:c r="K112" s="813"/>
      <x:c r="L112" s="813"/>
      <x:c r="M112" s="813"/>
      <x:c r="N112" s="813"/>
    </x:row>
    <x:row r="113" ht="21" customHeight="1">
      <x:c r="A113" s="750"/>
      <x:c r="B113" s="1513" t="str">
        <x:v>Total Current Investments</x:v>
      </x:c>
      <x:c r="C113" s="1514" t="str">
        <x:f>IF(COUNT(C110:C112)=0,"",SUM(C110:C112))</x:f>
      </x:c>
      <x:c r="D113" s="1515" t="str">
        <x:f>IF(COUNT(D110:D112)=0,"",SUM(D110:D112))</x:f>
      </x:c>
      <x:c r="E113" s="1515"/>
      <x:c r="F113" s="1515"/>
      <x:c r="G113" s="813"/>
      <x:c r="H113" s="813"/>
      <x:c r="I113" s="813"/>
      <x:c r="J113" s="813"/>
      <x:c r="K113" s="813"/>
      <x:c r="L113" s="813"/>
      <x:c r="M113" s="813"/>
      <x:c r="N113" s="813"/>
    </x:row>
    <x:row r="114" ht="21" customHeight="1">
      <x:c r="A114" s="719"/>
      <x:c r="B114" s="1636" t="str">
        <x:v>Aggregate provision / diminution, if any</x:v>
      </x:c>
      <x:c r="C114" s="1777"/>
      <x:c r="D114" s="1776"/>
      <x:c r="E114" s="1656"/>
      <x:c r="F114" s="1638"/>
      <x:c r="G114" s="814"/>
      <x:c r="H114" s="814"/>
      <x:c r="I114" s="814"/>
      <x:c r="J114" s="814"/>
      <x:c r="K114" s="814"/>
      <x:c r="L114" s="814"/>
      <x:c r="M114" s="814"/>
      <x:c r="N114" s="814"/>
    </x:row>
    <x:row r="115">
      <x:c r="A115" s="750"/>
      <x:c r="B115" s="977"/>
      <x:c r="C115" s="750"/>
      <x:c r="D115" s="813"/>
      <x:c r="E115" s="813"/>
      <x:c r="F115" s="813"/>
      <x:c r="G115" s="813"/>
      <x:c r="H115" s="813"/>
      <x:c r="I115" s="813"/>
      <x:c r="J115" s="813"/>
      <x:c r="K115" s="813"/>
      <x:c r="L115" s="813"/>
      <x:c r="M115" s="813"/>
      <x:c r="N115" s="813"/>
    </x:row>
    <x:row r="116">
      <x:c r="A116" s="750"/>
      <x:c r="B116" s="977"/>
      <x:c r="C116" s="750"/>
      <x:c r="D116" s="813"/>
      <x:c r="E116" s="813"/>
      <x:c r="F116" s="813"/>
      <x:c r="G116" s="813"/>
      <x:c r="H116" s="813"/>
      <x:c r="I116" s="813"/>
      <x:c r="J116" s="813"/>
      <x:c r="K116" s="813"/>
      <x:c r="L116" s="813"/>
      <x:c r="M116" s="813"/>
      <x:c r="N116" s="813"/>
    </x:row>
    <x:row r="117">
      <x:c r="A117" s="750"/>
      <x:c r="B117" s="977"/>
      <x:c r="C117" s="750"/>
      <x:c r="D117" s="813"/>
      <x:c r="E117" s="813"/>
      <x:c r="F117" s="813"/>
      <x:c r="G117" s="813"/>
      <x:c r="H117" s="813"/>
      <x:c r="I117" s="813"/>
      <x:c r="J117" s="813"/>
      <x:c r="K117" s="813"/>
      <x:c r="L117" s="813"/>
      <x:c r="M117" s="813"/>
      <x:c r="N117" s="813"/>
    </x:row>
    <x:row r="118">
      <x:c r="A118" s="750"/>
      <x:c r="B118" s="977"/>
      <x:c r="C118" s="750"/>
      <x:c r="D118" s="813"/>
      <x:c r="E118" s="813"/>
      <x:c r="F118" s="813"/>
      <x:c r="G118" s="813"/>
      <x:c r="H118" s="813"/>
      <x:c r="I118" s="813"/>
      <x:c r="J118" s="813"/>
      <x:c r="K118" s="813"/>
      <x:c r="L118" s="813"/>
      <x:c r="M118" s="813"/>
      <x:c r="N118" s="813"/>
    </x:row>
    <x:row r="119">
      <x:c r="A119" s="750"/>
      <x:c r="B119" s="977"/>
      <x:c r="C119" s="750"/>
      <x:c r="D119" s="813"/>
      <x:c r="E119" s="813"/>
      <x:c r="F119" s="813"/>
      <x:c r="G119" s="813"/>
      <x:c r="H119" s="813"/>
      <x:c r="I119" s="813"/>
      <x:c r="J119" s="813"/>
      <x:c r="K119" s="813"/>
      <x:c r="L119" s="813"/>
      <x:c r="M119" s="813"/>
      <x:c r="N119" s="813"/>
    </x:row>
    <x:row r="120">
      <x:c r="A120" s="750"/>
      <x:c r="B120" s="977"/>
      <x:c r="C120" s="750"/>
      <x:c r="D120" s="813"/>
      <x:c r="E120" s="813"/>
      <x:c r="F120" s="813"/>
      <x:c r="G120" s="813"/>
      <x:c r="H120" s="813"/>
      <x:c r="I120" s="813"/>
      <x:c r="J120" s="813"/>
      <x:c r="K120" s="813"/>
      <x:c r="L120" s="813"/>
      <x:c r="M120" s="813"/>
      <x:c r="N120" s="813"/>
    </x:row>
    <x:row r="121">
      <x:c r="A121" s="750"/>
      <x:c r="B121" s="977"/>
      <x:c r="C121" s="750"/>
      <x:c r="D121" s="813"/>
      <x:c r="E121" s="813"/>
      <x:c r="F121" s="813"/>
      <x:c r="G121" s="813"/>
      <x:c r="H121" s="813"/>
      <x:c r="I121" s="813"/>
      <x:c r="J121" s="813"/>
      <x:c r="K121" s="813"/>
      <x:c r="L121" s="813"/>
      <x:c r="M121" s="813"/>
      <x:c r="N121" s="813"/>
    </x:row>
    <x:row r="122">
      <x:c r="A122" s="750"/>
      <x:c r="B122" s="977"/>
      <x:c r="C122" s="750"/>
      <x:c r="D122" s="813"/>
      <x:c r="E122" s="813"/>
      <x:c r="F122" s="813"/>
      <x:c r="G122" s="813"/>
      <x:c r="H122" s="813"/>
      <x:c r="I122" s="813"/>
      <x:c r="J122" s="813"/>
      <x:c r="K122" s="813"/>
      <x:c r="L122" s="813"/>
      <x:c r="M122" s="813"/>
      <x:c r="N122" s="813"/>
    </x:row>
    <x:row r="123" ht="48" customHeight="1">
      <x:c r="A123" s="750"/>
      <x:c r="B123" s="977"/>
      <x:c r="C123" s="750"/>
      <x:c r="D123" s="813"/>
      <x:c r="E123" s="813"/>
      <x:c r="F123" s="813"/>
      <x:c r="G123" s="813"/>
      <x:c r="H123" s="813"/>
      <x:c r="I123" s="813"/>
      <x:c r="J123" s="813"/>
      <x:c r="K123" s="813"/>
      <x:c r="L123" s="813"/>
      <x:c r="M123" s="813"/>
      <x:c r="N123" s="813"/>
    </x:row>
    <x:row r="124" ht="24" customHeight="1">
      <x:c r="A124" s="750"/>
      <x:c r="B124" s="977"/>
      <x:c r="C124" s="750"/>
      <x:c r="D124" s="813"/>
      <x:c r="E124" s="813"/>
      <x:c r="F124" s="813"/>
      <x:c r="G124" s="813"/>
      <x:c r="H124" s="813"/>
      <x:c r="I124" s="813"/>
      <x:c r="J124" s="813"/>
      <x:c r="K124" s="813"/>
      <x:c r="L124" s="813"/>
      <x:c r="M124" s="813"/>
      <x:c r="N124" s="813"/>
    </x:row>
    <x:row r="125">
      <x:c r="A125" s="750"/>
      <x:c r="B125" s="977"/>
      <x:c r="C125" s="750"/>
      <x:c r="D125" s="813"/>
      <x:c r="E125" s="813"/>
      <x:c r="F125" s="813"/>
      <x:c r="G125" s="813"/>
      <x:c r="H125" s="813"/>
      <x:c r="I125" s="813"/>
      <x:c r="J125" s="813"/>
      <x:c r="K125" s="813"/>
      <x:c r="L125" s="813"/>
      <x:c r="M125" s="813"/>
      <x:c r="N125" s="813"/>
    </x:row>
    <x:row r="126">
      <x:c r="A126" s="750"/>
      <x:c r="B126" s="977"/>
      <x:c r="C126" s="750"/>
      <x:c r="D126" s="813"/>
      <x:c r="E126" s="813"/>
      <x:c r="F126" s="813"/>
      <x:c r="G126" s="813"/>
      <x:c r="H126" s="813"/>
      <x:c r="I126" s="813"/>
      <x:c r="J126" s="813"/>
      <x:c r="K126" s="813"/>
      <x:c r="L126" s="813"/>
      <x:c r="M126" s="813"/>
      <x:c r="N126" s="813"/>
    </x:row>
    <x:row r="127">
      <x:c r="A127" s="719"/>
      <x:c r="B127" s="979"/>
      <x:c r="C127" s="719"/>
      <x:c r="D127" s="814"/>
      <x:c r="E127" s="814"/>
      <x:c r="F127" s="814"/>
      <x:c r="G127" s="814"/>
      <x:c r="H127" s="814"/>
      <x:c r="I127" s="814"/>
      <x:c r="J127" s="814"/>
      <x:c r="K127" s="814"/>
      <x:c r="L127" s="814"/>
      <x:c r="M127" s="814"/>
      <x:c r="N127" s="814"/>
    </x:row>
    <x:row r="128">
      <x:c r="A128" s="750"/>
      <x:c r="B128" s="977"/>
      <x:c r="C128" s="750"/>
      <x:c r="D128" s="813"/>
      <x:c r="E128" s="813"/>
      <x:c r="F128" s="813"/>
      <x:c r="G128" s="813"/>
      <x:c r="H128" s="813"/>
      <x:c r="I128" s="813"/>
      <x:c r="J128" s="813"/>
      <x:c r="K128" s="813"/>
      <x:c r="L128" s="813"/>
      <x:c r="M128" s="813"/>
      <x:c r="N128" s="813"/>
    </x:row>
    <x:row r="129">
      <x:c r="A129" s="750"/>
      <x:c r="B129" s="977"/>
      <x:c r="C129" s="750"/>
      <x:c r="D129" s="813"/>
      <x:c r="E129" s="813"/>
      <x:c r="F129" s="813"/>
      <x:c r="G129" s="813"/>
      <x:c r="H129" s="813"/>
      <x:c r="I129" s="813"/>
      <x:c r="J129" s="813"/>
      <x:c r="K129" s="813"/>
      <x:c r="L129" s="813"/>
      <x:c r="M129" s="813"/>
      <x:c r="N129" s="813"/>
    </x:row>
    <x:row r="130">
      <x:c r="A130" s="750"/>
      <x:c r="B130" s="977"/>
      <x:c r="C130" s="750"/>
      <x:c r="D130" s="813"/>
      <x:c r="E130" s="813"/>
      <x:c r="F130" s="813"/>
      <x:c r="G130" s="813"/>
      <x:c r="H130" s="813"/>
      <x:c r="I130" s="813"/>
      <x:c r="J130" s="813"/>
      <x:c r="K130" s="813"/>
      <x:c r="L130" s="813"/>
      <x:c r="M130" s="813"/>
      <x:c r="N130" s="813"/>
    </x:row>
    <x:row r="131">
      <x:c r="A131" s="750"/>
      <x:c r="B131" s="977"/>
      <x:c r="C131" s="750"/>
      <x:c r="D131" s="813"/>
      <x:c r="E131" s="813"/>
      <x:c r="F131" s="813"/>
      <x:c r="G131" s="813"/>
      <x:c r="H131" s="813"/>
      <x:c r="I131" s="813"/>
      <x:c r="J131" s="813"/>
      <x:c r="K131" s="813"/>
      <x:c r="L131" s="813"/>
      <x:c r="M131" s="813"/>
      <x:c r="N131" s="813"/>
    </x:row>
    <x:row r="132">
      <x:c r="A132" s="750"/>
      <x:c r="B132" s="977"/>
      <x:c r="C132" s="750"/>
      <x:c r="D132" s="813"/>
      <x:c r="E132" s="813"/>
      <x:c r="F132" s="813"/>
      <x:c r="G132" s="813"/>
      <x:c r="H132" s="813"/>
      <x:c r="I132" s="813"/>
      <x:c r="J132" s="813"/>
      <x:c r="K132" s="813"/>
      <x:c r="L132" s="813"/>
      <x:c r="M132" s="813"/>
      <x:c r="N132" s="813"/>
    </x:row>
    <x:row r="133">
      <x:c r="A133" s="750"/>
      <x:c r="B133" s="977"/>
      <x:c r="C133" s="750"/>
      <x:c r="D133" s="813"/>
      <x:c r="E133" s="813"/>
      <x:c r="F133" s="813"/>
      <x:c r="G133" s="813"/>
      <x:c r="H133" s="813"/>
      <x:c r="I133" s="813"/>
      <x:c r="J133" s="813"/>
      <x:c r="K133" s="813"/>
      <x:c r="L133" s="813"/>
      <x:c r="M133" s="813"/>
      <x:c r="N133" s="813"/>
    </x:row>
    <x:row r="134">
      <x:c r="A134" s="750"/>
      <x:c r="B134" s="977"/>
      <x:c r="C134" s="750"/>
      <x:c r="D134" s="813"/>
      <x:c r="E134" s="813"/>
      <x:c r="F134" s="813"/>
      <x:c r="G134" s="813"/>
      <x:c r="H134" s="813"/>
      <x:c r="I134" s="813"/>
      <x:c r="J134" s="813"/>
      <x:c r="K134" s="813"/>
      <x:c r="L134" s="813"/>
      <x:c r="M134" s="813"/>
      <x:c r="N134" s="813"/>
    </x:row>
    <x:row r="135">
      <x:c r="A135" s="750"/>
      <x:c r="B135" s="977"/>
      <x:c r="C135" s="750"/>
      <x:c r="D135" s="813"/>
      <x:c r="E135" s="813"/>
      <x:c r="F135" s="813"/>
      <x:c r="G135" s="813"/>
      <x:c r="H135" s="813"/>
      <x:c r="I135" s="813"/>
      <x:c r="J135" s="813"/>
      <x:c r="K135" s="813"/>
      <x:c r="L135" s="813"/>
      <x:c r="M135" s="813"/>
      <x:c r="N135" s="813"/>
    </x:row>
    <x:row r="136">
      <x:c r="A136" s="750"/>
      <x:c r="B136" s="977"/>
      <x:c r="C136" s="750"/>
      <x:c r="D136" s="813"/>
      <x:c r="E136" s="813"/>
      <x:c r="F136" s="813"/>
      <x:c r="G136" s="813"/>
      <x:c r="H136" s="813"/>
      <x:c r="I136" s="813"/>
      <x:c r="J136" s="813"/>
      <x:c r="K136" s="813"/>
      <x:c r="L136" s="813"/>
      <x:c r="M136" s="813"/>
      <x:c r="N136" s="813"/>
    </x:row>
    <x:row r="137" ht="12.75" customHeight="1">
      <x:c r="A137" s="719"/>
      <x:c r="B137" s="979"/>
      <x:c r="C137" s="719"/>
      <x:c r="D137" s="814"/>
      <x:c r="E137" s="814"/>
      <x:c r="F137" s="814"/>
      <x:c r="G137" s="814"/>
      <x:c r="H137" s="814"/>
      <x:c r="I137" s="814"/>
      <x:c r="J137" s="814"/>
      <x:c r="K137" s="814"/>
      <x:c r="L137" s="814"/>
      <x:c r="M137" s="814"/>
      <x:c r="N137" s="814"/>
    </x:row>
    <x:row r="138" ht="12.75" customHeight="1">
      <x:c r="A138" s="750"/>
      <x:c r="B138" s="977"/>
      <x:c r="C138" s="750"/>
      <x:c r="D138" s="813"/>
      <x:c r="E138" s="813"/>
      <x:c r="F138" s="813"/>
      <x:c r="G138" s="813"/>
      <x:c r="H138" s="813"/>
      <x:c r="I138" s="813"/>
      <x:c r="J138" s="813"/>
      <x:c r="K138" s="813"/>
      <x:c r="L138" s="813"/>
      <x:c r="M138" s="813"/>
      <x:c r="N138" s="813"/>
    </x:row>
    <x:row r="139">
      <x:c r="A139" s="750"/>
      <x:c r="B139" s="977"/>
      <x:c r="C139" s="750"/>
      <x:c r="D139" s="813"/>
      <x:c r="E139" s="813"/>
      <x:c r="F139" s="813"/>
      <x:c r="G139" s="813"/>
      <x:c r="H139" s="813"/>
      <x:c r="I139" s="813"/>
      <x:c r="J139" s="813"/>
      <x:c r="K139" s="813"/>
      <x:c r="L139" s="813"/>
      <x:c r="M139" s="813"/>
      <x:c r="N139" s="813"/>
    </x:row>
    <x:row r="140">
      <x:c r="A140" s="750"/>
      <x:c r="B140" s="977"/>
      <x:c r="C140" s="750"/>
      <x:c r="D140" s="813"/>
      <x:c r="E140" s="813"/>
      <x:c r="F140" s="813"/>
      <x:c r="G140" s="813"/>
      <x:c r="H140" s="813"/>
      <x:c r="I140" s="813"/>
      <x:c r="J140" s="813"/>
      <x:c r="K140" s="813"/>
      <x:c r="L140" s="813"/>
      <x:c r="M140" s="813"/>
      <x:c r="N140" s="813"/>
    </x:row>
    <x:row r="141">
      <x:c r="A141" s="750"/>
      <x:c r="B141" s="977"/>
      <x:c r="C141" s="750"/>
      <x:c r="D141" s="813"/>
      <x:c r="E141" s="813"/>
      <x:c r="F141" s="813"/>
      <x:c r="G141" s="813"/>
      <x:c r="H141" s="813"/>
      <x:c r="I141" s="813"/>
      <x:c r="J141" s="813"/>
      <x:c r="K141" s="813"/>
      <x:c r="L141" s="813"/>
      <x:c r="M141" s="813"/>
      <x:c r="N141" s="813"/>
    </x:row>
    <x:row r="142">
      <x:c r="A142" s="750"/>
      <x:c r="B142" s="977"/>
      <x:c r="C142" s="750"/>
      <x:c r="D142" s="813"/>
      <x:c r="E142" s="813"/>
      <x:c r="F142" s="813"/>
      <x:c r="G142" s="813"/>
      <x:c r="H142" s="813"/>
      <x:c r="I142" s="813"/>
      <x:c r="J142" s="813"/>
      <x:c r="K142" s="813"/>
      <x:c r="L142" s="813"/>
      <x:c r="M142" s="813"/>
      <x:c r="N142" s="813"/>
    </x:row>
    <x:row r="143">
      <x:c r="A143" s="750"/>
      <x:c r="B143" s="977"/>
      <x:c r="C143" s="750"/>
      <x:c r="D143" s="813"/>
      <x:c r="E143" s="813"/>
      <x:c r="F143" s="813"/>
      <x:c r="G143" s="813"/>
      <x:c r="H143" s="813"/>
      <x:c r="I143" s="813"/>
      <x:c r="J143" s="813"/>
      <x:c r="K143" s="813"/>
      <x:c r="L143" s="813"/>
      <x:c r="M143" s="813"/>
      <x:c r="N143" s="813"/>
    </x:row>
    <x:row r="144">
      <x:c r="A144" s="750"/>
      <x:c r="B144" s="977"/>
      <x:c r="C144" s="750"/>
      <x:c r="D144" s="813"/>
      <x:c r="E144" s="813"/>
      <x:c r="F144" s="813"/>
      <x:c r="G144" s="813"/>
      <x:c r="H144" s="813"/>
      <x:c r="I144" s="813"/>
      <x:c r="J144" s="813"/>
      <x:c r="K144" s="813"/>
      <x:c r="L144" s="813"/>
      <x:c r="M144" s="813"/>
      <x:c r="N144" s="813"/>
    </x:row>
    <x:row r="145">
      <x:c r="A145" s="750"/>
      <x:c r="B145" s="977"/>
      <x:c r="C145" s="750"/>
      <x:c r="D145" s="813"/>
      <x:c r="E145" s="813"/>
      <x:c r="F145" s="813"/>
      <x:c r="G145" s="813"/>
      <x:c r="H145" s="813"/>
      <x:c r="I145" s="813"/>
      <x:c r="J145" s="813"/>
      <x:c r="K145" s="813"/>
      <x:c r="L145" s="813"/>
      <x:c r="M145" s="813"/>
      <x:c r="N145" s="813"/>
    </x:row>
    <x:row r="146">
      <x:c r="A146" s="719"/>
      <x:c r="B146" s="979"/>
      <x:c r="C146" s="719"/>
      <x:c r="D146" s="814"/>
      <x:c r="E146" s="814"/>
      <x:c r="F146" s="814"/>
      <x:c r="G146" s="814"/>
      <x:c r="H146" s="814"/>
      <x:c r="I146" s="814"/>
      <x:c r="J146" s="814"/>
      <x:c r="K146" s="814"/>
      <x:c r="L146" s="814"/>
      <x:c r="M146" s="814"/>
      <x:c r="N146" s="814"/>
    </x:row>
    <x:row r="147">
      <x:c r="A147" s="750"/>
      <x:c r="B147" s="977"/>
      <x:c r="C147" s="750"/>
      <x:c r="D147" s="813"/>
      <x:c r="E147" s="813"/>
      <x:c r="F147" s="813"/>
      <x:c r="G147" s="813"/>
      <x:c r="H147" s="813"/>
      <x:c r="I147" s="813"/>
      <x:c r="J147" s="813"/>
      <x:c r="K147" s="813"/>
      <x:c r="L147" s="813"/>
      <x:c r="M147" s="813"/>
      <x:c r="N147" s="813"/>
    </x:row>
    <x:row r="148" ht="24" customHeight="1">
      <x:c r="A148" s="719"/>
      <x:c r="B148" s="979"/>
      <x:c r="C148" s="719"/>
      <x:c r="D148" s="814"/>
      <x:c r="E148" s="814"/>
      <x:c r="F148" s="814"/>
      <x:c r="G148" s="814"/>
      <x:c r="H148" s="814"/>
      <x:c r="I148" s="814"/>
      <x:c r="J148" s="814"/>
      <x:c r="K148" s="814"/>
      <x:c r="L148" s="814"/>
      <x:c r="M148" s="814"/>
      <x:c r="N148" s="814"/>
    </x:row>
    <x:row r="149">
      <x:c r="A149" s="750"/>
      <x:c r="B149" s="977"/>
      <x:c r="C149" s="750"/>
      <x:c r="D149" s="813"/>
      <x:c r="E149" s="813"/>
      <x:c r="F149" s="813"/>
      <x:c r="G149" s="813"/>
      <x:c r="H149" s="813"/>
      <x:c r="I149" s="813"/>
      <x:c r="J149" s="813"/>
      <x:c r="K149" s="813"/>
      <x:c r="L149" s="813"/>
      <x:c r="M149" s="813"/>
      <x:c r="N149" s="813"/>
    </x:row>
    <x:row r="150">
      <x:c r="A150" s="750"/>
      <x:c r="B150" s="977"/>
      <x:c r="C150" s="750"/>
      <x:c r="D150" s="813"/>
      <x:c r="E150" s="813"/>
      <x:c r="F150" s="813"/>
      <x:c r="G150" s="813"/>
      <x:c r="H150" s="813"/>
      <x:c r="I150" s="813"/>
      <x:c r="J150" s="813"/>
      <x:c r="K150" s="813"/>
      <x:c r="L150" s="813"/>
      <x:c r="M150" s="813"/>
      <x:c r="N150" s="813"/>
    </x:row>
    <x:row r="151">
      <x:c r="A151" s="750"/>
      <x:c r="B151" s="977"/>
      <x:c r="C151" s="750"/>
      <x:c r="D151" s="813"/>
      <x:c r="E151" s="813"/>
      <x:c r="F151" s="813"/>
      <x:c r="G151" s="813"/>
      <x:c r="H151" s="813"/>
      <x:c r="I151" s="813"/>
      <x:c r="J151" s="813"/>
      <x:c r="K151" s="813"/>
      <x:c r="L151" s="813"/>
      <x:c r="M151" s="813"/>
      <x:c r="N151" s="813"/>
    </x:row>
    <x:row r="152">
      <x:c r="A152" s="750"/>
      <x:c r="B152" s="977"/>
      <x:c r="C152" s="750"/>
      <x:c r="D152" s="813"/>
      <x:c r="E152" s="813"/>
      <x:c r="F152" s="813"/>
      <x:c r="G152" s="813"/>
      <x:c r="H152" s="813"/>
      <x:c r="I152" s="813"/>
      <x:c r="J152" s="813"/>
      <x:c r="K152" s="813"/>
      <x:c r="L152" s="813"/>
      <x:c r="M152" s="813"/>
      <x:c r="N152" s="813"/>
    </x:row>
    <x:row r="153">
      <x:c r="A153" s="750"/>
      <x:c r="B153" s="977"/>
      <x:c r="C153" s="750"/>
      <x:c r="D153" s="813"/>
      <x:c r="E153" s="813"/>
      <x:c r="F153" s="813"/>
      <x:c r="G153" s="813"/>
      <x:c r="H153" s="813"/>
      <x:c r="I153" s="813"/>
      <x:c r="J153" s="813"/>
      <x:c r="K153" s="813"/>
      <x:c r="L153" s="813"/>
      <x:c r="M153" s="813"/>
      <x:c r="N153" s="813"/>
    </x:row>
    <x:row r="154">
      <x:c r="A154" s="750"/>
      <x:c r="B154" s="977"/>
      <x:c r="C154" s="750"/>
      <x:c r="D154" s="813"/>
      <x:c r="E154" s="813"/>
      <x:c r="F154" s="813"/>
      <x:c r="G154" s="813"/>
      <x:c r="H154" s="813"/>
      <x:c r="I154" s="813"/>
      <x:c r="J154" s="813"/>
      <x:c r="K154" s="813"/>
      <x:c r="L154" s="813"/>
      <x:c r="M154" s="813"/>
      <x:c r="N154" s="813"/>
    </x:row>
    <x:row r="155">
      <x:c r="A155" s="750"/>
      <x:c r="B155" s="977"/>
      <x:c r="C155" s="750"/>
      <x:c r="D155" s="813"/>
      <x:c r="E155" s="813"/>
      <x:c r="F155" s="813"/>
      <x:c r="G155" s="813"/>
      <x:c r="H155" s="813"/>
      <x:c r="I155" s="813"/>
      <x:c r="J155" s="813"/>
      <x:c r="K155" s="813"/>
      <x:c r="L155" s="813"/>
      <x:c r="M155" s="813"/>
      <x:c r="N155" s="813"/>
    </x:row>
    <x:row r="156">
      <x:c r="A156" s="750"/>
      <x:c r="B156" s="977"/>
      <x:c r="C156" s="750"/>
      <x:c r="D156" s="813"/>
      <x:c r="E156" s="813"/>
      <x:c r="F156" s="813"/>
      <x:c r="G156" s="813"/>
      <x:c r="H156" s="813"/>
      <x:c r="I156" s="813"/>
      <x:c r="J156" s="813"/>
      <x:c r="K156" s="813"/>
      <x:c r="L156" s="813"/>
      <x:c r="M156" s="813"/>
      <x:c r="N156" s="813"/>
    </x:row>
    <x:row r="157">
      <x:c r="A157" s="750"/>
      <x:c r="B157" s="977"/>
      <x:c r="C157" s="750"/>
      <x:c r="D157" s="813"/>
      <x:c r="E157" s="813"/>
      <x:c r="F157" s="813"/>
      <x:c r="G157" s="813"/>
      <x:c r="H157" s="813"/>
      <x:c r="I157" s="813"/>
      <x:c r="J157" s="813"/>
      <x:c r="K157" s="813"/>
      <x:c r="L157" s="813"/>
      <x:c r="M157" s="813"/>
      <x:c r="N157" s="813"/>
    </x:row>
    <x:row r="158">
      <x:c r="A158" s="719"/>
      <x:c r="B158" s="979"/>
      <x:c r="C158" s="719"/>
      <x:c r="D158" s="814"/>
      <x:c r="E158" s="814"/>
      <x:c r="F158" s="814"/>
      <x:c r="G158" s="814"/>
      <x:c r="H158" s="814"/>
      <x:c r="I158" s="814"/>
      <x:c r="J158" s="814"/>
      <x:c r="K158" s="814"/>
      <x:c r="L158" s="814"/>
      <x:c r="M158" s="814"/>
      <x:c r="N158" s="814"/>
    </x:row>
    <x:row r="159">
      <x:c r="A159" s="750"/>
      <x:c r="B159" s="977"/>
      <x:c r="C159" s="750"/>
      <x:c r="D159" s="813"/>
      <x:c r="E159" s="813"/>
      <x:c r="F159" s="813"/>
      <x:c r="G159" s="813"/>
      <x:c r="H159" s="813"/>
      <x:c r="I159" s="813"/>
      <x:c r="J159" s="813"/>
      <x:c r="K159" s="813"/>
      <x:c r="L159" s="813"/>
      <x:c r="M159" s="813"/>
      <x:c r="N159" s="813"/>
    </x:row>
    <x:row r="160">
      <x:c r="A160" s="750"/>
      <x:c r="B160" s="977"/>
      <x:c r="C160" s="750"/>
      <x:c r="D160" s="813"/>
      <x:c r="E160" s="813"/>
      <x:c r="F160" s="813"/>
      <x:c r="G160" s="813"/>
      <x:c r="H160" s="813"/>
      <x:c r="I160" s="813"/>
      <x:c r="J160" s="813"/>
      <x:c r="K160" s="813"/>
      <x:c r="L160" s="813"/>
      <x:c r="M160" s="813"/>
      <x:c r="N160" s="813"/>
    </x:row>
    <x:row r="161">
      <x:c r="A161" s="750"/>
      <x:c r="B161" s="977"/>
      <x:c r="C161" s="750"/>
      <x:c r="D161" s="813"/>
      <x:c r="E161" s="813"/>
      <x:c r="F161" s="813"/>
      <x:c r="G161" s="813"/>
      <x:c r="H161" s="813"/>
      <x:c r="I161" s="813"/>
      <x:c r="J161" s="813"/>
      <x:c r="K161" s="813"/>
      <x:c r="L161" s="813"/>
      <x:c r="M161" s="813"/>
      <x:c r="N161" s="813"/>
    </x:row>
    <x:row r="162">
      <x:c r="A162" s="750"/>
      <x:c r="B162" s="977"/>
      <x:c r="C162" s="750"/>
      <x:c r="D162" s="813"/>
      <x:c r="E162" s="813"/>
      <x:c r="F162" s="813"/>
      <x:c r="G162" s="813"/>
      <x:c r="H162" s="813"/>
      <x:c r="I162" s="813"/>
      <x:c r="J162" s="813"/>
      <x:c r="K162" s="813"/>
      <x:c r="L162" s="813"/>
      <x:c r="M162" s="813"/>
      <x:c r="N162" s="813"/>
    </x:row>
    <x:row r="163">
      <x:c r="A163" s="750"/>
      <x:c r="B163" s="977"/>
      <x:c r="C163" s="750"/>
      <x:c r="D163" s="813"/>
      <x:c r="E163" s="813"/>
      <x:c r="F163" s="813"/>
      <x:c r="G163" s="813"/>
      <x:c r="H163" s="813"/>
      <x:c r="I163" s="813"/>
      <x:c r="J163" s="813"/>
      <x:c r="K163" s="813"/>
      <x:c r="L163" s="813"/>
      <x:c r="M163" s="813"/>
      <x:c r="N163" s="813"/>
    </x:row>
    <x:row r="164">
      <x:c r="A164" s="750"/>
      <x:c r="B164" s="977"/>
      <x:c r="C164" s="750"/>
      <x:c r="D164" s="813"/>
      <x:c r="E164" s="813"/>
      <x:c r="F164" s="813"/>
      <x:c r="G164" s="813"/>
      <x:c r="H164" s="813"/>
      <x:c r="I164" s="813"/>
      <x:c r="J164" s="813"/>
      <x:c r="K164" s="813"/>
      <x:c r="L164" s="813"/>
      <x:c r="M164" s="813"/>
      <x:c r="N164" s="813"/>
    </x:row>
    <x:row r="165">
      <x:c r="A165" s="750"/>
      <x:c r="B165" s="977"/>
      <x:c r="C165" s="750"/>
      <x:c r="D165" s="813"/>
      <x:c r="E165" s="813"/>
      <x:c r="F165" s="813"/>
      <x:c r="G165" s="813"/>
      <x:c r="H165" s="813"/>
      <x:c r="I165" s="813"/>
      <x:c r="J165" s="813"/>
      <x:c r="K165" s="813"/>
      <x:c r="L165" s="813"/>
      <x:c r="M165" s="813"/>
      <x:c r="N165" s="813"/>
    </x:row>
    <x:row r="166">
      <x:c r="A166" s="750"/>
      <x:c r="B166" s="977"/>
      <x:c r="C166" s="750"/>
      <x:c r="D166" s="813"/>
      <x:c r="E166" s="813"/>
      <x:c r="F166" s="813"/>
      <x:c r="G166" s="813"/>
      <x:c r="H166" s="813"/>
      <x:c r="I166" s="813"/>
      <x:c r="J166" s="813"/>
      <x:c r="K166" s="813"/>
      <x:c r="L166" s="813"/>
      <x:c r="M166" s="813"/>
      <x:c r="N166" s="813"/>
    </x:row>
    <x:row r="167" ht="29.649999618530273" customHeight="1">
      <x:c r="A167" s="750"/>
      <x:c r="B167" s="977"/>
      <x:c r="C167" s="750"/>
      <x:c r="D167" s="813"/>
      <x:c r="E167" s="813"/>
      <x:c r="F167" s="813"/>
      <x:c r="G167" s="813"/>
      <x:c r="H167" s="813"/>
      <x:c r="I167" s="813"/>
      <x:c r="J167" s="813"/>
      <x:c r="K167" s="813"/>
      <x:c r="L167" s="813"/>
      <x:c r="M167" s="813"/>
      <x:c r="N167" s="813"/>
    </x:row>
    <x:row r="168" ht="24" customHeight="1">
      <x:c r="A168" s="750"/>
      <x:c r="B168" s="977"/>
      <x:c r="C168" s="750"/>
      <x:c r="D168" s="813"/>
      <x:c r="E168" s="813"/>
      <x:c r="F168" s="813"/>
      <x:c r="G168" s="813"/>
      <x:c r="H168" s="813"/>
      <x:c r="I168" s="813"/>
      <x:c r="J168" s="813"/>
      <x:c r="K168" s="813"/>
      <x:c r="L168" s="813"/>
      <x:c r="M168" s="813"/>
      <x:c r="N168" s="813"/>
    </x:row>
    <x:row r="169">
      <x:c r="A169" s="750"/>
      <x:c r="B169" s="977"/>
      <x:c r="C169" s="750"/>
      <x:c r="D169" s="813"/>
      <x:c r="E169" s="813"/>
      <x:c r="F169" s="813"/>
      <x:c r="G169" s="813"/>
      <x:c r="H169" s="813"/>
      <x:c r="I169" s="813"/>
      <x:c r="J169" s="813"/>
      <x:c r="K169" s="813"/>
      <x:c r="L169" s="813"/>
      <x:c r="M169" s="813"/>
      <x:c r="N169" s="813"/>
    </x:row>
    <x:row r="170">
      <x:c r="A170" s="750"/>
      <x:c r="B170" s="977"/>
      <x:c r="C170" s="750"/>
      <x:c r="D170" s="813"/>
      <x:c r="E170" s="813"/>
      <x:c r="F170" s="813"/>
      <x:c r="G170" s="813"/>
      <x:c r="H170" s="813"/>
      <x:c r="I170" s="813"/>
      <x:c r="J170" s="813"/>
      <x:c r="K170" s="813"/>
      <x:c r="L170" s="813"/>
      <x:c r="M170" s="813"/>
      <x:c r="N170" s="813"/>
    </x:row>
    <x:row r="171">
      <x:c r="A171" s="719"/>
      <x:c r="B171" s="979"/>
      <x:c r="C171" s="719"/>
      <x:c r="D171" s="814"/>
      <x:c r="E171" s="814"/>
      <x:c r="F171" s="814"/>
      <x:c r="G171" s="814"/>
      <x:c r="H171" s="814"/>
      <x:c r="I171" s="814"/>
      <x:c r="J171" s="814"/>
      <x:c r="K171" s="814"/>
      <x:c r="L171" s="814"/>
      <x:c r="M171" s="814"/>
      <x:c r="N171" s="814"/>
    </x:row>
    <x:row r="172">
      <x:c r="A172" s="750"/>
      <x:c r="B172" s="977"/>
      <x:c r="C172" s="750"/>
      <x:c r="D172" s="813"/>
      <x:c r="E172" s="813"/>
      <x:c r="F172" s="813"/>
      <x:c r="G172" s="813"/>
      <x:c r="H172" s="813"/>
      <x:c r="I172" s="813"/>
      <x:c r="J172" s="813"/>
      <x:c r="K172" s="813"/>
      <x:c r="L172" s="813"/>
      <x:c r="M172" s="813"/>
      <x:c r="N172" s="813"/>
    </x:row>
    <x:row r="173">
      <x:c r="A173" s="750"/>
      <x:c r="B173" s="977"/>
      <x:c r="C173" s="750"/>
      <x:c r="D173" s="813"/>
      <x:c r="E173" s="813"/>
      <x:c r="F173" s="813"/>
      <x:c r="G173" s="813"/>
      <x:c r="H173" s="813"/>
      <x:c r="I173" s="813"/>
      <x:c r="J173" s="813"/>
      <x:c r="K173" s="813"/>
      <x:c r="L173" s="813"/>
      <x:c r="M173" s="813"/>
      <x:c r="N173" s="813"/>
    </x:row>
    <x:row r="174">
      <x:c r="A174" s="750"/>
      <x:c r="B174" s="977"/>
      <x:c r="C174" s="750"/>
      <x:c r="D174" s="813"/>
      <x:c r="E174" s="813"/>
      <x:c r="F174" s="813"/>
      <x:c r="G174" s="813"/>
      <x:c r="H174" s="813"/>
      <x:c r="I174" s="813"/>
      <x:c r="J174" s="813"/>
      <x:c r="K174" s="813"/>
      <x:c r="L174" s="813"/>
      <x:c r="M174" s="813"/>
      <x:c r="N174" s="813"/>
    </x:row>
    <x:row r="175">
      <x:c r="A175" s="750"/>
      <x:c r="B175" s="977"/>
      <x:c r="C175" s="750"/>
      <x:c r="D175" s="813"/>
      <x:c r="E175" s="813"/>
      <x:c r="F175" s="813"/>
      <x:c r="G175" s="813"/>
      <x:c r="H175" s="813"/>
      <x:c r="I175" s="813"/>
      <x:c r="J175" s="813"/>
      <x:c r="K175" s="813"/>
      <x:c r="L175" s="813"/>
      <x:c r="M175" s="813"/>
      <x:c r="N175" s="813"/>
    </x:row>
    <x:row r="176">
      <x:c r="A176" s="719"/>
      <x:c r="B176" s="979"/>
      <x:c r="C176" s="719"/>
      <x:c r="D176" s="814"/>
      <x:c r="E176" s="814"/>
      <x:c r="F176" s="814"/>
      <x:c r="G176" s="814"/>
      <x:c r="H176" s="814"/>
      <x:c r="I176" s="814"/>
      <x:c r="J176" s="814"/>
      <x:c r="K176" s="814"/>
      <x:c r="L176" s="814"/>
      <x:c r="M176" s="814"/>
      <x:c r="N176" s="814"/>
    </x:row>
    <x:row r="177">
      <x:c r="A177" s="750"/>
      <x:c r="B177" s="977"/>
      <x:c r="C177" s="750"/>
      <x:c r="D177" s="813"/>
      <x:c r="E177" s="813"/>
      <x:c r="F177" s="813"/>
      <x:c r="G177" s="813"/>
      <x:c r="H177" s="813"/>
      <x:c r="I177" s="813"/>
      <x:c r="J177" s="813"/>
      <x:c r="K177" s="813"/>
      <x:c r="L177" s="813"/>
      <x:c r="M177" s="813"/>
      <x:c r="N177" s="813"/>
    </x:row>
    <x:row r="178">
      <x:c r="A178" s="750"/>
      <x:c r="B178" s="977"/>
      <x:c r="C178" s="750"/>
      <x:c r="D178" s="813"/>
      <x:c r="E178" s="813"/>
      <x:c r="F178" s="813"/>
      <x:c r="G178" s="813"/>
      <x:c r="H178" s="813"/>
      <x:c r="I178" s="813"/>
      <x:c r="J178" s="813"/>
      <x:c r="K178" s="813"/>
      <x:c r="L178" s="813"/>
      <x:c r="M178" s="813"/>
      <x:c r="N178" s="813"/>
    </x:row>
    <x:row r="179">
      <x:c r="A179" s="750"/>
      <x:c r="B179" s="977"/>
      <x:c r="C179" s="750"/>
      <x:c r="D179" s="813"/>
      <x:c r="E179" s="813"/>
      <x:c r="F179" s="813"/>
      <x:c r="G179" s="813"/>
      <x:c r="H179" s="813"/>
      <x:c r="I179" s="813"/>
      <x:c r="J179" s="813"/>
      <x:c r="K179" s="813"/>
      <x:c r="L179" s="813"/>
      <x:c r="M179" s="813"/>
      <x:c r="N179" s="813"/>
    </x:row>
    <x:row r="180">
      <x:c r="A180" s="750"/>
      <x:c r="B180" s="977"/>
      <x:c r="C180" s="750"/>
      <x:c r="D180" s="813"/>
      <x:c r="E180" s="813"/>
      <x:c r="F180" s="813"/>
      <x:c r="G180" s="813"/>
      <x:c r="H180" s="813"/>
      <x:c r="I180" s="813"/>
      <x:c r="J180" s="813"/>
      <x:c r="K180" s="813"/>
      <x:c r="L180" s="813"/>
      <x:c r="M180" s="813"/>
      <x:c r="N180" s="813"/>
    </x:row>
    <x:row r="181">
      <x:c r="A181" s="719"/>
      <x:c r="B181" s="979"/>
      <x:c r="C181" s="719"/>
      <x:c r="D181" s="814"/>
      <x:c r="E181" s="814"/>
      <x:c r="F181" s="814"/>
      <x:c r="G181" s="814"/>
      <x:c r="H181" s="814"/>
      <x:c r="I181" s="814"/>
      <x:c r="J181" s="814"/>
      <x:c r="K181" s="814"/>
      <x:c r="L181" s="814"/>
      <x:c r="M181" s="814"/>
      <x:c r="N181" s="814"/>
    </x:row>
    <x:row r="182">
      <x:c r="A182" s="750"/>
      <x:c r="B182" s="977"/>
      <x:c r="C182" s="750"/>
      <x:c r="D182" s="813"/>
      <x:c r="E182" s="813"/>
      <x:c r="F182" s="813"/>
      <x:c r="G182" s="813"/>
      <x:c r="H182" s="813"/>
      <x:c r="I182" s="813"/>
      <x:c r="J182" s="813"/>
      <x:c r="K182" s="813"/>
      <x:c r="L182" s="813"/>
      <x:c r="M182" s="813"/>
      <x:c r="N182" s="813"/>
    </x:row>
    <x:row r="183">
      <x:c r="A183" s="750"/>
      <x:c r="B183" s="977"/>
      <x:c r="C183" s="750"/>
      <x:c r="D183" s="813"/>
      <x:c r="E183" s="813"/>
      <x:c r="F183" s="813"/>
      <x:c r="G183" s="813"/>
      <x:c r="H183" s="813"/>
      <x:c r="I183" s="813"/>
      <x:c r="J183" s="813"/>
      <x:c r="K183" s="813"/>
      <x:c r="L183" s="813"/>
      <x:c r="M183" s="813"/>
      <x:c r="N183" s="813"/>
    </x:row>
    <x:row r="184">
      <x:c r="A184" s="750"/>
      <x:c r="B184" s="977"/>
      <x:c r="C184" s="750"/>
      <x:c r="D184" s="813"/>
      <x:c r="E184" s="813"/>
      <x:c r="F184" s="813"/>
      <x:c r="G184" s="813"/>
      <x:c r="H184" s="813"/>
      <x:c r="I184" s="813"/>
      <x:c r="J184" s="813"/>
      <x:c r="K184" s="813"/>
      <x:c r="L184" s="813"/>
      <x:c r="M184" s="813"/>
      <x:c r="N184" s="813"/>
    </x:row>
    <x:row r="185">
      <x:c r="B185" s="549"/>
    </x:row>
    <x:row r="186">
      <x:c r="B186" s="549"/>
    </x:row>
    <x:row r="187">
      <x:c r="B187" s="549"/>
    </x:row>
    <x:row r="188">
      <x:c r="B188" s="549"/>
    </x:row>
    <x:row r="189">
      <x:c r="B189" s="549"/>
    </x:row>
    <x:row r="190">
      <x:c r="B190" s="549"/>
    </x:row>
    <x:row r="191" ht="49.900001525878906" customHeight="1">
      <x:c r="A191" s="750"/>
      <x:c r="B191" s="977"/>
      <x:c r="C191" s="750"/>
      <x:c r="D191" s="813"/>
      <x:c r="E191" s="813"/>
      <x:c r="F191" s="813"/>
      <x:c r="G191" s="813"/>
      <x:c r="H191" s="813"/>
      <x:c r="I191" s="813"/>
    </x:row>
    <x:row r="192">
      <x:c r="A192" s="719"/>
      <x:c r="B192" s="1002"/>
      <x:c r="C192" s="719"/>
      <x:c r="D192" s="814"/>
      <x:c r="E192" s="814"/>
      <x:c r="F192" s="814"/>
      <x:c r="G192" s="814"/>
      <x:c r="H192" s="814"/>
      <x:c r="I192" s="814"/>
    </x:row>
    <x:row r="193">
      <x:c r="A193" s="719"/>
      <x:c r="B193" s="1002"/>
      <x:c r="C193" s="719"/>
      <x:c r="D193" s="814"/>
      <x:c r="E193" s="814"/>
      <x:c r="F193" s="814"/>
      <x:c r="G193" s="814"/>
      <x:c r="H193" s="814"/>
      <x:c r="I193" s="814"/>
    </x:row>
    <x:row r="194">
      <x:c r="A194" s="750"/>
      <x:c r="B194" s="977"/>
      <x:c r="C194" s="750"/>
      <x:c r="D194" s="813"/>
      <x:c r="E194" s="813"/>
      <x:c r="F194" s="813"/>
      <x:c r="G194" s="813"/>
      <x:c r="H194" s="813"/>
      <x:c r="I194" s="813"/>
    </x:row>
    <x:row r="195">
      <x:c r="A195" s="750"/>
      <x:c r="B195" s="977"/>
      <x:c r="C195" s="750"/>
      <x:c r="D195" s="813"/>
      <x:c r="E195" s="813"/>
      <x:c r="F195" s="813"/>
      <x:c r="G195" s="813"/>
      <x:c r="H195" s="813"/>
      <x:c r="I195" s="813"/>
    </x:row>
    <x:row r="196">
      <x:c r="A196" s="719"/>
      <x:c r="B196" s="979"/>
      <x:c r="C196" s="719"/>
      <x:c r="D196" s="814"/>
      <x:c r="E196" s="814"/>
      <x:c r="F196" s="814"/>
      <x:c r="G196" s="814"/>
      <x:c r="H196" s="814"/>
      <x:c r="I196" s="814"/>
    </x:row>
    <x:row r="197" ht="34.150001525878906" customHeight="1">
      <x:c r="A197" s="719"/>
      <x:c r="B197" s="979"/>
      <x:c r="C197" s="719"/>
      <x:c r="D197" s="814"/>
      <x:c r="E197" s="814"/>
      <x:c r="F197" s="814"/>
      <x:c r="G197" s="814"/>
      <x:c r="H197" s="814"/>
      <x:c r="I197" s="814"/>
    </x:row>
    <x:row r="198" ht="15" customHeight="1">
      <x:c r="A198" s="750"/>
      <x:c r="B198" s="977"/>
      <x:c r="C198" s="750"/>
      <x:c r="D198" s="813"/>
      <x:c r="E198" s="813"/>
      <x:c r="F198" s="813"/>
      <x:c r="G198" s="813"/>
      <x:c r="H198" s="813"/>
      <x:c r="I198" s="813"/>
    </x:row>
    <x:row r="199" ht="15" customHeight="1">
      <x:c r="A199" s="750"/>
      <x:c r="B199" s="977"/>
      <x:c r="C199" s="750"/>
      <x:c r="D199" s="813"/>
      <x:c r="E199" s="813"/>
      <x:c r="F199" s="813"/>
      <x:c r="G199" s="813"/>
      <x:c r="H199" s="813"/>
      <x:c r="I199" s="813"/>
    </x:row>
    <x:row r="200" ht="15" customHeight="1">
      <x:c r="A200" s="750"/>
      <x:c r="B200" s="977"/>
      <x:c r="C200" s="750"/>
      <x:c r="D200" s="813"/>
      <x:c r="E200" s="813"/>
      <x:c r="F200" s="813"/>
      <x:c r="G200" s="813"/>
      <x:c r="H200" s="813"/>
      <x:c r="I200" s="813"/>
    </x:row>
    <x:row r="201" ht="15" customHeight="1">
      <x:c r="A201" s="750"/>
      <x:c r="B201" s="977"/>
      <x:c r="C201" s="750"/>
      <x:c r="D201" s="813"/>
      <x:c r="E201" s="813"/>
      <x:c r="F201" s="813"/>
      <x:c r="G201" s="813"/>
      <x:c r="H201" s="813"/>
      <x:c r="I201" s="813"/>
    </x:row>
    <x:row r="202" ht="15" customHeight="1">
      <x:c r="A202" s="750"/>
      <x:c r="B202" s="977"/>
      <x:c r="C202" s="750"/>
      <x:c r="D202" s="813"/>
      <x:c r="E202" s="813"/>
      <x:c r="F202" s="813"/>
      <x:c r="G202" s="813"/>
      <x:c r="H202" s="813"/>
      <x:c r="I202" s="813"/>
    </x:row>
    <x:row r="203" ht="15" customHeight="1">
      <x:c r="A203" s="750"/>
      <x:c r="B203" s="977"/>
      <x:c r="C203" s="750"/>
      <x:c r="D203" s="813"/>
      <x:c r="E203" s="813"/>
      <x:c r="F203" s="813"/>
      <x:c r="G203" s="813"/>
      <x:c r="H203" s="813"/>
      <x:c r="I203" s="813"/>
    </x:row>
    <x:row r="204" ht="15" customHeight="1">
      <x:c r="A204" s="750"/>
      <x:c r="B204" s="977"/>
      <x:c r="C204" s="750"/>
      <x:c r="D204" s="813"/>
      <x:c r="E204" s="813"/>
      <x:c r="F204" s="813"/>
      <x:c r="G204" s="813"/>
      <x:c r="H204" s="813"/>
      <x:c r="I204" s="813"/>
    </x:row>
    <x:row r="205" ht="15" customHeight="1">
      <x:c r="A205" s="750"/>
      <x:c r="B205" s="977"/>
      <x:c r="C205" s="750"/>
      <x:c r="D205" s="813"/>
      <x:c r="E205" s="813"/>
      <x:c r="F205" s="813"/>
      <x:c r="G205" s="813"/>
      <x:c r="H205" s="813"/>
      <x:c r="I205" s="813"/>
    </x:row>
    <x:row r="206" ht="15" customHeight="1">
      <x:c r="A206" s="750"/>
      <x:c r="B206" s="977"/>
      <x:c r="C206" s="750"/>
      <x:c r="D206" s="813"/>
      <x:c r="E206" s="813"/>
      <x:c r="F206" s="813"/>
      <x:c r="G206" s="813"/>
      <x:c r="H206" s="813"/>
      <x:c r="I206" s="813"/>
    </x:row>
    <x:row r="207" ht="15" customHeight="1">
      <x:c r="A207" s="719"/>
      <x:c r="B207" s="979"/>
      <x:c r="C207" s="719"/>
      <x:c r="D207" s="814"/>
      <x:c r="E207" s="814"/>
      <x:c r="F207" s="814"/>
      <x:c r="G207" s="814"/>
      <x:c r="H207" s="814"/>
      <x:c r="I207" s="814"/>
    </x:row>
    <x:row r="208" ht="15" customHeight="1">
      <x:c r="A208" s="750"/>
      <x:c r="B208" s="977"/>
      <x:c r="C208" s="750"/>
      <x:c r="D208" s="813"/>
      <x:c r="E208" s="813"/>
      <x:c r="F208" s="813"/>
      <x:c r="G208" s="813"/>
      <x:c r="H208" s="813"/>
      <x:c r="I208" s="813"/>
    </x:row>
    <x:row r="209" ht="15" customHeight="1">
      <x:c r="A209" s="750"/>
      <x:c r="B209" s="977"/>
      <x:c r="C209" s="750"/>
      <x:c r="D209" s="813"/>
      <x:c r="E209" s="813"/>
      <x:c r="F209" s="813"/>
      <x:c r="G209" s="813"/>
      <x:c r="H209" s="813"/>
      <x:c r="I209" s="813"/>
    </x:row>
    <x:row r="210" ht="15" customHeight="1">
      <x:c r="A210" s="750"/>
      <x:c r="B210" s="977"/>
      <x:c r="C210" s="750"/>
      <x:c r="D210" s="813"/>
      <x:c r="E210" s="813"/>
      <x:c r="F210" s="813"/>
      <x:c r="G210" s="813"/>
      <x:c r="H210" s="813"/>
      <x:c r="I210" s="813"/>
    </x:row>
    <x:row r="211" ht="15" customHeight="1">
      <x:c r="A211" s="750"/>
      <x:c r="B211" s="977"/>
      <x:c r="C211" s="750"/>
      <x:c r="D211" s="813"/>
      <x:c r="E211" s="813"/>
      <x:c r="F211" s="813"/>
      <x:c r="G211" s="813"/>
      <x:c r="H211" s="813"/>
      <x:c r="I211" s="813"/>
    </x:row>
    <x:row r="212" ht="15" customHeight="1">
      <x:c r="A212" s="750"/>
      <x:c r="B212" s="977"/>
      <x:c r="C212" s="750"/>
      <x:c r="D212" s="813"/>
      <x:c r="E212" s="813"/>
      <x:c r="F212" s="813"/>
      <x:c r="G212" s="813"/>
      <x:c r="H212" s="813"/>
      <x:c r="I212" s="813"/>
    </x:row>
    <x:row r="213" ht="15" customHeight="1">
      <x:c r="A213" s="750"/>
      <x:c r="B213" s="977"/>
      <x:c r="C213" s="750"/>
      <x:c r="D213" s="813"/>
      <x:c r="E213" s="813"/>
      <x:c r="F213" s="813"/>
      <x:c r="G213" s="813"/>
      <x:c r="H213" s="813"/>
      <x:c r="I213" s="813"/>
    </x:row>
    <x:row r="214" ht="15" customHeight="1">
      <x:c r="A214" s="750"/>
      <x:c r="B214" s="977"/>
      <x:c r="C214" s="750"/>
      <x:c r="D214" s="813"/>
      <x:c r="E214" s="813"/>
      <x:c r="F214" s="813"/>
      <x:c r="G214" s="813"/>
      <x:c r="H214" s="813"/>
      <x:c r="I214" s="813"/>
    </x:row>
    <x:row r="215" ht="15" customHeight="1">
      <x:c r="A215" s="750"/>
      <x:c r="B215" s="977"/>
      <x:c r="C215" s="750"/>
      <x:c r="D215" s="813"/>
      <x:c r="E215" s="813"/>
      <x:c r="F215" s="813"/>
      <x:c r="G215" s="813"/>
      <x:c r="H215" s="813"/>
      <x:c r="I215" s="813"/>
    </x:row>
    <x:row r="216" ht="38.25" customHeight="1">
      <x:c r="A216" s="750"/>
      <x:c r="B216" s="977"/>
      <x:c r="C216" s="750"/>
      <x:c r="D216" s="813"/>
      <x:c r="E216" s="813"/>
      <x:c r="F216" s="813"/>
      <x:c r="G216" s="813"/>
      <x:c r="H216" s="813"/>
      <x:c r="I216" s="813"/>
    </x:row>
    <x:row r="217" ht="25.5" customHeight="1">
      <x:c r="A217" s="750"/>
      <x:c r="B217" s="977"/>
      <x:c r="C217" s="750"/>
      <x:c r="D217" s="813"/>
      <x:c r="E217" s="813"/>
      <x:c r="F217" s="813"/>
      <x:c r="G217" s="813"/>
      <x:c r="H217" s="813"/>
      <x:c r="I217" s="813"/>
    </x:row>
    <x:row r="218" ht="15" customHeight="1">
      <x:c r="A218" s="750"/>
      <x:c r="B218" s="977"/>
      <x:c r="C218" s="750"/>
      <x:c r="D218" s="813"/>
      <x:c r="E218" s="813"/>
      <x:c r="F218" s="813"/>
      <x:c r="G218" s="813"/>
      <x:c r="H218" s="813"/>
      <x:c r="I218" s="813"/>
    </x:row>
    <x:row r="219" ht="15" customHeight="1">
      <x:c r="A219" s="750"/>
      <x:c r="B219" s="977"/>
      <x:c r="C219" s="750"/>
      <x:c r="D219" s="813"/>
      <x:c r="E219" s="813"/>
      <x:c r="F219" s="813"/>
      <x:c r="G219" s="813"/>
      <x:c r="H219" s="813"/>
      <x:c r="I219" s="813"/>
    </x:row>
    <x:row r="220" ht="15" customHeight="1">
      <x:c r="A220" s="719"/>
      <x:c r="B220" s="979"/>
      <x:c r="C220" s="719"/>
      <x:c r="D220" s="814"/>
      <x:c r="E220" s="814"/>
      <x:c r="F220" s="814"/>
      <x:c r="G220" s="814"/>
      <x:c r="H220" s="814"/>
      <x:c r="I220" s="814"/>
    </x:row>
    <x:row r="221" ht="15" customHeight="1">
      <x:c r="A221" s="750"/>
      <x:c r="B221" s="977"/>
      <x:c r="C221" s="750"/>
      <x:c r="D221" s="813"/>
      <x:c r="E221" s="813"/>
      <x:c r="F221" s="813"/>
      <x:c r="G221" s="813"/>
      <x:c r="H221" s="813"/>
      <x:c r="I221" s="813"/>
    </x:row>
    <x:row r="222" ht="15" customHeight="1">
      <x:c r="A222" s="750"/>
      <x:c r="B222" s="977"/>
      <x:c r="C222" s="750"/>
      <x:c r="D222" s="813"/>
      <x:c r="E222" s="813"/>
      <x:c r="F222" s="813"/>
      <x:c r="G222" s="813"/>
      <x:c r="H222" s="813"/>
      <x:c r="I222" s="813"/>
    </x:row>
    <x:row r="223" ht="15" customHeight="1">
      <x:c r="A223" s="750"/>
      <x:c r="B223" s="977"/>
      <x:c r="C223" s="750"/>
      <x:c r="D223" s="813"/>
      <x:c r="E223" s="813"/>
      <x:c r="F223" s="813"/>
      <x:c r="G223" s="813"/>
      <x:c r="H223" s="813"/>
      <x:c r="I223" s="813"/>
    </x:row>
    <x:row r="224" ht="15" customHeight="1">
      <x:c r="A224" s="750"/>
      <x:c r="B224" s="977"/>
      <x:c r="C224" s="750"/>
      <x:c r="D224" s="813"/>
      <x:c r="E224" s="813"/>
      <x:c r="F224" s="813"/>
      <x:c r="G224" s="813"/>
      <x:c r="H224" s="813"/>
      <x:c r="I224" s="813"/>
    </x:row>
    <x:row r="225" ht="15" customHeight="1">
      <x:c r="A225" s="719"/>
      <x:c r="B225" s="979"/>
      <x:c r="C225" s="719"/>
      <x:c r="D225" s="814"/>
      <x:c r="E225" s="814"/>
      <x:c r="F225" s="814"/>
      <x:c r="G225" s="814"/>
      <x:c r="H225" s="814"/>
      <x:c r="I225" s="814"/>
    </x:row>
    <x:row r="226" ht="15" customHeight="1">
      <x:c r="A226" s="750"/>
      <x:c r="B226" s="977"/>
      <x:c r="C226" s="750"/>
      <x:c r="D226" s="813"/>
      <x:c r="E226" s="813"/>
      <x:c r="F226" s="813"/>
      <x:c r="G226" s="813"/>
      <x:c r="H226" s="813"/>
      <x:c r="I226" s="813"/>
    </x:row>
    <x:row r="227" ht="15" customHeight="1">
      <x:c r="A227" s="750"/>
      <x:c r="B227" s="977"/>
      <x:c r="C227" s="750"/>
      <x:c r="D227" s="813"/>
      <x:c r="E227" s="813"/>
      <x:c r="F227" s="813"/>
      <x:c r="G227" s="813"/>
      <x:c r="H227" s="813"/>
      <x:c r="I227" s="813"/>
    </x:row>
    <x:row r="228" ht="15" customHeight="1">
      <x:c r="A228" s="750"/>
      <x:c r="B228" s="977"/>
      <x:c r="C228" s="750"/>
      <x:c r="D228" s="813"/>
      <x:c r="E228" s="813"/>
      <x:c r="F228" s="813"/>
      <x:c r="G228" s="813"/>
      <x:c r="H228" s="813"/>
      <x:c r="I228" s="813"/>
    </x:row>
    <x:row r="229" ht="15" customHeight="1">
      <x:c r="A229" s="750"/>
      <x:c r="B229" s="977"/>
      <x:c r="C229" s="750"/>
      <x:c r="D229" s="813"/>
      <x:c r="E229" s="813"/>
      <x:c r="F229" s="813"/>
      <x:c r="G229" s="813"/>
      <x:c r="H229" s="813"/>
      <x:c r="I229" s="813"/>
    </x:row>
    <x:row r="230" ht="15" customHeight="1">
      <x:c r="A230" s="719"/>
      <x:c r="B230" s="979"/>
      <x:c r="C230" s="719"/>
      <x:c r="D230" s="814"/>
      <x:c r="E230" s="814"/>
      <x:c r="F230" s="814"/>
      <x:c r="G230" s="814"/>
      <x:c r="H230" s="814"/>
      <x:c r="I230" s="814"/>
    </x:row>
    <x:row r="231" ht="15" customHeight="1">
      <x:c r="A231" s="750"/>
      <x:c r="B231" s="977"/>
      <x:c r="C231" s="750"/>
      <x:c r="D231" s="813"/>
      <x:c r="E231" s="813"/>
      <x:c r="F231" s="813"/>
      <x:c r="G231" s="813"/>
      <x:c r="H231" s="813"/>
      <x:c r="I231" s="813"/>
    </x:row>
    <x:row r="232" ht="15" customHeight="1">
      <x:c r="A232" s="750"/>
      <x:c r="B232" s="977"/>
      <x:c r="C232" s="750"/>
      <x:c r="D232" s="813"/>
      <x:c r="E232" s="813"/>
      <x:c r="F232" s="813"/>
      <x:c r="G232" s="813"/>
      <x:c r="H232" s="813"/>
      <x:c r="I232" s="813"/>
    </x:row>
    <x:row r="233" ht="15" customHeight="1">
      <x:c r="A233" s="750"/>
      <x:c r="B233" s="977"/>
      <x:c r="C233" s="750"/>
      <x:c r="D233" s="813"/>
      <x:c r="E233" s="813"/>
      <x:c r="F233" s="813"/>
      <x:c r="G233" s="813"/>
      <x:c r="H233" s="813"/>
      <x:c r="I233" s="813"/>
    </x:row>
    <x:row r="234">
      <x:c r="A234" s="750"/>
      <x:c r="B234" s="977"/>
      <x:c r="C234" s="750"/>
      <x:c r="D234" s="813"/>
      <x:c r="E234" s="813"/>
      <x:c r="F234" s="813"/>
      <x:c r="G234" s="813"/>
      <x:c r="H234" s="813"/>
      <x:c r="I234" s="813"/>
    </x:row>
    <x:row r="235">
      <x:c r="A235" s="750"/>
      <x:c r="B235" s="977"/>
      <x:c r="C235" s="750"/>
      <x:c r="D235" s="813"/>
      <x:c r="E235" s="813"/>
      <x:c r="F235" s="813"/>
      <x:c r="G235" s="813"/>
      <x:c r="H235" s="813"/>
      <x:c r="I235" s="813"/>
    </x:row>
    <x:row r="236">
      <x:c r="B236" s="549"/>
    </x:row>
    <x:row r="237">
      <x:c r="B237" s="549"/>
    </x:row>
    <x:row r="238">
      <x:c r="B238" s="549"/>
    </x:row>
    <x:row r="239">
      <x:c r="B239" s="549"/>
    </x:row>
    <x:row r="240">
      <x:c r="B240" s="549"/>
    </x:row>
    <x:row r="241">
      <x:c r="B241" s="549"/>
    </x:row>
    <x:row r="242" ht="49.900001525878906" customHeight="1">
      <x:c r="A242" s="750"/>
      <x:c r="B242" s="977"/>
      <x:c r="C242" s="750"/>
      <x:c r="D242" s="813"/>
      <x:c r="E242" s="813"/>
      <x:c r="F242" s="813"/>
      <x:c r="G242" s="813"/>
      <x:c r="H242" s="813"/>
    </x:row>
    <x:row r="243">
      <x:c r="A243" s="719"/>
      <x:c r="B243" s="1002"/>
      <x:c r="C243" s="719"/>
      <x:c r="D243" s="814"/>
      <x:c r="E243" s="814"/>
      <x:c r="F243" s="814"/>
      <x:c r="G243" s="814"/>
      <x:c r="H243" s="814"/>
    </x:row>
    <x:row r="244">
      <x:c r="A244" s="719"/>
      <x:c r="B244" s="1002"/>
      <x:c r="C244" s="719"/>
      <x:c r="D244" s="814"/>
      <x:c r="E244" s="814"/>
      <x:c r="F244" s="814"/>
      <x:c r="G244" s="814"/>
      <x:c r="H244" s="814"/>
    </x:row>
    <x:row r="245">
      <x:c r="A245" s="750"/>
      <x:c r="B245" s="977"/>
      <x:c r="C245" s="750"/>
      <x:c r="D245" s="813"/>
      <x:c r="E245" s="813"/>
      <x:c r="F245" s="813"/>
      <x:c r="G245" s="813"/>
      <x:c r="H245" s="813"/>
    </x:row>
    <x:row r="246" ht="15.75" customHeight="1">
      <x:c r="A246" s="719"/>
      <x:c r="B246" s="979"/>
      <x:c r="C246" s="719"/>
      <x:c r="D246" s="814"/>
      <x:c r="E246" s="814"/>
      <x:c r="F246" s="814"/>
      <x:c r="G246" s="814"/>
      <x:c r="H246" s="814"/>
    </x:row>
    <x:row r="247" ht="27" customHeight="1">
      <x:c r="A247" s="750"/>
      <x:c r="B247" s="977"/>
      <x:c r="C247" s="750"/>
      <x:c r="D247" s="813"/>
      <x:c r="E247" s="813"/>
      <x:c r="F247" s="813"/>
      <x:c r="G247" s="813"/>
      <x:c r="H247" s="813"/>
    </x:row>
    <x:row r="248">
      <x:c r="A248" s="750"/>
      <x:c r="B248" s="977"/>
      <x:c r="C248" s="750"/>
      <x:c r="D248" s="813"/>
      <x:c r="E248" s="813"/>
      <x:c r="F248" s="813"/>
      <x:c r="G248" s="813"/>
      <x:c r="H248" s="813"/>
    </x:row>
    <x:row r="249">
      <x:c r="A249" s="750"/>
      <x:c r="B249" s="977"/>
      <x:c r="C249" s="750"/>
      <x:c r="D249" s="813"/>
      <x:c r="E249" s="813"/>
      <x:c r="F249" s="813"/>
      <x:c r="G249" s="813"/>
      <x:c r="H249" s="813"/>
    </x:row>
    <x:row r="250">
      <x:c r="A250" s="750"/>
      <x:c r="B250" s="977"/>
      <x:c r="C250" s="750"/>
      <x:c r="D250" s="813"/>
      <x:c r="E250" s="813"/>
      <x:c r="F250" s="813"/>
      <x:c r="G250" s="813"/>
      <x:c r="H250" s="813"/>
    </x:row>
    <x:row r="251">
      <x:c r="A251" s="750"/>
      <x:c r="B251" s="977"/>
      <x:c r="C251" s="750"/>
      <x:c r="D251" s="813"/>
      <x:c r="E251" s="813"/>
      <x:c r="F251" s="813"/>
      <x:c r="G251" s="813"/>
      <x:c r="H251" s="813"/>
    </x:row>
    <x:row r="252">
      <x:c r="A252" s="750"/>
      <x:c r="B252" s="977"/>
      <x:c r="C252" s="750"/>
      <x:c r="D252" s="813"/>
      <x:c r="E252" s="813"/>
      <x:c r="F252" s="813"/>
      <x:c r="G252" s="813"/>
      <x:c r="H252" s="813"/>
    </x:row>
    <x:row r="253">
      <x:c r="A253" s="750"/>
      <x:c r="B253" s="977"/>
      <x:c r="C253" s="750"/>
      <x:c r="D253" s="813"/>
      <x:c r="E253" s="813"/>
      <x:c r="F253" s="813"/>
      <x:c r="G253" s="813"/>
      <x:c r="H253" s="813"/>
    </x:row>
    <x:row r="254">
      <x:c r="A254" s="750"/>
      <x:c r="B254" s="977"/>
      <x:c r="C254" s="750"/>
      <x:c r="D254" s="813"/>
      <x:c r="E254" s="813"/>
      <x:c r="F254" s="813"/>
      <x:c r="G254" s="813"/>
      <x:c r="H254" s="813"/>
    </x:row>
    <x:row r="255">
      <x:c r="A255" s="750"/>
      <x:c r="B255" s="977"/>
      <x:c r="C255" s="750"/>
      <x:c r="D255" s="813"/>
      <x:c r="E255" s="813"/>
      <x:c r="F255" s="813"/>
      <x:c r="G255" s="813"/>
      <x:c r="H255" s="813"/>
    </x:row>
    <x:row r="256">
      <x:c r="A256" s="750"/>
      <x:c r="B256" s="977"/>
      <x:c r="C256" s="750"/>
      <x:c r="D256" s="813"/>
      <x:c r="E256" s="813"/>
      <x:c r="F256" s="813"/>
      <x:c r="G256" s="813"/>
      <x:c r="H256" s="813"/>
    </x:row>
    <x:row r="257">
      <x:c r="A257" s="750"/>
      <x:c r="B257" s="977"/>
      <x:c r="C257" s="750"/>
      <x:c r="D257" s="813"/>
      <x:c r="E257" s="813"/>
      <x:c r="F257" s="813"/>
      <x:c r="G257" s="813"/>
      <x:c r="H257" s="813"/>
    </x:row>
    <x:row r="258">
      <x:c r="A258" s="750"/>
      <x:c r="B258" s="977"/>
      <x:c r="C258" s="750"/>
      <x:c r="D258" s="813"/>
      <x:c r="E258" s="813"/>
      <x:c r="F258" s="813"/>
      <x:c r="G258" s="813"/>
      <x:c r="H258" s="813"/>
    </x:row>
    <x:row r="259">
      <x:c r="A259" s="750"/>
      <x:c r="B259" s="977"/>
      <x:c r="C259" s="750"/>
      <x:c r="D259" s="813"/>
      <x:c r="E259" s="813"/>
      <x:c r="F259" s="813"/>
      <x:c r="G259" s="813"/>
      <x:c r="H259" s="813"/>
    </x:row>
    <x:row r="260">
      <x:c r="A260" s="750"/>
      <x:c r="B260" s="977"/>
      <x:c r="C260" s="750"/>
      <x:c r="D260" s="813"/>
      <x:c r="E260" s="813"/>
      <x:c r="F260" s="813"/>
      <x:c r="G260" s="813"/>
      <x:c r="H260" s="813"/>
    </x:row>
    <x:row r="261">
      <x:c r="A261" s="719"/>
      <x:c r="B261" s="979"/>
      <x:c r="C261" s="719"/>
      <x:c r="D261" s="814"/>
      <x:c r="E261" s="814"/>
      <x:c r="F261" s="814"/>
      <x:c r="G261" s="814"/>
      <x:c r="H261" s="814"/>
    </x:row>
    <x:row r="262">
      <x:c r="A262" s="750"/>
      <x:c r="B262" s="977"/>
      <x:c r="C262" s="750"/>
      <x:c r="D262" s="813"/>
      <x:c r="E262" s="813"/>
      <x:c r="F262" s="813"/>
      <x:c r="G262" s="813"/>
      <x:c r="H262" s="813"/>
    </x:row>
    <x:row r="263">
      <x:c r="A263" s="750"/>
      <x:c r="B263" s="977"/>
      <x:c r="C263" s="750"/>
      <x:c r="D263" s="813"/>
      <x:c r="E263" s="813"/>
      <x:c r="F263" s="813"/>
      <x:c r="G263" s="813"/>
      <x:c r="H263" s="813"/>
    </x:row>
    <x:row r="264">
      <x:c r="A264" s="750"/>
      <x:c r="B264" s="977"/>
      <x:c r="C264" s="750"/>
      <x:c r="D264" s="813"/>
      <x:c r="E264" s="813"/>
      <x:c r="F264" s="813"/>
      <x:c r="G264" s="813"/>
      <x:c r="H264" s="813"/>
    </x:row>
    <x:row r="265">
      <x:c r="A265" s="750"/>
      <x:c r="B265" s="977"/>
      <x:c r="C265" s="750"/>
      <x:c r="D265" s="813"/>
      <x:c r="E265" s="813"/>
      <x:c r="F265" s="813"/>
      <x:c r="G265" s="813"/>
      <x:c r="H265" s="813"/>
    </x:row>
    <x:row r="266">
      <x:c r="A266" s="750"/>
      <x:c r="B266" s="977"/>
      <x:c r="C266" s="750"/>
      <x:c r="D266" s="813"/>
      <x:c r="E266" s="813"/>
      <x:c r="F266" s="813"/>
      <x:c r="G266" s="813"/>
      <x:c r="H266" s="813"/>
    </x:row>
    <x:row r="267">
      <x:c r="A267" s="750"/>
      <x:c r="B267" s="977"/>
      <x:c r="C267" s="750"/>
      <x:c r="D267" s="813"/>
      <x:c r="E267" s="813"/>
      <x:c r="F267" s="813"/>
      <x:c r="G267" s="813"/>
      <x:c r="H267" s="813"/>
    </x:row>
    <x:row r="268">
      <x:c r="A268" s="750"/>
      <x:c r="B268" s="977"/>
      <x:c r="C268" s="750"/>
      <x:c r="D268" s="813"/>
      <x:c r="E268" s="813"/>
      <x:c r="F268" s="813"/>
      <x:c r="G268" s="813"/>
      <x:c r="H268" s="813"/>
    </x:row>
    <x:row r="269">
      <x:c r="A269" s="750"/>
      <x:c r="B269" s="977"/>
      <x:c r="C269" s="750"/>
      <x:c r="D269" s="813"/>
      <x:c r="E269" s="813"/>
      <x:c r="F269" s="813"/>
      <x:c r="G269" s="813"/>
      <x:c r="H269" s="813"/>
    </x:row>
    <x:row r="270">
      <x:c r="A270" s="750"/>
      <x:c r="B270" s="977"/>
      <x:c r="C270" s="750"/>
      <x:c r="D270" s="813"/>
      <x:c r="E270" s="813"/>
      <x:c r="F270" s="813"/>
      <x:c r="G270" s="813"/>
      <x:c r="H270" s="813"/>
    </x:row>
    <x:row r="271">
      <x:c r="A271" s="750"/>
      <x:c r="B271" s="977"/>
      <x:c r="C271" s="750"/>
      <x:c r="D271" s="813"/>
      <x:c r="E271" s="813"/>
      <x:c r="F271" s="813"/>
      <x:c r="G271" s="813"/>
      <x:c r="H271" s="813"/>
    </x:row>
    <x:row r="272">
      <x:c r="A272" s="750"/>
      <x:c r="B272" s="977"/>
      <x:c r="C272" s="750"/>
      <x:c r="D272" s="813"/>
      <x:c r="E272" s="813"/>
      <x:c r="F272" s="813"/>
      <x:c r="G272" s="813"/>
      <x:c r="H272" s="813"/>
    </x:row>
    <x:row r="273">
      <x:c r="A273" s="750"/>
      <x:c r="B273" s="977"/>
      <x:c r="C273" s="750"/>
      <x:c r="D273" s="813"/>
      <x:c r="E273" s="813"/>
      <x:c r="F273" s="813"/>
      <x:c r="G273" s="813"/>
      <x:c r="H273" s="813"/>
    </x:row>
    <x:row r="274">
      <x:c r="A274" s="750"/>
      <x:c r="B274" s="977"/>
      <x:c r="C274" s="750"/>
      <x:c r="D274" s="813"/>
      <x:c r="E274" s="813"/>
      <x:c r="F274" s="813"/>
      <x:c r="G274" s="813"/>
      <x:c r="H274" s="813"/>
    </x:row>
    <x:row r="275">
      <x:c r="A275" s="750"/>
      <x:c r="B275" s="977"/>
      <x:c r="C275" s="750"/>
      <x:c r="D275" s="813"/>
      <x:c r="E275" s="813"/>
      <x:c r="F275" s="813"/>
      <x:c r="G275" s="813"/>
      <x:c r="H275" s="813"/>
    </x:row>
    <x:row r="276">
      <x:c r="A276" s="719"/>
      <x:c r="B276" s="979"/>
      <x:c r="C276" s="719"/>
      <x:c r="D276" s="814"/>
      <x:c r="E276" s="814"/>
      <x:c r="F276" s="814"/>
      <x:c r="G276" s="814"/>
      <x:c r="H276" s="814"/>
    </x:row>
    <x:row r="277">
      <x:c r="A277" s="750"/>
      <x:c r="B277" s="977"/>
      <x:c r="C277" s="750"/>
      <x:c r="D277" s="813"/>
      <x:c r="E277" s="813"/>
      <x:c r="F277" s="813"/>
      <x:c r="G277" s="813"/>
      <x:c r="H277" s="813"/>
    </x:row>
    <x:row r="278" ht="14.25" customHeight="1">
      <x:c r="A278" s="719"/>
      <x:c r="B278" s="979"/>
      <x:c r="C278" s="719"/>
      <x:c r="D278" s="814"/>
      <x:c r="E278" s="814"/>
      <x:c r="F278" s="814"/>
      <x:c r="G278" s="814"/>
      <x:c r="H278" s="814"/>
    </x:row>
    <x:row r="279" ht="14.25" customHeight="1">
      <x:c r="A279" s="750"/>
      <x:c r="B279" s="977"/>
      <x:c r="C279" s="750"/>
      <x:c r="D279" s="813"/>
      <x:c r="E279" s="813"/>
      <x:c r="F279" s="813"/>
      <x:c r="G279" s="813"/>
      <x:c r="H279" s="813"/>
    </x:row>
    <x:row r="280">
      <x:c r="A280" s="750"/>
      <x:c r="B280" s="977"/>
      <x:c r="C280" s="750"/>
      <x:c r="D280" s="813"/>
      <x:c r="E280" s="813"/>
      <x:c r="F280" s="813"/>
      <x:c r="G280" s="813"/>
      <x:c r="H280" s="813"/>
    </x:row>
    <x:row r="281">
      <x:c r="A281" s="750"/>
      <x:c r="B281" s="977"/>
      <x:c r="C281" s="750"/>
      <x:c r="D281" s="813"/>
      <x:c r="E281" s="813"/>
      <x:c r="F281" s="813"/>
      <x:c r="G281" s="813"/>
      <x:c r="H281" s="813"/>
    </x:row>
    <x:row r="282">
      <x:c r="A282" s="750"/>
      <x:c r="B282" s="977"/>
      <x:c r="C282" s="750"/>
      <x:c r="D282" s="813"/>
      <x:c r="E282" s="813"/>
      <x:c r="F282" s="813"/>
      <x:c r="G282" s="813"/>
      <x:c r="H282" s="813"/>
    </x:row>
    <x:row r="283">
      <x:c r="A283" s="750"/>
      <x:c r="B283" s="977"/>
      <x:c r="C283" s="750"/>
      <x:c r="D283" s="813"/>
      <x:c r="E283" s="813"/>
      <x:c r="F283" s="813"/>
      <x:c r="G283" s="813"/>
      <x:c r="H283" s="813"/>
    </x:row>
    <x:row r="284">
      <x:c r="A284" s="750"/>
      <x:c r="B284" s="977"/>
      <x:c r="C284" s="750"/>
      <x:c r="D284" s="813"/>
      <x:c r="E284" s="813"/>
      <x:c r="F284" s="813"/>
      <x:c r="G284" s="813"/>
      <x:c r="H284" s="813"/>
    </x:row>
    <x:row r="285" ht="13.899999618530273" customHeight="1">
      <x:c r="A285" s="750"/>
      <x:c r="B285" s="977"/>
      <x:c r="C285" s="750"/>
      <x:c r="D285" s="813"/>
      <x:c r="E285" s="813"/>
      <x:c r="F285" s="813"/>
      <x:c r="G285" s="813"/>
      <x:c r="H285" s="813"/>
    </x:row>
    <x:row r="286">
      <x:c r="A286" s="750"/>
      <x:c r="B286" s="977"/>
      <x:c r="C286" s="750"/>
      <x:c r="D286" s="813"/>
      <x:c r="E286" s="813"/>
      <x:c r="F286" s="813"/>
      <x:c r="G286" s="813"/>
      <x:c r="H286" s="813"/>
    </x:row>
    <x:row r="287">
      <x:c r="A287" s="750"/>
      <x:c r="B287" s="977"/>
      <x:c r="C287" s="750"/>
      <x:c r="D287" s="813"/>
      <x:c r="E287" s="813"/>
      <x:c r="F287" s="813"/>
      <x:c r="G287" s="813"/>
      <x:c r="H287" s="813"/>
    </x:row>
    <x:row r="288">
      <x:c r="A288" s="750"/>
      <x:c r="B288" s="977"/>
      <x:c r="C288" s="750"/>
      <x:c r="D288" s="813"/>
      <x:c r="E288" s="813"/>
      <x:c r="F288" s="813"/>
      <x:c r="G288" s="813"/>
      <x:c r="H288" s="813"/>
    </x:row>
    <x:row r="289">
      <x:c r="A289" s="750"/>
      <x:c r="B289" s="977"/>
      <x:c r="C289" s="750"/>
      <x:c r="D289" s="813"/>
      <x:c r="E289" s="813"/>
      <x:c r="F289" s="813"/>
      <x:c r="G289" s="813"/>
      <x:c r="H289" s="813"/>
    </x:row>
    <x:row r="290">
      <x:c r="A290" s="750"/>
      <x:c r="B290" s="977"/>
      <x:c r="C290" s="750"/>
      <x:c r="D290" s="813"/>
      <x:c r="E290" s="813"/>
      <x:c r="F290" s="813"/>
      <x:c r="G290" s="813"/>
      <x:c r="H290" s="813"/>
    </x:row>
    <x:row r="291">
      <x:c r="A291" s="750"/>
      <x:c r="B291" s="977"/>
      <x:c r="C291" s="750"/>
      <x:c r="D291" s="813"/>
      <x:c r="E291" s="813"/>
      <x:c r="F291" s="813"/>
      <x:c r="G291" s="813"/>
      <x:c r="H291" s="813"/>
    </x:row>
    <x:row r="292">
      <x:c r="A292" s="719"/>
      <x:c r="B292" s="979"/>
      <x:c r="C292" s="719"/>
      <x:c r="D292" s="814"/>
      <x:c r="E292" s="814"/>
      <x:c r="F292" s="814"/>
      <x:c r="G292" s="814"/>
      <x:c r="H292" s="814"/>
    </x:row>
    <x:row r="293" ht="27" customHeight="1">
      <x:c r="A293" s="750"/>
      <x:c r="B293" s="977"/>
      <x:c r="C293" s="750"/>
      <x:c r="D293" s="813"/>
      <x:c r="E293" s="813"/>
      <x:c r="F293" s="813"/>
      <x:c r="G293" s="813"/>
      <x:c r="H293" s="813"/>
    </x:row>
    <x:row r="294">
      <x:c r="A294" s="750"/>
      <x:c r="B294" s="977"/>
      <x:c r="C294" s="750"/>
      <x:c r="D294" s="813"/>
      <x:c r="E294" s="813"/>
      <x:c r="F294" s="813"/>
      <x:c r="G294" s="813"/>
      <x:c r="H294" s="813"/>
    </x:row>
    <x:row r="295">
      <x:c r="A295" s="750"/>
      <x:c r="B295" s="977"/>
      <x:c r="C295" s="750"/>
      <x:c r="D295" s="813"/>
      <x:c r="E295" s="813"/>
      <x:c r="F295" s="813"/>
      <x:c r="G295" s="813"/>
      <x:c r="H295" s="813"/>
    </x:row>
    <x:row r="296">
      <x:c r="A296" s="750"/>
      <x:c r="B296" s="977"/>
      <x:c r="C296" s="750"/>
      <x:c r="D296" s="813"/>
      <x:c r="E296" s="813"/>
      <x:c r="F296" s="813"/>
      <x:c r="G296" s="813"/>
      <x:c r="H296" s="813"/>
    </x:row>
    <x:row r="297">
      <x:c r="A297" s="750"/>
      <x:c r="B297" s="977"/>
      <x:c r="C297" s="750"/>
      <x:c r="D297" s="813"/>
      <x:c r="E297" s="813"/>
      <x:c r="F297" s="813"/>
      <x:c r="G297" s="813"/>
      <x:c r="H297" s="813"/>
    </x:row>
    <x:row r="298">
      <x:c r="A298" s="750"/>
      <x:c r="B298" s="977"/>
      <x:c r="C298" s="750"/>
      <x:c r="D298" s="813"/>
      <x:c r="E298" s="813"/>
      <x:c r="F298" s="813"/>
      <x:c r="G298" s="813"/>
      <x:c r="H298" s="813"/>
    </x:row>
    <x:row r="299">
      <x:c r="A299" s="750"/>
      <x:c r="B299" s="977"/>
      <x:c r="C299" s="750"/>
      <x:c r="D299" s="813"/>
      <x:c r="E299" s="813"/>
      <x:c r="F299" s="813"/>
      <x:c r="G299" s="813"/>
      <x:c r="H299" s="813"/>
    </x:row>
    <x:row r="300">
      <x:c r="A300" s="750"/>
      <x:c r="B300" s="977"/>
      <x:c r="C300" s="750"/>
      <x:c r="D300" s="813"/>
      <x:c r="E300" s="813"/>
      <x:c r="F300" s="813"/>
      <x:c r="G300" s="813"/>
      <x:c r="H300" s="813"/>
    </x:row>
    <x:row r="301">
      <x:c r="A301" s="750"/>
      <x:c r="B301" s="977"/>
      <x:c r="C301" s="750"/>
      <x:c r="D301" s="813"/>
      <x:c r="E301" s="813"/>
      <x:c r="F301" s="813"/>
      <x:c r="G301" s="813"/>
      <x:c r="H301" s="813"/>
    </x:row>
    <x:row r="302">
      <x:c r="A302" s="750"/>
      <x:c r="B302" s="977"/>
      <x:c r="C302" s="750"/>
      <x:c r="D302" s="813"/>
      <x:c r="E302" s="813"/>
      <x:c r="F302" s="813"/>
      <x:c r="G302" s="813"/>
      <x:c r="H302" s="813"/>
    </x:row>
    <x:row r="303">
      <x:c r="A303" s="719"/>
      <x:c r="B303" s="979"/>
      <x:c r="C303" s="719"/>
      <x:c r="D303" s="814"/>
      <x:c r="E303" s="814"/>
      <x:c r="F303" s="814"/>
      <x:c r="G303" s="814"/>
      <x:c r="H303" s="814"/>
    </x:row>
    <x:row r="304">
      <x:c r="A304" s="750"/>
      <x:c r="B304" s="977"/>
      <x:c r="C304" s="750"/>
      <x:c r="D304" s="813"/>
      <x:c r="E304" s="813"/>
      <x:c r="F304" s="813"/>
      <x:c r="G304" s="813"/>
      <x:c r="H304" s="813"/>
    </x:row>
    <x:row r="305">
      <x:c r="A305" s="750"/>
      <x:c r="B305" s="977"/>
      <x:c r="C305" s="750"/>
      <x:c r="D305" s="813"/>
      <x:c r="E305" s="813"/>
      <x:c r="F305" s="813"/>
      <x:c r="G305" s="813"/>
      <x:c r="H305" s="813"/>
    </x:row>
    <x:row r="306">
      <x:c r="A306" s="750"/>
      <x:c r="B306" s="977"/>
      <x:c r="C306" s="750"/>
      <x:c r="D306" s="813"/>
      <x:c r="E306" s="813"/>
      <x:c r="F306" s="813"/>
      <x:c r="G306" s="813"/>
      <x:c r="H306" s="813"/>
    </x:row>
    <x:row r="307">
      <x:c r="A307" s="750"/>
      <x:c r="B307" s="977"/>
      <x:c r="C307" s="750"/>
      <x:c r="D307" s="813"/>
      <x:c r="E307" s="813"/>
      <x:c r="F307" s="813"/>
      <x:c r="G307" s="813"/>
      <x:c r="H307" s="813"/>
    </x:row>
    <x:row r="308">
      <x:c r="A308" s="750"/>
      <x:c r="B308" s="977"/>
      <x:c r="C308" s="750"/>
      <x:c r="D308" s="813"/>
      <x:c r="E308" s="813"/>
      <x:c r="F308" s="813"/>
      <x:c r="G308" s="813"/>
      <x:c r="H308" s="813"/>
    </x:row>
    <x:row r="309">
      <x:c r="A309" s="750"/>
      <x:c r="B309" s="977"/>
      <x:c r="C309" s="750"/>
      <x:c r="D309" s="813"/>
      <x:c r="E309" s="813"/>
      <x:c r="F309" s="813"/>
      <x:c r="G309" s="813"/>
      <x:c r="H309" s="813"/>
    </x:row>
    <x:row r="310">
      <x:c r="A310" s="750"/>
      <x:c r="B310" s="977"/>
      <x:c r="C310" s="750"/>
      <x:c r="D310" s="813"/>
      <x:c r="E310" s="813"/>
      <x:c r="F310" s="813"/>
      <x:c r="G310" s="813"/>
      <x:c r="H310" s="813"/>
    </x:row>
    <x:row r="311">
      <x:c r="A311" s="750"/>
      <x:c r="B311" s="977"/>
      <x:c r="C311" s="750"/>
      <x:c r="D311" s="813"/>
      <x:c r="E311" s="813"/>
      <x:c r="F311" s="813"/>
      <x:c r="G311" s="813"/>
      <x:c r="H311" s="813"/>
    </x:row>
    <x:row r="312">
      <x:c r="A312" s="750"/>
      <x:c r="B312" s="977"/>
      <x:c r="C312" s="750"/>
      <x:c r="D312" s="813"/>
      <x:c r="E312" s="813"/>
      <x:c r="F312" s="813"/>
      <x:c r="G312" s="813"/>
      <x:c r="H312" s="813"/>
    </x:row>
    <x:row r="313">
      <x:c r="A313" s="719"/>
      <x:c r="B313" s="979"/>
      <x:c r="C313" s="719"/>
      <x:c r="D313" s="814"/>
      <x:c r="E313" s="814"/>
      <x:c r="F313" s="814"/>
      <x:c r="G313" s="814"/>
      <x:c r="H313" s="814"/>
    </x:row>
    <x:row r="314">
      <x:c r="A314" s="750"/>
      <x:c r="B314" s="977"/>
      <x:c r="C314" s="750"/>
      <x:c r="D314" s="813"/>
      <x:c r="E314" s="813"/>
      <x:c r="F314" s="813"/>
      <x:c r="G314" s="813"/>
      <x:c r="H314" s="813"/>
    </x:row>
    <x:row r="315" ht="14.25" customHeight="1">
      <x:c r="A315" s="719"/>
      <x:c r="B315" s="979"/>
      <x:c r="C315" s="719"/>
      <x:c r="D315" s="814"/>
      <x:c r="E315" s="814"/>
      <x:c r="F315" s="814"/>
      <x:c r="G315" s="814"/>
      <x:c r="H315" s="814"/>
    </x:row>
    <x:row r="316" ht="14.25" customHeight="1">
      <x:c r="A316" s="750"/>
      <x:c r="B316" s="977"/>
      <x:c r="C316" s="750"/>
      <x:c r="D316" s="813"/>
      <x:c r="E316" s="813"/>
      <x:c r="F316" s="813"/>
      <x:c r="G316" s="813"/>
      <x:c r="H316" s="813"/>
    </x:row>
    <x:row r="317">
      <x:c r="A317" s="750"/>
      <x:c r="B317" s="977"/>
      <x:c r="C317" s="750"/>
      <x:c r="D317" s="813"/>
      <x:c r="E317" s="813"/>
      <x:c r="F317" s="813"/>
      <x:c r="G317" s="813"/>
      <x:c r="H317" s="813"/>
    </x:row>
    <x:row r="318">
      <x:c r="A318" s="750"/>
      <x:c r="B318" s="977"/>
      <x:c r="C318" s="750"/>
      <x:c r="D318" s="813"/>
      <x:c r="E318" s="813"/>
      <x:c r="F318" s="813"/>
      <x:c r="G318" s="813"/>
      <x:c r="H318" s="813"/>
    </x:row>
    <x:row r="319">
      <x:c r="A319" s="750"/>
      <x:c r="B319" s="977"/>
      <x:c r="C319" s="750"/>
      <x:c r="D319" s="813"/>
      <x:c r="E319" s="813"/>
      <x:c r="F319" s="813"/>
      <x:c r="G319" s="813"/>
      <x:c r="H319" s="813"/>
    </x:row>
    <x:row r="320">
      <x:c r="A320" s="750"/>
      <x:c r="B320" s="977"/>
      <x:c r="C320" s="750"/>
      <x:c r="D320" s="813"/>
      <x:c r="E320" s="813"/>
      <x:c r="F320" s="813"/>
      <x:c r="G320" s="813"/>
      <x:c r="H320" s="813"/>
    </x:row>
    <x:row r="321">
      <x:c r="A321" s="750"/>
      <x:c r="B321" s="977"/>
      <x:c r="C321" s="750"/>
      <x:c r="D321" s="813"/>
      <x:c r="E321" s="813"/>
      <x:c r="F321" s="813"/>
      <x:c r="G321" s="813"/>
      <x:c r="H321" s="813"/>
    </x:row>
    <x:row r="322">
      <x:c r="A322" s="750"/>
      <x:c r="B322" s="977"/>
      <x:c r="C322" s="750"/>
      <x:c r="D322" s="813"/>
      <x:c r="E322" s="813"/>
      <x:c r="F322" s="813"/>
      <x:c r="G322" s="813"/>
      <x:c r="H322" s="813"/>
    </x:row>
  </x:sheetData>
  <x:mergeCells>
    <x:mergeCell ref="B5:F5"/>
    <x:mergeCell ref="B17:F17"/>
    <x:mergeCell ref="B29:F29"/>
    <x:mergeCell ref="B41:F41"/>
    <x:mergeCell ref="B53:F53"/>
    <x:mergeCell ref="B65:F65"/>
    <x:mergeCell ref="B77:I77"/>
    <x:mergeCell ref="B100:F100"/>
    <x:mergeCell ref="B1:I1"/>
    <x:mergeCell ref="B2:I2"/>
    <x:mergeCell ref="B3:I3"/>
  </x:mergeCells>
  <x:pageMargins left="0.7" right="0.7" top="0.75" bottom="0.75" header="0.3" footer="0.3"/>
</x:worksheet>
</file>

<file path=xl/worksheets/sheet7.xml><?xml version="1.0" encoding="utf-8"?>
<x:worksheet xmlns:x="http://schemas.openxmlformats.org/spreadsheetml/2006/main">
  <x:sheetFormatPr defaultRowHeight="15"/>
  <x:cols>
    <x:col min="1" max="1" width="4.28515625" hidden="0" customWidth="1"/>
    <x:col min="2" max="2" width="38" hidden="0" customWidth="1"/>
    <x:col min="3" max="3" width="18" hidden="0" customWidth="1"/>
    <x:col min="4" max="4" width="18" hidden="0" customWidth="1"/>
    <x:col min="5" max="5" width="24" hidden="0" customWidth="1"/>
    <x:col min="6" max="6" width="24" hidden="0" customWidth="1"/>
    <x:col min="7" max="7" width="18.7109375" hidden="0" customWidth="1"/>
    <x:col min="8" max="8" width="0.453125" hidden="0" customWidth="1"/>
    <x:col min="9" max="9" width="17.54296875" hidden="0" customWidth="1"/>
    <x:col min="10" max="10" width="19.7265625" hidden="0" customWidth="1"/>
  </x:cols>
  <x:sheetData>
    <x:row r="1" ht="26" customHeight="1">
      <x:c r="A1" s="750"/>
      <x:c r="B1" s="1423" t="str">
        <x:v>NOTES TO THE FINANCIAL STATEMENTS – 15 TO 28</x:v>
      </x:c>
      <x:c r="C1" s="1424"/>
      <x:c r="D1" s="1424"/>
      <x:c r="E1" s="1424"/>
      <x:c r="F1" s="1424"/>
      <x:c r="G1" s="813"/>
      <x:c r="H1" s="393"/>
      <x:c r="I1" s="393"/>
      <x:c r="J1" s="393"/>
      <x:c r="M1" s="184"/>
    </x:row>
    <x:row r="2" ht="19" customHeight="1">
      <x:c r="A2" s="979"/>
      <x:c r="B2" s="1064" t="str">
        <x:f>IF('Basic Info'!C13="","",'Basic Info'!C13)</x:f>
      </x:c>
      <x:c r="C2" s="1427"/>
      <x:c r="D2" s="1427"/>
      <x:c r="E2" s="1427"/>
      <x:c r="F2" s="1427"/>
      <x:c r="G2" s="814"/>
      <x:c r="H2" s="413"/>
      <x:c r="I2" s="413"/>
      <x:c r="J2" s="413"/>
    </x:row>
    <x:row r="3" ht="19" customHeight="1">
      <x:c r="A3" s="979"/>
      <x:c r="B3" s="1064" t="str">
        <x:f>IF('Basic Info'!C8="","","Notes forming part of the Financial Statements for the year ended "&amp;TEXT('Basic Info'!C8,"dd-mmm-yyyy"))</x:f>
      </x:c>
      <x:c r="C3" s="1427"/>
      <x:c r="D3" s="1427"/>
      <x:c r="E3" s="1427"/>
      <x:c r="F3" s="1427"/>
      <x:c r="G3" s="814"/>
      <x:c r="H3" s="413"/>
      <x:c r="I3" s="413"/>
      <x:c r="J3" s="413"/>
    </x:row>
    <x:row r="4" ht="33" customHeight="1">
      <x:c r="A4" s="750"/>
      <x:c r="B4" s="977"/>
      <x:c r="C4" s="978"/>
      <x:c r="D4" s="978"/>
      <x:c r="E4" s="978"/>
      <x:c r="F4" s="813"/>
      <x:c r="G4" s="813"/>
      <x:c r="H4" s="393"/>
      <x:c r="I4" s="393"/>
      <x:c r="J4" s="393"/>
    </x:row>
    <x:row r="5" ht="21" customHeight="1">
      <x:c r="A5" s="719"/>
      <x:c r="B5" s="1432" t="str">
        <x:v>Note 15 – Long-term Loans and Advances</x:v>
      </x:c>
      <x:c r="C5" s="1331"/>
      <x:c r="D5" s="1331"/>
      <x:c r="E5" s="1331"/>
      <x:c r="F5" s="1433"/>
      <x:c r="G5" s="814"/>
      <x:c r="H5" s="393"/>
      <x:c r="I5" s="393"/>
      <x:c r="J5" s="393"/>
    </x:row>
    <x:row r="6" ht="30" customHeight="1">
      <x:c r="A6" s="750"/>
      <x:c r="B6" s="1563" t="str">
        <x:v>Particulars</x:v>
      </x:c>
      <x:c r="C6" s="1564" t="str">
        <x:v>Current Year</x:v>
      </x:c>
      <x:c r="D6" s="1564" t="str">
        <x:v>Previous Year</x:v>
      </x:c>
      <x:c r="E6" s="1564" t="str">
        <x:v>Mapping / Source</x:v>
      </x:c>
      <x:c r="F6" s="1565" t="str">
        <x:v>Remarks</x:v>
      </x:c>
      <x:c r="G6" s="813"/>
      <x:c r="H6" s="393"/>
      <x:c r="I6" s="393"/>
      <x:c r="J6" s="393"/>
    </x:row>
    <x:row r="7" ht="21" customHeight="1">
      <x:c r="A7" s="750"/>
      <x:c r="B7" s="1576" t="str">
        <x:v>Capital advances</x:v>
      </x:c>
      <x:c r="C7" s="1498"/>
      <x:c r="D7" s="1498"/>
      <x:c r="E7" s="1593"/>
      <x:c r="F7" s="1592"/>
      <x:c r="G7" s="813"/>
      <x:c r="H7" s="393"/>
      <x:c r="I7" s="393"/>
      <x:c r="J7" s="393"/>
    </x:row>
    <x:row r="8" ht="21" customHeight="1">
      <x:c r="A8" s="750"/>
      <x:c r="B8" s="1576" t="str">
        <x:v>Loans to partners / related parties</x:v>
      </x:c>
      <x:c r="C8" s="1498"/>
      <x:c r="D8" s="1498"/>
      <x:c r="E8" s="1593"/>
      <x:c r="F8" s="1592"/>
      <x:c r="G8" s="813"/>
      <x:c r="H8" s="393"/>
      <x:c r="I8" s="393"/>
      <x:c r="J8" s="393"/>
    </x:row>
    <x:row r="9" ht="21" customHeight="1">
      <x:c r="A9" s="750"/>
      <x:c r="B9" s="1576" t="str">
        <x:v>Security deposits</x:v>
      </x:c>
      <x:c r="C9" s="1498"/>
      <x:c r="D9" s="1498"/>
      <x:c r="E9" s="1593"/>
      <x:c r="F9" s="1592"/>
      <x:c r="G9" s="813"/>
      <x:c r="H9" s="393"/>
      <x:c r="I9" s="393"/>
      <x:c r="J9" s="393"/>
    </x:row>
    <x:row r="10" ht="21" customHeight="1">
      <x:c r="A10" s="750"/>
      <x:c r="B10" s="1576" t="str">
        <x:v>Advance tax / TDS</x:v>
      </x:c>
      <x:c r="C10" s="1498"/>
      <x:c r="D10" s="1498"/>
      <x:c r="E10" s="1593"/>
      <x:c r="F10" s="1592"/>
      <x:c r="G10" s="813"/>
      <x:c r="H10" s="393"/>
      <x:c r="I10" s="393"/>
      <x:c r="J10" s="393"/>
    </x:row>
    <x:row r="11" ht="21" customHeight="1">
      <x:c r="A11" s="719"/>
      <x:c r="B11" s="1587" t="str">
        <x:v>Other long-term loans and advances</x:v>
      </x:c>
      <x:c r="C11" s="1497"/>
      <x:c r="D11" s="1497"/>
      <x:c r="E11" s="1595"/>
      <x:c r="F11" s="1614"/>
      <x:c r="G11" s="814"/>
      <x:c r="H11" s="393"/>
      <x:c r="I11" s="393"/>
      <x:c r="J11" s="393"/>
    </x:row>
    <x:row r="12" ht="21" customHeight="1">
      <x:c r="A12" s="750"/>
      <x:c r="B12" s="1605" t="str">
        <x:v>Total Long-term Loans and Advances</x:v>
      </x:c>
      <x:c r="C12" s="1606" t="str">
        <x:f>IF(COUNT(C7:C11)=0,"",SUM(C7:C11))</x:f>
      </x:c>
      <x:c r="D12" s="1606" t="str">
        <x:f>IF(COUNT(D7:D11)=0,"",SUM(D7:D11))</x:f>
      </x:c>
      <x:c r="E12" s="1607"/>
      <x:c r="F12" s="1606"/>
      <x:c r="G12" s="813"/>
      <x:c r="H12" s="393"/>
      <x:c r="I12" s="393"/>
      <x:c r="J12" s="393"/>
    </x:row>
    <x:row r="13" ht="21" customHeight="1">
      <x:c r="A13" s="750"/>
      <x:c r="B13" s="977"/>
      <x:c r="C13" s="978"/>
      <x:c r="D13" s="978"/>
      <x:c r="E13" s="978"/>
      <x:c r="F13" s="813"/>
      <x:c r="G13" s="813"/>
      <x:c r="H13" s="393"/>
      <x:c r="I13" s="393"/>
      <x:c r="J13" s="393"/>
    </x:row>
    <x:row r="14" ht="21" customHeight="1">
      <x:c r="A14" s="750"/>
      <x:c r="B14" s="977"/>
      <x:c r="C14" s="978"/>
      <x:c r="D14" s="978"/>
      <x:c r="E14" s="978"/>
      <x:c r="F14" s="813"/>
      <x:c r="G14" s="813"/>
      <x:c r="H14" s="393"/>
      <x:c r="I14" s="393"/>
      <x:c r="J14" s="393"/>
    </x:row>
    <x:row r="15" ht="21" customHeight="1">
      <x:c r="A15" s="750"/>
      <x:c r="B15" s="977"/>
      <x:c r="C15" s="978"/>
      <x:c r="D15" s="978"/>
      <x:c r="E15" s="978"/>
      <x:c r="F15" s="813"/>
      <x:c r="G15" s="813"/>
      <x:c r="H15" s="393"/>
      <x:c r="I15" s="393"/>
      <x:c r="J15" s="393"/>
    </x:row>
    <x:row r="16" ht="21" customHeight="1">
      <x:c r="A16" s="750"/>
      <x:c r="B16" s="977"/>
      <x:c r="C16" s="978"/>
      <x:c r="D16" s="978"/>
      <x:c r="E16" s="978"/>
      <x:c r="F16" s="813"/>
      <x:c r="G16" s="813"/>
      <x:c r="H16" s="393"/>
      <x:c r="I16" s="393"/>
      <x:c r="J16" s="393"/>
    </x:row>
    <x:row r="17" ht="21" customHeight="1">
      <x:c r="A17" s="750"/>
      <x:c r="B17" s="1432" t="str">
        <x:v>Note 16 – Other Non-current Assets</x:v>
      </x:c>
      <x:c r="C17" s="1331"/>
      <x:c r="D17" s="1331"/>
      <x:c r="E17" s="1331"/>
      <x:c r="F17" s="1433"/>
      <x:c r="G17" s="813"/>
      <x:c r="H17" s="393"/>
      <x:c r="I17" s="393"/>
      <x:c r="J17" s="393"/>
    </x:row>
    <x:row r="18" ht="30" customHeight="1">
      <x:c r="A18" s="750"/>
      <x:c r="B18" s="1563" t="str">
        <x:v>Particulars</x:v>
      </x:c>
      <x:c r="C18" s="1564" t="str">
        <x:v>Current Year</x:v>
      </x:c>
      <x:c r="D18" s="1564" t="str">
        <x:v>Previous Year</x:v>
      </x:c>
      <x:c r="E18" s="1564" t="str">
        <x:v>Mapping / Source</x:v>
      </x:c>
      <x:c r="F18" s="1565" t="str">
        <x:v>Remarks</x:v>
      </x:c>
      <x:c r="G18" s="813"/>
      <x:c r="H18" s="393"/>
      <x:c r="I18" s="393"/>
      <x:c r="J18" s="393"/>
    </x:row>
    <x:row r="19" ht="21" customHeight="1">
      <x:c r="A19" s="719"/>
      <x:c r="B19" s="1587" t="str">
        <x:v>Interest accrued on deposits</x:v>
      </x:c>
      <x:c r="C19" s="1497"/>
      <x:c r="D19" s="1497"/>
      <x:c r="E19" s="1595"/>
      <x:c r="F19" s="1614"/>
      <x:c r="G19" s="814"/>
      <x:c r="H19" s="393"/>
      <x:c r="I19" s="393"/>
      <x:c r="J19" s="393"/>
    </x:row>
    <x:row r="20" ht="21" customHeight="1">
      <x:c r="A20" s="719"/>
      <x:c r="B20" s="1587" t="str">
        <x:v>Security deposits</x:v>
      </x:c>
      <x:c r="C20" s="1497"/>
      <x:c r="D20" s="1497"/>
      <x:c r="E20" s="1595"/>
      <x:c r="F20" s="1614"/>
      <x:c r="G20" s="814"/>
      <x:c r="H20" s="397"/>
      <x:c r="I20" s="397"/>
      <x:c r="J20" s="397"/>
    </x:row>
    <x:row r="21" ht="21" customHeight="1">
      <x:c r="A21" s="750"/>
      <x:c r="B21" s="1576" t="str">
        <x:v>Prepaid expenses</x:v>
      </x:c>
      <x:c r="C21" s="1498"/>
      <x:c r="D21" s="1498"/>
      <x:c r="E21" s="1593"/>
      <x:c r="F21" s="1592"/>
      <x:c r="G21" s="813"/>
      <x:c r="H21" s="393"/>
      <x:c r="I21" s="393"/>
      <x:c r="J21" s="393"/>
    </x:row>
    <x:row r="22" ht="21" customHeight="1">
      <x:c r="A22" s="750"/>
      <x:c r="B22" s="1576" t="str">
        <x:v>Balances with government authorities</x:v>
      </x:c>
      <x:c r="C22" s="1498"/>
      <x:c r="D22" s="1498"/>
      <x:c r="E22" s="1593"/>
      <x:c r="F22" s="1592"/>
      <x:c r="G22" s="813"/>
      <x:c r="H22" s="393"/>
      <x:c r="I22" s="393"/>
      <x:c r="J22" s="393"/>
    </x:row>
    <x:row r="23" ht="21" customHeight="1">
      <x:c r="A23" s="750"/>
      <x:c r="B23" s="1576" t="str">
        <x:v>Other non-current assets</x:v>
      </x:c>
      <x:c r="C23" s="1498"/>
      <x:c r="D23" s="1498"/>
      <x:c r="E23" s="1593"/>
      <x:c r="F23" s="1592"/>
      <x:c r="G23" s="813"/>
      <x:c r="H23" s="393"/>
      <x:c r="I23" s="393"/>
      <x:c r="J23" s="393"/>
    </x:row>
    <x:row r="24" ht="21" customHeight="1">
      <x:c r="A24" s="750"/>
      <x:c r="B24" s="1605" t="str">
        <x:v>Total Other Non-current Assets</x:v>
      </x:c>
      <x:c r="C24" s="1606" t="str">
        <x:f>IF(COUNT(C19:C23)=0,"",SUM(C19:C23))</x:f>
      </x:c>
      <x:c r="D24" s="1606" t="str">
        <x:f>IF(COUNT(D19:D23)=0,"",SUM(D19:D23))</x:f>
      </x:c>
      <x:c r="E24" s="1607"/>
      <x:c r="F24" s="1606"/>
      <x:c r="G24" s="813"/>
      <x:c r="H24" s="393"/>
      <x:c r="I24" s="393"/>
      <x:c r="J24" s="393"/>
    </x:row>
    <x:row r="25" ht="21" customHeight="1">
      <x:c r="A25" s="750"/>
      <x:c r="B25" s="977"/>
      <x:c r="C25" s="978"/>
      <x:c r="D25" s="978"/>
      <x:c r="E25" s="978"/>
      <x:c r="F25" s="813"/>
      <x:c r="G25" s="813"/>
      <x:c r="H25" s="393"/>
      <x:c r="I25" s="393"/>
      <x:c r="J25" s="393"/>
    </x:row>
    <x:row r="26" ht="21" customHeight="1">
      <x:c r="A26" s="719"/>
      <x:c r="B26" s="979"/>
      <x:c r="C26" s="827"/>
      <x:c r="D26" s="827"/>
      <x:c r="E26" s="827"/>
      <x:c r="F26" s="814"/>
      <x:c r="G26" s="814"/>
      <x:c r="H26" s="393"/>
      <x:c r="I26" s="393"/>
      <x:c r="J26" s="393"/>
    </x:row>
    <x:row r="27" ht="21" customHeight="1">
      <x:c r="A27" s="750"/>
      <x:c r="B27" s="977"/>
      <x:c r="C27" s="978"/>
      <x:c r="D27" s="978"/>
      <x:c r="E27" s="978"/>
      <x:c r="F27" s="813"/>
      <x:c r="G27" s="813"/>
      <x:c r="H27" s="393"/>
      <x:c r="I27" s="393"/>
      <x:c r="J27" s="393"/>
    </x:row>
    <x:row r="28" ht="21" customHeight="1">
      <x:c r="A28" s="750"/>
      <x:c r="B28" s="977"/>
      <x:c r="C28" s="978"/>
      <x:c r="D28" s="978"/>
      <x:c r="E28" s="978"/>
      <x:c r="F28" s="813"/>
      <x:c r="G28" s="813"/>
      <x:c r="H28" s="393"/>
      <x:c r="I28" s="393"/>
      <x:c r="J28" s="393"/>
    </x:row>
    <x:row r="29" ht="21" customHeight="1">
      <x:c r="A29" s="750"/>
      <x:c r="B29" s="1432" t="str">
        <x:v>Note 17 – Inventories</x:v>
      </x:c>
      <x:c r="C29" s="1331"/>
      <x:c r="D29" s="1331"/>
      <x:c r="E29" s="1331"/>
      <x:c r="F29" s="1433"/>
      <x:c r="G29" s="813"/>
      <x:c r="H29" s="393"/>
      <x:c r="I29" s="393"/>
      <x:c r="J29" s="393"/>
    </x:row>
    <x:row r="30" ht="30" customHeight="1">
      <x:c r="A30" s="750"/>
      <x:c r="B30" s="1563" t="str">
        <x:v>Particulars</x:v>
      </x:c>
      <x:c r="C30" s="1564" t="str">
        <x:v>Current Year</x:v>
      </x:c>
      <x:c r="D30" s="1564" t="str">
        <x:v>Previous Year</x:v>
      </x:c>
      <x:c r="E30" s="1564" t="str">
        <x:v>Mapping / Source</x:v>
      </x:c>
      <x:c r="F30" s="1565" t="str">
        <x:v>Remarks</x:v>
      </x:c>
      <x:c r="G30" s="813"/>
      <x:c r="H30" s="393"/>
      <x:c r="I30" s="393"/>
      <x:c r="J30" s="393"/>
    </x:row>
    <x:row r="31" ht="21" customHeight="1">
      <x:c r="A31" s="750"/>
      <x:c r="B31" s="1576" t="str">
        <x:v>Raw materials</x:v>
      </x:c>
      <x:c r="C31" s="1498"/>
      <x:c r="D31" s="1498"/>
      <x:c r="E31" s="1593"/>
      <x:c r="F31" s="1592"/>
      <x:c r="G31" s="813"/>
      <x:c r="H31" s="393"/>
      <x:c r="I31" s="393"/>
      <x:c r="J31" s="393"/>
    </x:row>
    <x:row r="32" ht="21" customHeight="1">
      <x:c r="A32" s="750"/>
      <x:c r="B32" s="1576" t="str">
        <x:v>Work-in-progress</x:v>
      </x:c>
      <x:c r="C32" s="1498"/>
      <x:c r="D32" s="1498"/>
      <x:c r="E32" s="1593"/>
      <x:c r="F32" s="1592"/>
      <x:c r="G32" s="813"/>
      <x:c r="H32" s="393"/>
      <x:c r="I32" s="393"/>
      <x:c r="J32" s="393"/>
    </x:row>
    <x:row r="33" ht="21" customHeight="1">
      <x:c r="A33" s="750"/>
      <x:c r="B33" s="1576" t="str">
        <x:v>Finished goods</x:v>
      </x:c>
      <x:c r="C33" s="1498"/>
      <x:c r="D33" s="1498"/>
      <x:c r="E33" s="1593"/>
      <x:c r="F33" s="1592"/>
      <x:c r="G33" s="813"/>
      <x:c r="H33" s="393"/>
      <x:c r="I33" s="393"/>
      <x:c r="J33" s="393"/>
    </x:row>
    <x:row r="34" ht="21" customHeight="1">
      <x:c r="A34" s="750"/>
      <x:c r="B34" s="1576" t="str">
        <x:v>Stock-in-trade</x:v>
      </x:c>
      <x:c r="C34" s="1498"/>
      <x:c r="D34" s="1498"/>
      <x:c r="E34" s="1593"/>
      <x:c r="F34" s="1592"/>
      <x:c r="G34" s="813"/>
      <x:c r="H34" s="393"/>
      <x:c r="I34" s="393"/>
      <x:c r="J34" s="393"/>
    </x:row>
    <x:row r="35" ht="21" customHeight="1">
      <x:c r="A35" s="750"/>
      <x:c r="B35" s="1576" t="str">
        <x:v>Stores and spares</x:v>
      </x:c>
      <x:c r="C35" s="1498"/>
      <x:c r="D35" s="1498"/>
      <x:c r="E35" s="1593"/>
      <x:c r="F35" s="1592"/>
      <x:c r="G35" s="813"/>
      <x:c r="H35" s="393"/>
      <x:c r="I35" s="393"/>
      <x:c r="J35" s="393"/>
    </x:row>
    <x:row r="36" ht="21" customHeight="1">
      <x:c r="A36" s="719"/>
      <x:c r="B36" s="1587" t="str">
        <x:v>Packing materials</x:v>
      </x:c>
      <x:c r="C36" s="1497"/>
      <x:c r="D36" s="1497"/>
      <x:c r="E36" s="1595"/>
      <x:c r="F36" s="1614"/>
      <x:c r="G36" s="814"/>
      <x:c r="H36" s="397"/>
      <x:c r="I36" s="397"/>
      <x:c r="J36" s="397"/>
    </x:row>
    <x:row r="37" ht="21" customHeight="1">
      <x:c r="A37" s="750"/>
      <x:c r="B37" s="1576" t="str">
        <x:v>Other inventories</x:v>
      </x:c>
      <x:c r="C37" s="1498"/>
      <x:c r="D37" s="1498"/>
      <x:c r="E37" s="1593"/>
      <x:c r="F37" s="1592"/>
      <x:c r="G37" s="813"/>
      <x:c r="H37" s="393"/>
      <x:c r="I37" s="393"/>
      <x:c r="J37" s="393"/>
    </x:row>
    <x:row r="38" ht="21" customHeight="1">
      <x:c r="A38" s="750"/>
      <x:c r="B38" s="1605" t="str">
        <x:v>Total Inventories</x:v>
      </x:c>
      <x:c r="C38" s="1606" t="str">
        <x:f>IF(COUNT(C31:C37)=0,"",SUM(C31:C37))</x:f>
      </x:c>
      <x:c r="D38" s="1606" t="str">
        <x:f>IF(COUNT(D31:D37)=0,"",SUM(D31:D37))</x:f>
      </x:c>
      <x:c r="E38" s="1607"/>
      <x:c r="F38" s="1606"/>
      <x:c r="G38" s="813"/>
      <x:c r="H38" s="393"/>
      <x:c r="I38" s="393"/>
      <x:c r="J38" s="393"/>
    </x:row>
    <x:row r="39" ht="21" customHeight="1">
      <x:c r="A39" s="750"/>
      <x:c r="B39" s="977"/>
      <x:c r="C39" s="978"/>
      <x:c r="D39" s="978"/>
      <x:c r="E39" s="978"/>
      <x:c r="F39" s="813"/>
      <x:c r="G39" s="813"/>
      <x:c r="H39" s="393"/>
      <x:c r="I39" s="393"/>
      <x:c r="J39" s="393"/>
    </x:row>
    <x:row r="40" ht="21" customHeight="1">
      <x:c r="A40" s="750"/>
      <x:c r="B40" s="977"/>
      <x:c r="C40" s="978"/>
      <x:c r="D40" s="978"/>
      <x:c r="E40" s="978"/>
      <x:c r="F40" s="813"/>
      <x:c r="G40" s="813"/>
      <x:c r="H40" s="393"/>
      <x:c r="I40" s="393"/>
      <x:c r="J40" s="393"/>
    </x:row>
    <x:row r="41" ht="21" customHeight="1">
      <x:c r="A41" s="750"/>
      <x:c r="B41" s="1432" t="str">
        <x:v>Note 18 – Trade Receivables</x:v>
      </x:c>
      <x:c r="C41" s="1331"/>
      <x:c r="D41" s="1331"/>
      <x:c r="E41" s="1331"/>
      <x:c r="F41" s="1433"/>
      <x:c r="G41" s="813"/>
      <x:c r="H41" s="393"/>
      <x:c r="I41" s="393"/>
      <x:c r="J41" s="393"/>
    </x:row>
    <x:row r="42" ht="30" customHeight="1">
      <x:c r="A42" s="750"/>
      <x:c r="B42" s="1563" t="str">
        <x:v>Particulars</x:v>
      </x:c>
      <x:c r="C42" s="1564" t="str">
        <x:v>Current Year</x:v>
      </x:c>
      <x:c r="D42" s="1564" t="str">
        <x:v>Previous Year</x:v>
      </x:c>
      <x:c r="E42" s="1564" t="str">
        <x:v>Mapping / Source</x:v>
      </x:c>
      <x:c r="F42" s="1565" t="str">
        <x:v>Remarks</x:v>
      </x:c>
      <x:c r="G42" s="813"/>
      <x:c r="H42" s="393"/>
      <x:c r="I42" s="393"/>
      <x:c r="J42" s="393"/>
    </x:row>
    <x:row r="43" ht="21" customHeight="1">
      <x:c r="A43" s="750"/>
      <x:c r="B43" s="1576" t="str">
        <x:v>Secured, considered good</x:v>
      </x:c>
      <x:c r="C43" s="1498"/>
      <x:c r="D43" s="1498"/>
      <x:c r="E43" s="1593"/>
      <x:c r="F43" s="1592"/>
      <x:c r="G43" s="813"/>
      <x:c r="H43" s="393"/>
      <x:c r="I43" s="393"/>
      <x:c r="J43" s="393"/>
    </x:row>
    <x:row r="44" ht="21" customHeight="1">
      <x:c r="A44" s="719"/>
      <x:c r="B44" s="1587" t="str">
        <x:v>Unsecured, considered good</x:v>
      </x:c>
      <x:c r="C44" s="1497"/>
      <x:c r="D44" s="1497"/>
      <x:c r="E44" s="1595"/>
      <x:c r="F44" s="1614"/>
      <x:c r="G44" s="814"/>
      <x:c r="H44" s="393"/>
      <x:c r="I44" s="393"/>
      <x:c r="J44" s="393"/>
    </x:row>
    <x:row r="45" ht="21" customHeight="1">
      <x:c r="A45" s="719"/>
      <x:c r="B45" s="1587" t="str">
        <x:v>Doubtful receivables</x:v>
      </x:c>
      <x:c r="C45" s="1497"/>
      <x:c r="D45" s="1497"/>
      <x:c r="E45" s="1595"/>
      <x:c r="F45" s="1614"/>
      <x:c r="G45" s="814"/>
      <x:c r="H45" s="393"/>
      <x:c r="I45" s="393"/>
      <x:c r="J45" s="393"/>
    </x:row>
    <x:row r="46" ht="21" customHeight="1">
      <x:c r="A46" s="750"/>
      <x:c r="B46" s="1576" t="str">
        <x:v>Less: Provision for doubtful receivables</x:v>
      </x:c>
      <x:c r="C46" s="1498"/>
      <x:c r="D46" s="1498"/>
      <x:c r="E46" s="1593"/>
      <x:c r="F46" s="1592"/>
      <x:c r="G46" s="813"/>
      <x:c r="H46" s="393"/>
      <x:c r="I46" s="393"/>
      <x:c r="J46" s="393"/>
    </x:row>
    <x:row r="47" ht="21" customHeight="1">
      <x:c r="A47" s="719"/>
      <x:c r="B47" s="1587" t="str">
        <x:v>Unbilled receivables</x:v>
      </x:c>
      <x:c r="C47" s="1497"/>
      <x:c r="D47" s="1497"/>
      <x:c r="E47" s="1595"/>
      <x:c r="F47" s="1614"/>
      <x:c r="G47" s="814"/>
      <x:c r="H47" s="393"/>
      <x:c r="I47" s="393"/>
      <x:c r="J47" s="393"/>
    </x:row>
    <x:row r="48" ht="21" customHeight="1">
      <x:c r="A48" s="750"/>
      <x:c r="B48" s="1605" t="str">
        <x:v>Total Trade Receivables</x:v>
      </x:c>
      <x:c r="C48" s="1606" t="str">
        <x:f>IF(COUNT(C43:C47)=0,"",SUM(C43:C47))</x:f>
      </x:c>
      <x:c r="D48" s="1606" t="str">
        <x:f>IF(COUNT(D43:D47)=0,"",SUM(D43:D47))</x:f>
      </x:c>
      <x:c r="E48" s="1607"/>
      <x:c r="F48" s="1606"/>
      <x:c r="G48" s="813"/>
      <x:c r="H48" s="393"/>
      <x:c r="I48" s="393"/>
      <x:c r="J48" s="393"/>
    </x:row>
    <x:row r="49" ht="21" customHeight="1">
      <x:c r="A49" s="719"/>
      <x:c r="B49" s="979"/>
      <x:c r="C49" s="827"/>
      <x:c r="D49" s="827"/>
      <x:c r="E49" s="827"/>
      <x:c r="F49" s="814"/>
      <x:c r="G49" s="814"/>
      <x:c r="H49" s="397"/>
      <x:c r="I49" s="397"/>
      <x:c r="J49" s="397"/>
    </x:row>
    <x:row r="50" ht="21" customHeight="1">
      <x:c r="A50" s="750"/>
      <x:c r="B50" s="977"/>
      <x:c r="C50" s="978"/>
      <x:c r="D50" s="978"/>
      <x:c r="E50" s="978"/>
      <x:c r="F50" s="813"/>
      <x:c r="G50" s="813"/>
      <x:c r="H50" s="393"/>
      <x:c r="I50" s="393"/>
      <x:c r="J50" s="393"/>
    </x:row>
    <x:row r="51" ht="21" customHeight="1">
      <x:c r="A51" s="750"/>
      <x:c r="B51" s="977"/>
      <x:c r="C51" s="978"/>
      <x:c r="D51" s="978"/>
      <x:c r="E51" s="978"/>
      <x:c r="F51" s="813"/>
      <x:c r="G51" s="813"/>
      <x:c r="H51" s="393"/>
      <x:c r="I51" s="393"/>
      <x:c r="J51" s="393"/>
    </x:row>
    <x:row r="52" ht="21" customHeight="1">
      <x:c r="A52" s="750"/>
      <x:c r="B52" s="977"/>
      <x:c r="C52" s="978"/>
      <x:c r="D52" s="978"/>
      <x:c r="E52" s="978"/>
      <x:c r="F52" s="813"/>
      <x:c r="G52" s="813"/>
      <x:c r="H52" s="393"/>
      <x:c r="I52" s="393"/>
      <x:c r="J52" s="393"/>
    </x:row>
    <x:row r="53" ht="21" customHeight="1">
      <x:c r="A53" s="750"/>
      <x:c r="B53" s="977"/>
      <x:c r="C53" s="978"/>
      <x:c r="D53" s="978"/>
      <x:c r="E53" s="978"/>
      <x:c r="F53" s="813"/>
      <x:c r="G53" s="813"/>
      <x:c r="H53" s="393"/>
      <x:c r="I53" s="393"/>
      <x:c r="J53" s="393"/>
    </x:row>
    <x:row r="54" ht="21" customHeight="1">
      <x:c r="A54" s="719"/>
      <x:c r="B54" s="979"/>
      <x:c r="C54" s="827"/>
      <x:c r="D54" s="827"/>
      <x:c r="E54" s="827"/>
      <x:c r="F54" s="814"/>
      <x:c r="G54" s="814"/>
      <x:c r="H54" s="393"/>
      <x:c r="I54" s="393"/>
      <x:c r="J54" s="393"/>
    </x:row>
    <x:row r="55" ht="21" customHeight="1">
      <x:c r="A55" s="750"/>
      <x:c r="B55" s="1432" t="str">
        <x:v>Note 19 – Cash and Bank Balances</x:v>
      </x:c>
      <x:c r="C55" s="1331"/>
      <x:c r="D55" s="1331"/>
      <x:c r="E55" s="1331"/>
      <x:c r="F55" s="1433"/>
      <x:c r="G55" s="813"/>
      <x:c r="H55" s="393"/>
      <x:c r="I55" s="393"/>
      <x:c r="J55" s="393"/>
    </x:row>
    <x:row r="56" ht="30" customHeight="1">
      <x:c r="A56" s="719"/>
      <x:c r="B56" s="1563" t="str">
        <x:v>Particulars</x:v>
      </x:c>
      <x:c r="C56" s="1564" t="str">
        <x:v>Current Year</x:v>
      </x:c>
      <x:c r="D56" s="1564" t="str">
        <x:v>Previous Year</x:v>
      </x:c>
      <x:c r="E56" s="1564" t="str">
        <x:v>Mapping / Source</x:v>
      </x:c>
      <x:c r="F56" s="1565" t="str">
        <x:v>Remarks</x:v>
      </x:c>
      <x:c r="G56" s="814"/>
      <x:c r="H56" s="393"/>
      <x:c r="I56" s="393"/>
      <x:c r="J56" s="393"/>
    </x:row>
    <x:row r="57" ht="21" customHeight="1">
      <x:c r="A57" s="750"/>
      <x:c r="B57" s="1576" t="str">
        <x:v>Cash on hand</x:v>
      </x:c>
      <x:c r="C57" s="1498"/>
      <x:c r="D57" s="1498"/>
      <x:c r="E57" s="1593"/>
      <x:c r="F57" s="1592"/>
      <x:c r="G57" s="813"/>
      <x:c r="H57" s="393"/>
      <x:c r="I57" s="393"/>
      <x:c r="J57" s="393"/>
    </x:row>
    <x:row r="58" ht="21" customHeight="1">
      <x:c r="A58" s="750"/>
      <x:c r="B58" s="1576" t="str">
        <x:v>Balances with banks – current accounts</x:v>
      </x:c>
      <x:c r="C58" s="1498"/>
      <x:c r="D58" s="1498"/>
      <x:c r="E58" s="1593"/>
      <x:c r="F58" s="1592"/>
      <x:c r="G58" s="813"/>
      <x:c r="H58" s="393"/>
      <x:c r="I58" s="393"/>
      <x:c r="J58" s="393"/>
    </x:row>
    <x:row r="59" ht="21" customHeight="1">
      <x:c r="A59" s="750"/>
      <x:c r="B59" s="1576" t="str">
        <x:v>Deposits with original maturity up to three months</x:v>
      </x:c>
      <x:c r="C59" s="1498"/>
      <x:c r="D59" s="1498"/>
      <x:c r="E59" s="1593"/>
      <x:c r="F59" s="1592"/>
      <x:c r="G59" s="813"/>
      <x:c r="H59" s="393"/>
      <x:c r="I59" s="393"/>
      <x:c r="J59" s="393"/>
    </x:row>
    <x:row r="60" ht="21" customHeight="1">
      <x:c r="A60" s="750"/>
      <x:c r="B60" s="1576" t="str">
        <x:v>Other bank balances</x:v>
      </x:c>
      <x:c r="C60" s="1498"/>
      <x:c r="D60" s="1498"/>
      <x:c r="E60" s="1593"/>
      <x:c r="F60" s="1592"/>
      <x:c r="G60" s="813"/>
      <x:c r="H60" s="393"/>
      <x:c r="I60" s="393"/>
      <x:c r="J60" s="393"/>
    </x:row>
    <x:row r="61" ht="21" customHeight="1">
      <x:c r="A61" s="750"/>
      <x:c r="B61" s="1576" t="str">
        <x:v>Earmarked / lien deposits</x:v>
      </x:c>
      <x:c r="C61" s="1498"/>
      <x:c r="D61" s="1498"/>
      <x:c r="E61" s="1593"/>
      <x:c r="F61" s="1592"/>
      <x:c r="G61" s="813"/>
      <x:c r="H61" s="393"/>
      <x:c r="I61" s="393"/>
      <x:c r="J61" s="393"/>
    </x:row>
    <x:row r="62" ht="21" customHeight="1">
      <x:c r="A62" s="750"/>
      <x:c r="B62" s="1605" t="str">
        <x:v>Total Cash and Bank Balances</x:v>
      </x:c>
      <x:c r="C62" s="1606" t="str">
        <x:f>IF(COUNT(C57:C61)=0,"",SUM(C57:C61))</x:f>
      </x:c>
      <x:c r="D62" s="1606" t="str">
        <x:f>IF(COUNT(D57:D61)=0,"",SUM(D57:D61))</x:f>
      </x:c>
      <x:c r="E62" s="1607"/>
      <x:c r="F62" s="1606"/>
      <x:c r="G62" s="813"/>
      <x:c r="H62" s="393"/>
      <x:c r="I62" s="393"/>
      <x:c r="J62" s="393"/>
    </x:row>
    <x:row r="63" ht="21" customHeight="1">
      <x:c r="A63" s="750"/>
      <x:c r="B63" s="977"/>
      <x:c r="C63" s="978"/>
      <x:c r="D63" s="978"/>
      <x:c r="E63" s="978"/>
      <x:c r="F63" s="813"/>
      <x:c r="G63" s="813"/>
      <x:c r="H63" s="393"/>
      <x:c r="I63" s="393"/>
      <x:c r="J63" s="393"/>
    </x:row>
    <x:row r="64" ht="21" customHeight="1">
      <x:c r="A64" s="719"/>
      <x:c r="B64" s="979"/>
      <x:c r="C64" s="827"/>
      <x:c r="D64" s="827"/>
      <x:c r="E64" s="827"/>
      <x:c r="F64" s="814"/>
      <x:c r="G64" s="814"/>
      <x:c r="H64" s="393"/>
      <x:c r="I64" s="393"/>
      <x:c r="J64" s="393"/>
    </x:row>
    <x:row r="65" ht="21" customHeight="1">
      <x:c r="A65" s="750"/>
      <x:c r="B65" s="977"/>
      <x:c r="C65" s="978"/>
      <x:c r="D65" s="978"/>
      <x:c r="E65" s="978"/>
      <x:c r="F65" s="813"/>
      <x:c r="G65" s="813"/>
      <x:c r="H65" s="393"/>
      <x:c r="I65" s="393"/>
      <x:c r="J65" s="393"/>
    </x:row>
    <x:row r="66" ht="21" customHeight="1">
      <x:c r="A66" s="719"/>
      <x:c r="B66" s="979"/>
      <x:c r="C66" s="827"/>
      <x:c r="D66" s="827"/>
      <x:c r="E66" s="827"/>
      <x:c r="F66" s="814"/>
      <x:c r="G66" s="814"/>
      <x:c r="H66" s="393"/>
      <x:c r="I66" s="393"/>
      <x:c r="J66" s="393"/>
    </x:row>
    <x:row r="67" ht="21" customHeight="1">
      <x:c r="A67" s="750"/>
      <x:c r="B67" s="977"/>
      <x:c r="C67" s="978"/>
      <x:c r="D67" s="978"/>
      <x:c r="E67" s="978"/>
      <x:c r="F67" s="813"/>
      <x:c r="G67" s="813"/>
      <x:c r="H67" s="393"/>
      <x:c r="I67" s="393"/>
      <x:c r="J67" s="393"/>
    </x:row>
    <x:row r="68" ht="21" customHeight="1">
      <x:c r="A68" s="750"/>
      <x:c r="B68" s="977"/>
      <x:c r="C68" s="978"/>
      <x:c r="D68" s="978"/>
      <x:c r="E68" s="978"/>
      <x:c r="F68" s="813"/>
      <x:c r="G68" s="813"/>
      <x:c r="H68" s="393"/>
      <x:c r="I68" s="393"/>
      <x:c r="J68" s="393"/>
    </x:row>
    <x:row r="69" ht="21" customHeight="1">
      <x:c r="A69" s="750"/>
      <x:c r="B69" s="1432" t="str">
        <x:v>Note 20 – Short-term Loans and Advances</x:v>
      </x:c>
      <x:c r="C69" s="1331"/>
      <x:c r="D69" s="1331"/>
      <x:c r="E69" s="1331"/>
      <x:c r="F69" s="1433"/>
      <x:c r="G69" s="813"/>
      <x:c r="H69" s="393"/>
      <x:c r="I69" s="393"/>
      <x:c r="J69" s="393"/>
    </x:row>
    <x:row r="70" ht="30" customHeight="1">
      <x:c r="A70" s="750"/>
      <x:c r="B70" s="1563" t="str">
        <x:v>Particulars</x:v>
      </x:c>
      <x:c r="C70" s="1564" t="str">
        <x:v>Current Year</x:v>
      </x:c>
      <x:c r="D70" s="1564" t="str">
        <x:v>Previous Year</x:v>
      </x:c>
      <x:c r="E70" s="1564" t="str">
        <x:v>Mapping / Source</x:v>
      </x:c>
      <x:c r="F70" s="1565" t="str">
        <x:v>Remarks</x:v>
      </x:c>
      <x:c r="G70" s="813"/>
      <x:c r="H70" s="393"/>
      <x:c r="I70" s="393"/>
      <x:c r="J70" s="393"/>
    </x:row>
    <x:row r="71" ht="21" customHeight="1">
      <x:c r="A71" s="750"/>
      <x:c r="B71" s="1576" t="str">
        <x:v>Capital advances</x:v>
      </x:c>
      <x:c r="C71" s="1498"/>
      <x:c r="D71" s="1498"/>
      <x:c r="E71" s="1593"/>
      <x:c r="F71" s="1592"/>
      <x:c r="G71" s="813"/>
      <x:c r="H71" s="393"/>
      <x:c r="I71" s="393"/>
      <x:c r="J71" s="393"/>
    </x:row>
    <x:row r="72" ht="21" customHeight="1">
      <x:c r="A72" s="719"/>
      <x:c r="B72" s="1587" t="str">
        <x:v>Loans to partners / related parties</x:v>
      </x:c>
      <x:c r="C72" s="1497"/>
      <x:c r="D72" s="1497"/>
      <x:c r="E72" s="1595"/>
      <x:c r="F72" s="1614"/>
      <x:c r="G72" s="814"/>
      <x:c r="H72" s="393"/>
      <x:c r="I72" s="393"/>
      <x:c r="J72" s="393"/>
    </x:row>
    <x:row r="73" ht="21" customHeight="1">
      <x:c r="A73" s="719"/>
      <x:c r="B73" s="1587" t="str">
        <x:v>Prepaid expenses</x:v>
      </x:c>
      <x:c r="C73" s="1497"/>
      <x:c r="D73" s="1497"/>
      <x:c r="E73" s="1595"/>
      <x:c r="F73" s="1614"/>
      <x:c r="G73" s="814"/>
      <x:c r="H73" s="397"/>
      <x:c r="I73" s="397"/>
      <x:c r="J73" s="397"/>
    </x:row>
    <x:row r="74" ht="21" customHeight="1">
      <x:c r="A74" s="750"/>
      <x:c r="B74" s="1576" t="str">
        <x:v>Advance tax / TDS</x:v>
      </x:c>
      <x:c r="C74" s="1498"/>
      <x:c r="D74" s="1498"/>
      <x:c r="E74" s="1593"/>
      <x:c r="F74" s="1592"/>
      <x:c r="G74" s="813"/>
      <x:c r="H74" s="393"/>
      <x:c r="I74" s="393"/>
      <x:c r="J74" s="393"/>
    </x:row>
    <x:row r="75" ht="21" customHeight="1">
      <x:c r="A75" s="750"/>
      <x:c r="B75" s="1576" t="str">
        <x:v>Balances with government authorities</x:v>
      </x:c>
      <x:c r="C75" s="1498"/>
      <x:c r="D75" s="1498"/>
      <x:c r="E75" s="1593"/>
      <x:c r="F75" s="1592"/>
      <x:c r="G75" s="813"/>
      <x:c r="H75" s="393"/>
      <x:c r="I75" s="393"/>
      <x:c r="J75" s="393"/>
    </x:row>
    <x:row r="76" ht="21" customHeight="1">
      <x:c r="A76" s="750"/>
      <x:c r="B76" s="1576" t="str">
        <x:v>Other advances</x:v>
      </x:c>
      <x:c r="C76" s="1498"/>
      <x:c r="D76" s="1498"/>
      <x:c r="E76" s="1593"/>
      <x:c r="F76" s="1592"/>
      <x:c r="G76" s="813"/>
      <x:c r="H76" s="393"/>
      <x:c r="I76" s="393"/>
      <x:c r="J76" s="393"/>
    </x:row>
    <x:row r="77" ht="21" customHeight="1">
      <x:c r="A77" s="750"/>
      <x:c r="B77" s="1605" t="str">
        <x:v>Total Short-term Loans and Advances</x:v>
      </x:c>
      <x:c r="C77" s="1606" t="str">
        <x:f>IF(COUNT(C71:C76)=0,"",SUM(C71:C76))</x:f>
      </x:c>
      <x:c r="D77" s="1606" t="str">
        <x:f>IF(COUNT(D71:D76)=0,"",SUM(D71:D76))</x:f>
      </x:c>
      <x:c r="E77" s="1607"/>
      <x:c r="F77" s="1606"/>
      <x:c r="G77" s="813"/>
      <x:c r="H77" s="393"/>
      <x:c r="I77" s="393"/>
      <x:c r="J77" s="393"/>
    </x:row>
    <x:row r="78" ht="21" customHeight="1">
      <x:c r="A78" s="750"/>
      <x:c r="B78" s="977"/>
      <x:c r="C78" s="978"/>
      <x:c r="D78" s="978"/>
      <x:c r="E78" s="978"/>
      <x:c r="F78" s="813"/>
      <x:c r="G78" s="813"/>
      <x:c r="H78" s="393"/>
      <x:c r="I78" s="393"/>
      <x:c r="J78" s="393"/>
    </x:row>
    <x:row r="79" ht="21" customHeight="1">
      <x:c r="A79" s="719"/>
      <x:c r="B79" s="979"/>
      <x:c r="C79" s="827"/>
      <x:c r="D79" s="827"/>
      <x:c r="E79" s="827"/>
      <x:c r="F79" s="814"/>
      <x:c r="G79" s="814"/>
      <x:c r="H79" s="393"/>
      <x:c r="I79" s="393"/>
      <x:c r="J79" s="393"/>
    </x:row>
    <x:row r="80" ht="21" customHeight="1">
      <x:c r="A80" s="719"/>
      <x:c r="B80" s="979"/>
      <x:c r="C80" s="827"/>
      <x:c r="D80" s="827"/>
      <x:c r="E80" s="827"/>
      <x:c r="F80" s="814"/>
      <x:c r="G80" s="814"/>
      <x:c r="H80" s="393"/>
      <x:c r="I80" s="393"/>
      <x:c r="J80" s="393"/>
    </x:row>
    <x:row r="81" ht="21" customHeight="1">
      <x:c r="A81" s="750"/>
      <x:c r="B81" s="1432" t="str">
        <x:v>Note 21 – Other Current Assets</x:v>
      </x:c>
      <x:c r="C81" s="1331"/>
      <x:c r="D81" s="1331"/>
      <x:c r="E81" s="1331"/>
      <x:c r="F81" s="1433"/>
      <x:c r="G81" s="813"/>
      <x:c r="H81" s="393"/>
      <x:c r="I81" s="393"/>
      <x:c r="J81" s="393"/>
    </x:row>
    <x:row r="82" ht="30" customHeight="1">
      <x:c r="A82" s="719"/>
      <x:c r="B82" s="1563" t="str">
        <x:v>Particulars</x:v>
      </x:c>
      <x:c r="C82" s="1564" t="str">
        <x:v>Current Year</x:v>
      </x:c>
      <x:c r="D82" s="1564" t="str">
        <x:v>Previous Year</x:v>
      </x:c>
      <x:c r="E82" s="1564" t="str">
        <x:v>Mapping / Source</x:v>
      </x:c>
      <x:c r="F82" s="1565" t="str">
        <x:v>Remarks</x:v>
      </x:c>
      <x:c r="G82" s="814"/>
      <x:c r="H82" s="393"/>
      <x:c r="I82" s="393"/>
      <x:c r="J82" s="393"/>
    </x:row>
    <x:row r="83" ht="21" customHeight="1">
      <x:c r="A83" s="750"/>
      <x:c r="B83" s="1576" t="str">
        <x:v>Interest accrued but not due</x:v>
      </x:c>
      <x:c r="C83" s="1498"/>
      <x:c r="D83" s="1498"/>
      <x:c r="E83" s="1593"/>
      <x:c r="F83" s="1592"/>
      <x:c r="G83" s="813"/>
      <x:c r="H83" s="393"/>
      <x:c r="I83" s="393"/>
      <x:c r="J83" s="393"/>
    </x:row>
    <x:row r="84" ht="21" customHeight="1">
      <x:c r="A84" s="750"/>
      <x:c r="B84" s="1576" t="str">
        <x:v>Interest accrued and due</x:v>
      </x:c>
      <x:c r="C84" s="1498"/>
      <x:c r="D84" s="1498"/>
      <x:c r="E84" s="1593"/>
      <x:c r="F84" s="1592"/>
      <x:c r="G84" s="813"/>
      <x:c r="H84" s="393"/>
      <x:c r="I84" s="393"/>
      <x:c r="J84" s="393"/>
    </x:row>
    <x:row r="85" ht="21" customHeight="1">
      <x:c r="A85" s="750"/>
      <x:c r="B85" s="1576" t="str">
        <x:v>Security deposits</x:v>
      </x:c>
      <x:c r="C85" s="1498"/>
      <x:c r="D85" s="1498"/>
      <x:c r="E85" s="1593"/>
      <x:c r="F85" s="1592"/>
      <x:c r="G85" s="813"/>
      <x:c r="H85" s="393"/>
      <x:c r="I85" s="393"/>
      <x:c r="J85" s="393"/>
    </x:row>
    <x:row r="86" ht="21" customHeight="1">
      <x:c r="A86" s="750"/>
      <x:c r="B86" s="1576" t="str">
        <x:v>Advance to suppliers</x:v>
      </x:c>
      <x:c r="C86" s="1498"/>
      <x:c r="D86" s="1498"/>
      <x:c r="E86" s="1593"/>
      <x:c r="F86" s="1592"/>
      <x:c r="G86" s="813"/>
      <x:c r="H86" s="393"/>
      <x:c r="I86" s="393"/>
      <x:c r="J86" s="393"/>
    </x:row>
    <x:row r="87" ht="21" customHeight="1">
      <x:c r="A87" s="750"/>
      <x:c r="B87" s="1576" t="str">
        <x:v>Prepaid expenses</x:v>
      </x:c>
      <x:c r="C87" s="1498"/>
      <x:c r="D87" s="1498"/>
      <x:c r="E87" s="1593"/>
      <x:c r="F87" s="1592"/>
      <x:c r="G87" s="813"/>
      <x:c r="H87" s="393"/>
      <x:c r="I87" s="393"/>
      <x:c r="J87" s="393"/>
    </x:row>
    <x:row r="88" ht="21" customHeight="1">
      <x:c r="A88" s="750"/>
      <x:c r="B88" s="1576" t="str">
        <x:v>Other current assets</x:v>
      </x:c>
      <x:c r="C88" s="1498"/>
      <x:c r="D88" s="1498"/>
      <x:c r="E88" s="1593"/>
      <x:c r="F88" s="1592"/>
      <x:c r="G88" s="813"/>
      <x:c r="H88" s="393"/>
      <x:c r="I88" s="393"/>
      <x:c r="J88" s="393"/>
    </x:row>
    <x:row r="89" ht="21" customHeight="1">
      <x:c r="A89" s="719"/>
      <x:c r="B89" s="1605" t="str">
        <x:v>Total Other Current Assets</x:v>
      </x:c>
      <x:c r="C89" s="1606" t="str">
        <x:f>IF(COUNT(C83:C88)=0,"",SUM(C83:C88))</x:f>
      </x:c>
      <x:c r="D89" s="1606" t="str">
        <x:f>IF(COUNT(D83:D88)=0,"",SUM(D83:D88))</x:f>
      </x:c>
      <x:c r="E89" s="1607"/>
      <x:c r="F89" s="1606"/>
      <x:c r="G89" s="814"/>
      <x:c r="H89" s="393"/>
      <x:c r="I89" s="393"/>
      <x:c r="J89" s="393"/>
    </x:row>
    <x:row r="90" ht="21" customHeight="1">
      <x:c r="A90" s="750"/>
      <x:c r="B90" s="977"/>
      <x:c r="C90" s="978"/>
      <x:c r="D90" s="978"/>
      <x:c r="E90" s="978"/>
      <x:c r="F90" s="813"/>
      <x:c r="G90" s="813"/>
      <x:c r="H90" s="393"/>
      <x:c r="I90" s="393"/>
      <x:c r="J90" s="393"/>
    </x:row>
    <x:row r="91" ht="21" customHeight="1">
      <x:c r="A91" s="750"/>
      <x:c r="B91" s="977"/>
      <x:c r="C91" s="978"/>
      <x:c r="D91" s="978"/>
      <x:c r="E91" s="978"/>
      <x:c r="F91" s="813"/>
      <x:c r="G91" s="813"/>
      <x:c r="H91" s="393"/>
      <x:c r="I91" s="393"/>
      <x:c r="J91" s="393"/>
    </x:row>
    <x:row r="92" ht="21" customHeight="1">
      <x:c r="A92" s="687"/>
      <x:c r="B92" s="979"/>
      <x:c r="C92" s="688"/>
      <x:c r="D92" s="688"/>
      <x:c r="E92" s="688"/>
      <x:c r="F92" s="814"/>
      <x:c r="G92" s="814"/>
      <x:c r="H92" s="399"/>
      <x:c r="I92" s="399"/>
      <x:c r="J92" s="399"/>
    </x:row>
    <x:row r="93" ht="21" customHeight="1">
      <x:c r="A93" s="750"/>
      <x:c r="B93" s="1432" t="str">
        <x:v>Note 22 – Revenue from Operations</x:v>
      </x:c>
      <x:c r="C93" s="1331"/>
      <x:c r="D93" s="1331"/>
      <x:c r="E93" s="1331"/>
      <x:c r="F93" s="1433"/>
      <x:c r="G93" s="813"/>
      <x:c r="H93" s="393"/>
      <x:c r="I93" s="393"/>
      <x:c r="J93" s="393"/>
    </x:row>
    <x:row r="94" ht="30" customHeight="1">
      <x:c r="A94" s="750"/>
      <x:c r="B94" s="1563" t="str">
        <x:v>Particulars</x:v>
      </x:c>
      <x:c r="C94" s="1564" t="str">
        <x:v>Current Year</x:v>
      </x:c>
      <x:c r="D94" s="1564" t="str">
        <x:v>Previous Year</x:v>
      </x:c>
      <x:c r="E94" s="1564" t="str">
        <x:v>Mapping / Source</x:v>
      </x:c>
      <x:c r="F94" s="1565" t="str">
        <x:v>Remarks</x:v>
      </x:c>
      <x:c r="G94" s="813"/>
      <x:c r="H94" s="393"/>
      <x:c r="I94" s="393"/>
      <x:c r="J94" s="393"/>
    </x:row>
    <x:row r="95" ht="21" customHeight="1">
      <x:c r="A95" s="750"/>
      <x:c r="B95" s="1576" t="str">
        <x:v>Sale of products</x:v>
      </x:c>
      <x:c r="C95" s="1498"/>
      <x:c r="D95" s="1498"/>
      <x:c r="E95" s="1593"/>
      <x:c r="F95" s="1592"/>
      <x:c r="G95" s="813"/>
      <x:c r="H95" s="393"/>
      <x:c r="I95" s="393"/>
      <x:c r="J95" s="393"/>
    </x:row>
    <x:row r="96" ht="21" customHeight="1">
      <x:c r="A96" s="750"/>
      <x:c r="B96" s="1576" t="str">
        <x:v>Sale of services</x:v>
      </x:c>
      <x:c r="C96" s="1498"/>
      <x:c r="D96" s="1498"/>
      <x:c r="E96" s="1593"/>
      <x:c r="F96" s="1592"/>
      <x:c r="G96" s="813"/>
      <x:c r="H96" s="393"/>
      <x:c r="I96" s="393"/>
      <x:c r="J96" s="393"/>
    </x:row>
    <x:row r="97" ht="21" customHeight="1">
      <x:c r="A97" s="719"/>
      <x:c r="B97" s="1587" t="str">
        <x:v>Grants / donations received</x:v>
      </x:c>
      <x:c r="C97" s="1497"/>
      <x:c r="D97" s="1497"/>
      <x:c r="E97" s="1595"/>
      <x:c r="F97" s="1614"/>
      <x:c r="G97" s="814"/>
      <x:c r="H97" s="393"/>
      <x:c r="I97" s="393"/>
      <x:c r="J97" s="393"/>
    </x:row>
    <x:row r="98" ht="21" customHeight="1">
      <x:c r="A98" s="719"/>
      <x:c r="B98" s="1587" t="str">
        <x:v>Other operating revenue</x:v>
      </x:c>
      <x:c r="C98" s="1497"/>
      <x:c r="D98" s="1497"/>
      <x:c r="E98" s="1595"/>
      <x:c r="F98" s="1614"/>
      <x:c r="G98" s="814"/>
      <x:c r="H98" s="393"/>
      <x:c r="I98" s="393"/>
      <x:c r="J98" s="393"/>
    </x:row>
    <x:row r="99" ht="21" customHeight="1">
      <x:c r="A99" s="750"/>
      <x:c r="B99" s="1576" t="str">
        <x:v>Less: Excise duty / indirect taxes</x:v>
      </x:c>
      <x:c r="C99" s="1498"/>
      <x:c r="D99" s="1498"/>
      <x:c r="E99" s="1593"/>
      <x:c r="F99" s="1592"/>
      <x:c r="G99" s="813"/>
      <x:c r="H99" s="393"/>
      <x:c r="I99" s="393"/>
      <x:c r="J99" s="393"/>
    </x:row>
    <x:row r="100" ht="21" customHeight="1">
      <x:c r="A100" s="719"/>
      <x:c r="B100" s="1605" t="str">
        <x:v>Total Revenue from Operations</x:v>
      </x:c>
      <x:c r="C100" s="1606" t="str">
        <x:f>IF(COUNT(C95:C99)=0,"",SUM(C95:C99))</x:f>
      </x:c>
      <x:c r="D100" s="1606" t="str">
        <x:f>IF(COUNT(D95:D99)=0,"",SUM(D95:D99))</x:f>
      </x:c>
      <x:c r="E100" s="1607"/>
      <x:c r="F100" s="1606"/>
      <x:c r="G100" s="814"/>
      <x:c r="H100" s="397"/>
      <x:c r="I100" s="397"/>
      <x:c r="J100" s="397"/>
    </x:row>
    <x:row r="101" ht="21" customHeight="1">
      <x:c r="A101" s="750"/>
      <x:c r="B101" s="977"/>
      <x:c r="C101" s="978"/>
      <x:c r="D101" s="978"/>
      <x:c r="E101" s="978"/>
      <x:c r="F101" s="813"/>
      <x:c r="G101" s="813"/>
      <x:c r="H101" s="393"/>
      <x:c r="I101" s="393"/>
      <x:c r="J101" s="393"/>
    </x:row>
    <x:row r="102" ht="21" customHeight="1">
      <x:c r="A102" s="750"/>
      <x:c r="B102" s="977"/>
      <x:c r="C102" s="978"/>
      <x:c r="D102" s="978"/>
      <x:c r="E102" s="978"/>
      <x:c r="F102" s="813"/>
      <x:c r="G102" s="813"/>
      <x:c r="H102" s="393"/>
      <x:c r="I102" s="393"/>
      <x:c r="J102" s="393"/>
    </x:row>
    <x:row r="103" ht="21" customHeight="1">
      <x:c r="A103" s="750"/>
      <x:c r="B103" s="977"/>
      <x:c r="C103" s="978"/>
      <x:c r="D103" s="978"/>
      <x:c r="E103" s="978"/>
      <x:c r="F103" s="813"/>
      <x:c r="G103" s="813"/>
      <x:c r="H103" s="393"/>
      <x:c r="I103" s="393"/>
      <x:c r="J103" s="393"/>
    </x:row>
    <x:row r="104" ht="21" customHeight="1">
      <x:c r="A104" s="750"/>
      <x:c r="B104" s="977"/>
      <x:c r="C104" s="978"/>
      <x:c r="D104" s="978"/>
      <x:c r="E104" s="978"/>
      <x:c r="F104" s="813"/>
      <x:c r="G104" s="813"/>
      <x:c r="H104" s="393"/>
      <x:c r="I104" s="393"/>
      <x:c r="J104" s="393"/>
    </x:row>
    <x:row r="105" ht="21" customHeight="1">
      <x:c r="A105" s="750"/>
      <x:c r="B105" s="1432" t="str">
        <x:v>Note 23 – Other Income</x:v>
      </x:c>
      <x:c r="C105" s="1331"/>
      <x:c r="D105" s="1331"/>
      <x:c r="E105" s="1331"/>
      <x:c r="F105" s="1433"/>
      <x:c r="G105" s="813"/>
      <x:c r="H105" s="393"/>
      <x:c r="I105" s="393"/>
      <x:c r="J105" s="393"/>
    </x:row>
    <x:row r="106" ht="30" customHeight="1">
      <x:c r="A106" s="719"/>
      <x:c r="B106" s="1563" t="str">
        <x:v>Particulars</x:v>
      </x:c>
      <x:c r="C106" s="1564" t="str">
        <x:v>Current Year</x:v>
      </x:c>
      <x:c r="D106" s="1564" t="str">
        <x:v>Previous Year</x:v>
      </x:c>
      <x:c r="E106" s="1564" t="str">
        <x:v>Mapping / Source</x:v>
      </x:c>
      <x:c r="F106" s="1565" t="str">
        <x:v>Remarks</x:v>
      </x:c>
      <x:c r="G106" s="814"/>
      <x:c r="H106" s="393"/>
      <x:c r="I106" s="393"/>
      <x:c r="J106" s="393"/>
    </x:row>
    <x:row r="107" ht="21" customHeight="1">
      <x:c r="A107" s="750"/>
      <x:c r="B107" s="1576" t="str">
        <x:v>Interest income</x:v>
      </x:c>
      <x:c r="C107" s="1498"/>
      <x:c r="D107" s="1498"/>
      <x:c r="E107" s="1593"/>
      <x:c r="F107" s="1592"/>
      <x:c r="G107" s="813"/>
      <x:c r="H107" s="393"/>
      <x:c r="I107" s="393"/>
      <x:c r="J107" s="393"/>
    </x:row>
    <x:row r="108" ht="21" customHeight="1">
      <x:c r="A108" s="750"/>
      <x:c r="B108" s="1576" t="str">
        <x:v>Dividend income</x:v>
      </x:c>
      <x:c r="C108" s="1498"/>
      <x:c r="D108" s="1498"/>
      <x:c r="E108" s="1593"/>
      <x:c r="F108" s="1592"/>
      <x:c r="G108" s="813"/>
      <x:c r="H108" s="393"/>
      <x:c r="I108" s="393"/>
      <x:c r="J108" s="393"/>
    </x:row>
    <x:row r="109" ht="21" customHeight="1">
      <x:c r="A109" s="750"/>
      <x:c r="B109" s="1576" t="str">
        <x:v>Net gain on sale of investments</x:v>
      </x:c>
      <x:c r="C109" s="1498"/>
      <x:c r="D109" s="1498"/>
      <x:c r="E109" s="1593"/>
      <x:c r="F109" s="1592"/>
      <x:c r="G109" s="813"/>
      <x:c r="H109" s="393"/>
      <x:c r="I109" s="393"/>
      <x:c r="J109" s="393"/>
    </x:row>
    <x:row r="110" ht="21" customHeight="1">
      <x:c r="A110" s="750"/>
      <x:c r="B110" s="1576" t="str">
        <x:v>Rental income</x:v>
      </x:c>
      <x:c r="C110" s="1498"/>
      <x:c r="D110" s="1498"/>
      <x:c r="E110" s="1593"/>
      <x:c r="F110" s="1592"/>
      <x:c r="G110" s="813"/>
      <x:c r="H110" s="393"/>
      <x:c r="I110" s="393"/>
      <x:c r="J110" s="393"/>
    </x:row>
    <x:row r="111" ht="21" customHeight="1">
      <x:c r="A111" s="750"/>
      <x:c r="B111" s="1576" t="str">
        <x:v>Other non-operating income</x:v>
      </x:c>
      <x:c r="C111" s="1498"/>
      <x:c r="D111" s="1498"/>
      <x:c r="E111" s="1593"/>
      <x:c r="F111" s="1592"/>
      <x:c r="G111" s="813"/>
      <x:c r="H111" s="393"/>
      <x:c r="I111" s="393"/>
      <x:c r="J111" s="393"/>
    </x:row>
    <x:row r="112" ht="21" customHeight="1">
      <x:c r="A112" s="750"/>
      <x:c r="B112" s="1605" t="str">
        <x:v>Total Other Income</x:v>
      </x:c>
      <x:c r="C112" s="1606" t="str">
        <x:f>IF(COUNT(C107:C111)=0,"",SUM(C107:C111))</x:f>
      </x:c>
      <x:c r="D112" s="1606" t="str">
        <x:f>IF(COUNT(D107:D111)=0,"",SUM(D107:D111))</x:f>
      </x:c>
      <x:c r="E112" s="1607"/>
      <x:c r="F112" s="1606"/>
      <x:c r="G112" s="813"/>
      <x:c r="H112" s="393"/>
      <x:c r="I112" s="393"/>
      <x:c r="J112" s="393"/>
    </x:row>
    <x:row r="113" ht="21" customHeight="1">
      <x:c r="A113" s="687"/>
      <x:c r="B113" s="979"/>
      <x:c r="C113" s="688"/>
      <x:c r="D113" s="688"/>
      <x:c r="E113" s="688"/>
      <x:c r="F113" s="814"/>
      <x:c r="G113" s="814"/>
      <x:c r="H113" s="399"/>
      <x:c r="I113" s="399"/>
      <x:c r="J113" s="399"/>
    </x:row>
    <x:row r="114" ht="21" customHeight="1">
      <x:c r="A114" s="719"/>
      <x:c r="B114" s="979"/>
      <x:c r="C114" s="827"/>
      <x:c r="D114" s="827"/>
      <x:c r="E114" s="827"/>
      <x:c r="F114" s="814"/>
      <x:c r="G114" s="814"/>
      <x:c r="H114" s="393"/>
      <x:c r="I114" s="393"/>
      <x:c r="J114" s="393"/>
    </x:row>
    <x:row r="115" ht="21" customHeight="1">
      <x:c r="A115" s="750"/>
      <x:c r="B115" s="977"/>
      <x:c r="C115" s="978"/>
      <x:c r="D115" s="978"/>
      <x:c r="E115" s="978"/>
      <x:c r="F115" s="813"/>
      <x:c r="G115" s="813"/>
      <x:c r="H115" s="393"/>
      <x:c r="I115" s="393"/>
      <x:c r="J115" s="393"/>
    </x:row>
    <x:row r="116" ht="21" customHeight="1">
      <x:c r="A116" s="750"/>
      <x:c r="B116" s="977"/>
      <x:c r="C116" s="978"/>
      <x:c r="D116" s="978"/>
      <x:c r="E116" s="978"/>
      <x:c r="F116" s="813"/>
      <x:c r="G116" s="813"/>
      <x:c r="H116" s="393"/>
      <x:c r="I116" s="393"/>
      <x:c r="J116" s="393"/>
    </x:row>
    <x:row r="117" ht="21" customHeight="1">
      <x:c r="A117" s="750"/>
      <x:c r="B117" s="1432" t="str">
        <x:v>Note 24 – Cost of Goods Sold</x:v>
      </x:c>
      <x:c r="C117" s="1331"/>
      <x:c r="D117" s="1331"/>
      <x:c r="E117" s="1331"/>
      <x:c r="F117" s="1433"/>
      <x:c r="G117" s="813"/>
      <x:c r="H117" s="393"/>
      <x:c r="I117" s="393"/>
      <x:c r="J117" s="393"/>
    </x:row>
    <x:row r="118" ht="30" customHeight="1">
      <x:c r="A118" s="750"/>
      <x:c r="B118" s="1563" t="str">
        <x:v>Particulars</x:v>
      </x:c>
      <x:c r="C118" s="1564" t="str">
        <x:v>Current Year</x:v>
      </x:c>
      <x:c r="D118" s="1564" t="str">
        <x:v>Previous Year</x:v>
      </x:c>
      <x:c r="E118" s="1564" t="str">
        <x:v>Mapping / Source</x:v>
      </x:c>
      <x:c r="F118" s="1565" t="str">
        <x:v>Remarks</x:v>
      </x:c>
      <x:c r="G118" s="813"/>
      <x:c r="H118" s="393"/>
      <x:c r="I118" s="393"/>
      <x:c r="J118" s="393"/>
    </x:row>
    <x:row r="119" ht="21" customHeight="1">
      <x:c r="A119" s="750"/>
      <x:c r="B119" s="1576" t="str">
        <x:v>Opening inventory</x:v>
      </x:c>
      <x:c r="C119" s="1498"/>
      <x:c r="D119" s="1498"/>
      <x:c r="E119" s="1593"/>
      <x:c r="F119" s="1592"/>
      <x:c r="G119" s="813"/>
      <x:c r="H119" s="393"/>
      <x:c r="I119" s="393"/>
      <x:c r="J119" s="393"/>
    </x:row>
    <x:row r="120" ht="21" customHeight="1">
      <x:c r="A120" s="750"/>
      <x:c r="B120" s="1576" t="str">
        <x:v>Purchases</x:v>
      </x:c>
      <x:c r="C120" s="1498"/>
      <x:c r="D120" s="1498"/>
      <x:c r="E120" s="1593"/>
      <x:c r="F120" s="1592"/>
      <x:c r="G120" s="813"/>
      <x:c r="H120" s="393"/>
      <x:c r="I120" s="393"/>
      <x:c r="J120" s="393"/>
    </x:row>
    <x:row r="121" ht="21" customHeight="1">
      <x:c r="A121" s="719"/>
      <x:c r="B121" s="1587" t="str">
        <x:v>Direct expenses</x:v>
      </x:c>
      <x:c r="C121" s="1497"/>
      <x:c r="D121" s="1497"/>
      <x:c r="E121" s="1595"/>
      <x:c r="F121" s="1614"/>
      <x:c r="G121" s="814"/>
      <x:c r="H121" s="397"/>
      <x:c r="I121" s="397"/>
      <x:c r="J121" s="397"/>
    </x:row>
    <x:row r="122" ht="21" customHeight="1">
      <x:c r="A122" s="750"/>
      <x:c r="B122" s="1576" t="str">
        <x:v>Less: Closing inventory</x:v>
      </x:c>
      <x:c r="C122" s="1498"/>
      <x:c r="D122" s="1498"/>
      <x:c r="E122" s="1593"/>
      <x:c r="F122" s="1592"/>
      <x:c r="G122" s="813"/>
      <x:c r="H122" s="393"/>
      <x:c r="I122" s="393"/>
      <x:c r="J122" s="393"/>
    </x:row>
    <x:row r="123" ht="21" customHeight="1">
      <x:c r="A123" s="719"/>
      <x:c r="B123" s="1587" t="str">
        <x:v>Other cost of goods sold</x:v>
      </x:c>
      <x:c r="C123" s="1497"/>
      <x:c r="D123" s="1497"/>
      <x:c r="E123" s="1595"/>
      <x:c r="F123" s="1614"/>
      <x:c r="G123" s="814"/>
      <x:c r="H123" s="397"/>
      <x:c r="I123" s="397"/>
      <x:c r="J123" s="397"/>
    </x:row>
    <x:row r="124" ht="21" customHeight="1">
      <x:c r="A124" s="750"/>
      <x:c r="B124" s="1605" t="str">
        <x:v>Total Cost of Goods Sold</x:v>
      </x:c>
      <x:c r="C124" s="1606" t="str">
        <x:f>IF(COUNT(C119:C123)=0,"",SUM(C119:C123))</x:f>
      </x:c>
      <x:c r="D124" s="1606" t="str">
        <x:f>IF(COUNT(D119:D123)=0,"",SUM(D119:D123))</x:f>
      </x:c>
      <x:c r="E124" s="1607"/>
      <x:c r="F124" s="1606"/>
      <x:c r="G124" s="813"/>
      <x:c r="H124" s="393"/>
      <x:c r="I124" s="393"/>
      <x:c r="J124" s="393"/>
    </x:row>
    <x:row r="125" ht="21" customHeight="1">
      <x:c r="A125" s="750"/>
      <x:c r="B125" s="977"/>
      <x:c r="C125" s="978"/>
      <x:c r="D125" s="978"/>
      <x:c r="E125" s="978"/>
      <x:c r="F125" s="813"/>
      <x:c r="G125" s="813"/>
      <x:c r="H125" s="393"/>
      <x:c r="I125" s="393"/>
      <x:c r="J125" s="393"/>
    </x:row>
    <x:row r="126" ht="21" customHeight="1">
      <x:c r="A126" s="750"/>
      <x:c r="B126" s="977"/>
      <x:c r="C126" s="978"/>
      <x:c r="D126" s="978"/>
      <x:c r="E126" s="978"/>
      <x:c r="F126" s="813"/>
      <x:c r="G126" s="813"/>
      <x:c r="H126" s="393"/>
      <x:c r="I126" s="393"/>
      <x:c r="J126" s="393"/>
    </x:row>
    <x:row r="127" ht="21" customHeight="1">
      <x:c r="A127" s="750"/>
      <x:c r="B127" s="977"/>
      <x:c r="C127" s="978"/>
      <x:c r="D127" s="978"/>
      <x:c r="E127" s="978"/>
      <x:c r="F127" s="813"/>
      <x:c r="G127" s="813"/>
      <x:c r="H127" s="393"/>
      <x:c r="I127" s="393"/>
      <x:c r="J127" s="393"/>
    </x:row>
    <x:row r="128" ht="21" customHeight="1">
      <x:c r="A128" s="750"/>
      <x:c r="B128" s="977"/>
      <x:c r="C128" s="978"/>
      <x:c r="D128" s="978"/>
      <x:c r="E128" s="978"/>
      <x:c r="F128" s="813"/>
      <x:c r="G128" s="813"/>
      <x:c r="H128" s="393"/>
      <x:c r="I128" s="393"/>
      <x:c r="J128" s="393"/>
    </x:row>
    <x:row r="129" ht="21" customHeight="1">
      <x:c r="A129" s="719"/>
      <x:c r="B129" s="979"/>
      <x:c r="C129" s="827"/>
      <x:c r="D129" s="827"/>
      <x:c r="E129" s="827"/>
      <x:c r="F129" s="814"/>
      <x:c r="G129" s="814"/>
      <x:c r="H129" s="397"/>
      <x:c r="I129" s="397"/>
      <x:c r="J129" s="397"/>
    </x:row>
    <x:row r="130" ht="21" customHeight="1">
      <x:c r="A130" s="750"/>
      <x:c r="B130" s="977"/>
      <x:c r="C130" s="978"/>
      <x:c r="D130" s="978"/>
      <x:c r="E130" s="978"/>
      <x:c r="F130" s="813"/>
      <x:c r="G130" s="813"/>
      <x:c r="H130" s="393"/>
      <x:c r="I130" s="393"/>
      <x:c r="J130" s="393"/>
    </x:row>
    <x:row r="131" ht="21" customHeight="1">
      <x:c r="A131" s="750"/>
      <x:c r="B131" s="977"/>
      <x:c r="C131" s="978"/>
      <x:c r="D131" s="978"/>
      <x:c r="E131" s="978"/>
      <x:c r="F131" s="813"/>
      <x:c r="G131" s="813"/>
      <x:c r="H131" s="393"/>
      <x:c r="I131" s="393"/>
      <x:c r="J131" s="393"/>
    </x:row>
    <x:row r="132" ht="21" customHeight="1">
      <x:c r="A132" s="750"/>
      <x:c r="B132" s="977"/>
      <x:c r="C132" s="978"/>
      <x:c r="D132" s="978"/>
      <x:c r="E132" s="978"/>
      <x:c r="F132" s="813"/>
      <x:c r="G132" s="813"/>
      <x:c r="H132" s="393"/>
      <x:c r="I132" s="393"/>
      <x:c r="J132" s="393"/>
    </x:row>
    <x:row r="133" ht="21" customHeight="1">
      <x:c r="A133" s="750"/>
      <x:c r="B133" s="977"/>
      <x:c r="C133" s="978"/>
      <x:c r="D133" s="978"/>
      <x:c r="E133" s="978"/>
      <x:c r="F133" s="813"/>
      <x:c r="G133" s="813"/>
      <x:c r="H133" s="393"/>
      <x:c r="I133" s="393"/>
      <x:c r="J133" s="393"/>
    </x:row>
    <x:row r="134" ht="21" customHeight="1">
      <x:c r="A134" s="750"/>
      <x:c r="B134" s="977"/>
      <x:c r="C134" s="978"/>
      <x:c r="D134" s="978"/>
      <x:c r="E134" s="978"/>
      <x:c r="F134" s="813"/>
      <x:c r="G134" s="813"/>
      <x:c r="H134" s="393"/>
      <x:c r="I134" s="393"/>
      <x:c r="J134" s="393"/>
    </x:row>
    <x:row r="135" ht="21" customHeight="1">
      <x:c r="A135" s="750"/>
      <x:c r="B135" s="1432" t="str">
        <x:v>Note 25 – Employee Benefits Expense</x:v>
      </x:c>
      <x:c r="C135" s="1331"/>
      <x:c r="D135" s="1331"/>
      <x:c r="E135" s="1331"/>
      <x:c r="F135" s="1433"/>
      <x:c r="G135" s="813"/>
      <x:c r="H135" s="393"/>
      <x:c r="I135" s="393"/>
      <x:c r="J135" s="393"/>
    </x:row>
    <x:row r="136" ht="30" customHeight="1">
      <x:c r="A136" s="750"/>
      <x:c r="B136" s="1563" t="str">
        <x:v>Particulars</x:v>
      </x:c>
      <x:c r="C136" s="1564" t="str">
        <x:v>Current Year</x:v>
      </x:c>
      <x:c r="D136" s="1564" t="str">
        <x:v>Previous Year</x:v>
      </x:c>
      <x:c r="E136" s="1564" t="str">
        <x:v>Mapping / Source</x:v>
      </x:c>
      <x:c r="F136" s="1565" t="str">
        <x:v>Remarks</x:v>
      </x:c>
      <x:c r="G136" s="813"/>
      <x:c r="H136" s="393"/>
      <x:c r="I136" s="393"/>
      <x:c r="J136" s="393"/>
    </x:row>
    <x:row r="137" ht="21" customHeight="1">
      <x:c r="A137" s="750"/>
      <x:c r="B137" s="1576" t="str">
        <x:v>Salaries and wages</x:v>
      </x:c>
      <x:c r="C137" s="1498"/>
      <x:c r="D137" s="1498"/>
      <x:c r="E137" s="1593"/>
      <x:c r="F137" s="1592"/>
      <x:c r="G137" s="813"/>
      <x:c r="H137" s="393"/>
      <x:c r="I137" s="393"/>
      <x:c r="J137" s="393"/>
    </x:row>
    <x:row r="138" ht="21" customHeight="1">
      <x:c r="A138" s="750"/>
      <x:c r="B138" s="1576" t="str">
        <x:v>Partners / employee remuneration</x:v>
      </x:c>
      <x:c r="C138" s="1498"/>
      <x:c r="D138" s="1498"/>
      <x:c r="E138" s="1593"/>
      <x:c r="F138" s="1592"/>
      <x:c r="G138" s="813"/>
      <x:c r="H138" s="393"/>
      <x:c r="I138" s="393"/>
      <x:c r="J138" s="393"/>
    </x:row>
    <x:row r="139" ht="21" customHeight="1">
      <x:c r="A139" s="719"/>
      <x:c r="B139" s="1587" t="str">
        <x:v>Contribution to provident and other funds</x:v>
      </x:c>
      <x:c r="C139" s="1497"/>
      <x:c r="D139" s="1497"/>
      <x:c r="E139" s="1595"/>
      <x:c r="F139" s="1614"/>
      <x:c r="G139" s="814"/>
      <x:c r="H139" s="393"/>
      <x:c r="I139" s="393"/>
      <x:c r="J139" s="393"/>
    </x:row>
    <x:row r="140" ht="21" customHeight="1">
      <x:c r="A140" s="719"/>
      <x:c r="B140" s="1587" t="str">
        <x:v>Staff welfare expenses</x:v>
      </x:c>
      <x:c r="C140" s="1497"/>
      <x:c r="D140" s="1497"/>
      <x:c r="E140" s="1595"/>
      <x:c r="F140" s="1614"/>
      <x:c r="G140" s="814"/>
      <x:c r="H140" s="397"/>
      <x:c r="I140" s="397"/>
      <x:c r="J140" s="397"/>
    </x:row>
    <x:row r="141" ht="21" customHeight="1">
      <x:c r="A141" s="750"/>
      <x:c r="B141" s="1576" t="str">
        <x:v>Other employee benefits</x:v>
      </x:c>
      <x:c r="C141" s="1498"/>
      <x:c r="D141" s="1498"/>
      <x:c r="E141" s="1593"/>
      <x:c r="F141" s="1592"/>
      <x:c r="G141" s="813"/>
      <x:c r="H141" s="393"/>
      <x:c r="I141" s="393"/>
      <x:c r="J141" s="393"/>
    </x:row>
    <x:row r="142" ht="21" customHeight="1">
      <x:c r="A142" s="719"/>
      <x:c r="B142" s="1605" t="str">
        <x:v>Total Employee Benefits Expense</x:v>
      </x:c>
      <x:c r="C142" s="1606" t="str">
        <x:f>IF(COUNT(C137:C141)=0,"",SUM(C137:C141))</x:f>
      </x:c>
      <x:c r="D142" s="1606" t="str">
        <x:f>IF(COUNT(D137:D141)=0,"",SUM(D137:D141))</x:f>
      </x:c>
      <x:c r="E142" s="1607"/>
      <x:c r="F142" s="1606"/>
      <x:c r="G142" s="814"/>
      <x:c r="H142" s="393"/>
      <x:c r="I142" s="393"/>
      <x:c r="J142" s="393"/>
    </x:row>
    <x:row r="143" ht="21" customHeight="1">
      <x:c r="A143" s="750"/>
      <x:c r="B143" s="977"/>
      <x:c r="C143" s="978"/>
      <x:c r="D143" s="978"/>
      <x:c r="E143" s="978"/>
      <x:c r="F143" s="813"/>
      <x:c r="G143" s="813"/>
      <x:c r="H143" s="393"/>
      <x:c r="I143" s="393"/>
      <x:c r="J143" s="393"/>
    </x:row>
    <x:row r="144" ht="21" customHeight="1">
      <x:c r="A144" s="750"/>
      <x:c r="B144" s="977"/>
      <x:c r="C144" s="978"/>
      <x:c r="D144" s="978"/>
      <x:c r="E144" s="978"/>
      <x:c r="F144" s="813"/>
      <x:c r="G144" s="813"/>
      <x:c r="H144" s="393"/>
      <x:c r="I144" s="393"/>
      <x:c r="J144" s="393"/>
    </x:row>
    <x:row r="145" ht="21" customHeight="1">
      <x:c r="A145" s="750"/>
      <x:c r="B145" s="977"/>
      <x:c r="C145" s="978"/>
      <x:c r="D145" s="978"/>
      <x:c r="E145" s="978"/>
      <x:c r="F145" s="813"/>
      <x:c r="G145" s="813"/>
      <x:c r="H145" s="393"/>
      <x:c r="I145" s="393"/>
      <x:c r="J145" s="393"/>
    </x:row>
    <x:row r="146" ht="21" customHeight="1">
      <x:c r="A146" s="750"/>
      <x:c r="B146" s="977"/>
      <x:c r="C146" s="978"/>
      <x:c r="D146" s="978"/>
      <x:c r="E146" s="978"/>
      <x:c r="F146" s="813"/>
      <x:c r="G146" s="813"/>
      <x:c r="H146" s="393"/>
      <x:c r="I146" s="393"/>
      <x:c r="J146" s="393"/>
    </x:row>
    <x:row r="147" ht="21" customHeight="1">
      <x:c r="A147" s="750"/>
      <x:c r="B147" s="977"/>
      <x:c r="C147" s="978"/>
      <x:c r="D147" s="978"/>
      <x:c r="E147" s="978"/>
      <x:c r="F147" s="813"/>
      <x:c r="G147" s="813"/>
      <x:c r="H147" s="393"/>
      <x:c r="I147" s="393"/>
      <x:c r="J147" s="393"/>
    </x:row>
    <x:row r="148" ht="21" customHeight="1">
      <x:c r="A148" s="750"/>
      <x:c r="B148" s="977"/>
      <x:c r="C148" s="978"/>
      <x:c r="D148" s="978"/>
      <x:c r="E148" s="978"/>
      <x:c r="F148" s="813"/>
      <x:c r="G148" s="813"/>
      <x:c r="H148" s="393"/>
      <x:c r="I148" s="393"/>
      <x:c r="J148" s="393"/>
    </x:row>
    <x:row r="149" ht="21" customHeight="1">
      <x:c r="A149" s="719"/>
      <x:c r="B149" s="1432" t="str">
        <x:v>Note 26 – Finance Costs</x:v>
      </x:c>
      <x:c r="C149" s="1331"/>
      <x:c r="D149" s="1331"/>
      <x:c r="E149" s="1331"/>
      <x:c r="F149" s="1433"/>
      <x:c r="G149" s="814"/>
      <x:c r="H149" s="393"/>
      <x:c r="I149" s="393"/>
      <x:c r="J149" s="393"/>
    </x:row>
    <x:row r="150" ht="30" customHeight="1">
      <x:c r="A150" s="750"/>
      <x:c r="B150" s="1563" t="str">
        <x:v>Particulars</x:v>
      </x:c>
      <x:c r="C150" s="1564" t="str">
        <x:v>Current Year</x:v>
      </x:c>
      <x:c r="D150" s="1564" t="str">
        <x:v>Previous Year</x:v>
      </x:c>
      <x:c r="E150" s="1564" t="str">
        <x:v>Mapping / Source</x:v>
      </x:c>
      <x:c r="F150" s="1565" t="str">
        <x:v>Remarks</x:v>
      </x:c>
      <x:c r="G150" s="813"/>
      <x:c r="H150" s="393"/>
      <x:c r="I150" s="393"/>
      <x:c r="J150" s="393"/>
    </x:row>
    <x:row r="151" ht="21" customHeight="1">
      <x:c r="A151" s="750"/>
      <x:c r="B151" s="1576" t="str">
        <x:v>Interest expense</x:v>
      </x:c>
      <x:c r="C151" s="1498"/>
      <x:c r="D151" s="1498"/>
      <x:c r="E151" s="1593"/>
      <x:c r="F151" s="1592"/>
      <x:c r="G151" s="813"/>
      <x:c r="H151" s="393"/>
      <x:c r="I151" s="393"/>
      <x:c r="J151" s="393"/>
    </x:row>
    <x:row r="152" ht="21" customHeight="1">
      <x:c r="A152" s="750"/>
      <x:c r="B152" s="1576" t="str">
        <x:v>Bank charges</x:v>
      </x:c>
      <x:c r="C152" s="1498"/>
      <x:c r="D152" s="1498"/>
      <x:c r="E152" s="1593"/>
      <x:c r="F152" s="1592"/>
      <x:c r="G152" s="813"/>
      <x:c r="H152" s="393"/>
      <x:c r="I152" s="393"/>
      <x:c r="J152" s="393"/>
    </x:row>
    <x:row r="153" ht="21" customHeight="1">
      <x:c r="A153" s="392"/>
      <x:c r="B153" s="1576" t="str">
        <x:v>Interest on partner capital</x:v>
      </x:c>
      <x:c r="C153" s="1498"/>
      <x:c r="D153" s="1498"/>
      <x:c r="E153" s="1593"/>
      <x:c r="F153" s="1594"/>
      <x:c r="G153" s="393"/>
      <x:c r="H153" s="393"/>
      <x:c r="I153" s="393"/>
      <x:c r="J153" s="393"/>
    </x:row>
    <x:row r="154" ht="21" customHeight="1">
      <x:c r="A154" s="392"/>
      <x:c r="B154" s="1576" t="str">
        <x:v>Other borrowing costs</x:v>
      </x:c>
      <x:c r="C154" s="1498"/>
      <x:c r="D154" s="1498"/>
      <x:c r="E154" s="1593"/>
      <x:c r="F154" s="1594"/>
      <x:c r="G154" s="393"/>
      <x:c r="H154" s="393"/>
      <x:c r="I154" s="393"/>
      <x:c r="J154" s="393"/>
    </x:row>
    <x:row r="155" ht="21" customHeight="1">
      <x:c r="A155" s="392"/>
      <x:c r="B155" s="1605" t="str">
        <x:v>Total Finance Costs</x:v>
      </x:c>
      <x:c r="C155" s="1606" t="str">
        <x:f>IF(COUNT(C151:C154)=0,"",SUM(C151:C154))</x:f>
      </x:c>
      <x:c r="D155" s="1606" t="str">
        <x:f>IF(COUNT(D151:D154)=0,"",SUM(D151:D154))</x:f>
      </x:c>
      <x:c r="E155" s="1607"/>
      <x:c r="F155" s="1607"/>
      <x:c r="G155" s="393"/>
      <x:c r="H155" s="393"/>
      <x:c r="I155" s="393"/>
      <x:c r="J155" s="393"/>
    </x:row>
    <x:row r="156" ht="21" customHeight="1">
      <x:c r="A156" s="396"/>
      <x:c r="B156" s="426"/>
      <x:c r="C156" s="397"/>
      <x:c r="D156" s="397"/>
      <x:c r="E156" s="397"/>
      <x:c r="F156" s="397"/>
      <x:c r="G156" s="397"/>
      <x:c r="H156" s="397"/>
      <x:c r="I156" s="397"/>
      <x:c r="J156" s="397"/>
    </x:row>
    <x:row r="157" ht="21" customHeight="1">
      <x:c r="A157" s="392"/>
      <x:c r="B157" s="548"/>
      <x:c r="C157" s="393"/>
      <x:c r="D157" s="393"/>
      <x:c r="E157" s="393"/>
      <x:c r="F157" s="393"/>
      <x:c r="G157" s="393"/>
      <x:c r="H157" s="393"/>
      <x:c r="I157" s="393"/>
      <x:c r="J157" s="393"/>
    </x:row>
    <x:row r="158" ht="21" customHeight="1">
      <x:c r="A158" s="750"/>
      <x:c r="B158" s="977"/>
      <x:c r="C158" s="978"/>
      <x:c r="D158" s="978"/>
      <x:c r="E158" s="978"/>
      <x:c r="F158" s="813"/>
      <x:c r="G158" s="813"/>
      <x:c r="H158" s="393"/>
      <x:c r="I158" s="393"/>
      <x:c r="J158" s="393"/>
    </x:row>
    <x:row r="159" ht="21" customHeight="1">
      <x:c r="A159" s="719"/>
      <x:c r="B159" s="1002"/>
      <x:c r="C159" s="827"/>
      <x:c r="D159" s="827"/>
      <x:c r="E159" s="827"/>
      <x:c r="F159" s="814"/>
      <x:c r="G159" s="814"/>
      <x:c r="H159" s="393"/>
      <x:c r="I159" s="393"/>
      <x:c r="J159" s="393"/>
    </x:row>
    <x:row r="160" ht="21" customHeight="1">
      <x:c r="A160" s="719"/>
      <x:c r="B160" s="1002"/>
      <x:c r="C160" s="827"/>
      <x:c r="D160" s="827"/>
      <x:c r="E160" s="827"/>
      <x:c r="F160" s="814"/>
      <x:c r="G160" s="814"/>
      <x:c r="H160" s="393"/>
      <x:c r="I160" s="393"/>
      <x:c r="J160" s="393"/>
    </x:row>
    <x:row r="161" ht="21" customHeight="1">
      <x:c r="A161" s="750"/>
      <x:c r="B161" s="1432" t="str">
        <x:v>Note 27 – Depreciation and Amortisation Expense</x:v>
      </x:c>
      <x:c r="C161" s="1331"/>
      <x:c r="D161" s="1331"/>
      <x:c r="E161" s="1331"/>
      <x:c r="F161" s="1433"/>
      <x:c r="G161" s="813"/>
      <x:c r="H161" s="393"/>
      <x:c r="I161" s="393"/>
      <x:c r="J161" s="393"/>
    </x:row>
    <x:row r="162" ht="30" customHeight="1">
      <x:c r="A162" s="719"/>
      <x:c r="B162" s="1563" t="str">
        <x:v>Particulars</x:v>
      </x:c>
      <x:c r="C162" s="1564" t="str">
        <x:v>Current Year</x:v>
      </x:c>
      <x:c r="D162" s="1564" t="str">
        <x:v>Previous Year</x:v>
      </x:c>
      <x:c r="E162" s="1564" t="str">
        <x:v>Mapping / Source</x:v>
      </x:c>
      <x:c r="F162" s="1565" t="str">
        <x:v>Remarks</x:v>
      </x:c>
      <x:c r="G162" s="814"/>
      <x:c r="H162" s="393"/>
      <x:c r="I162" s="393"/>
      <x:c r="J162" s="393"/>
    </x:row>
    <x:row r="163" ht="21" customHeight="1">
      <x:c r="A163" s="750"/>
      <x:c r="B163" s="1490" t="str">
        <x:v>Depreciation on Property, Plant and Equipment</x:v>
      </x:c>
      <x:c r="C163" s="1491" t="str">
        <x:f>IF(COUNT('NCE Note 11'!F79:F86)=0,"",SUM('NCE Note 11'!F79:F86))</x:f>
      </x:c>
      <x:c r="D163" s="1499"/>
      <x:c r="E163" s="1491"/>
      <x:c r="F163" s="1566"/>
      <x:c r="G163" s="813"/>
      <x:c r="H163" s="393"/>
      <x:c r="I163" s="393"/>
      <x:c r="J163" s="393"/>
    </x:row>
    <x:row r="164" ht="21" customHeight="1">
      <x:c r="A164" s="750"/>
      <x:c r="B164" s="1490" t="str">
        <x:v>Amortisation of Intangible Assets</x:v>
      </x:c>
      <x:c r="C164" s="1491" t="str">
        <x:f>IF(COUNT('NCE Note 11'!F87:F89)=0,"",SUM('NCE Note 11'!F87:F89))</x:f>
      </x:c>
      <x:c r="D164" s="1499"/>
      <x:c r="E164" s="1491"/>
      <x:c r="F164" s="1566"/>
      <x:c r="G164" s="813"/>
      <x:c r="H164" s="393"/>
      <x:c r="I164" s="393"/>
      <x:c r="J164" s="393"/>
    </x:row>
    <x:row r="165" ht="21" customHeight="1">
      <x:c r="A165" s="750"/>
      <x:c r="B165" s="1490" t="str">
        <x:v>Impairment / other adjustments</x:v>
      </x:c>
      <x:c r="C165" s="1499"/>
      <x:c r="D165" s="1499"/>
      <x:c r="E165" s="1491"/>
      <x:c r="F165" s="1566"/>
      <x:c r="G165" s="813"/>
      <x:c r="H165" s="393"/>
      <x:c r="I165" s="393"/>
      <x:c r="J165" s="393"/>
    </x:row>
    <x:row r="166" ht="21" customHeight="1">
      <x:c r="A166" s="719"/>
      <x:c r="B166" s="1485" t="str">
        <x:v>Other depreciation / amortisation</x:v>
      </x:c>
      <x:c r="C166" s="1496"/>
      <x:c r="D166" s="1496"/>
      <x:c r="E166" s="1486"/>
      <x:c r="F166" s="1611"/>
      <x:c r="G166" s="814"/>
      <x:c r="H166" s="397"/>
      <x:c r="I166" s="397"/>
      <x:c r="J166" s="397"/>
    </x:row>
    <x:row r="167" ht="21" customHeight="1">
      <x:c r="A167" s="750"/>
      <x:c r="B167" s="1513" t="str">
        <x:v>Total Depreciation and Amortisation Expense</x:v>
      </x:c>
      <x:c r="C167" s="1514" t="str">
        <x:f>IF(COUNT(C163:C166)=0,"",SUM(C163:C166))</x:f>
      </x:c>
      <x:c r="D167" s="1514" t="str">
        <x:f>IF(COUNT(D163:D166)=0,"",SUM(D163:D166))</x:f>
      </x:c>
      <x:c r="E167" s="1514"/>
      <x:c r="F167" s="1515"/>
      <x:c r="G167" s="813"/>
      <x:c r="H167" s="393"/>
      <x:c r="I167" s="393"/>
      <x:c r="J167" s="393"/>
    </x:row>
    <x:row r="168" ht="21" customHeight="1">
      <x:c r="A168" s="750"/>
      <x:c r="B168" s="977"/>
      <x:c r="C168" s="978"/>
      <x:c r="D168" s="978"/>
      <x:c r="E168" s="978"/>
      <x:c r="F168" s="813"/>
      <x:c r="G168" s="813"/>
      <x:c r="H168" s="393"/>
      <x:c r="I168" s="393"/>
      <x:c r="J168" s="393"/>
    </x:row>
    <x:row r="169" ht="21" customHeight="1">
      <x:c r="A169" s="750"/>
      <x:c r="B169" s="977"/>
      <x:c r="C169" s="978"/>
      <x:c r="D169" s="978"/>
      <x:c r="E169" s="978"/>
      <x:c r="F169" s="813"/>
      <x:c r="G169" s="813"/>
      <x:c r="H169" s="393"/>
      <x:c r="I169" s="393"/>
      <x:c r="J169" s="393"/>
    </x:row>
    <x:row r="170" ht="21" customHeight="1">
      <x:c r="A170" s="750"/>
      <x:c r="B170" s="977"/>
      <x:c r="C170" s="978"/>
      <x:c r="D170" s="978"/>
      <x:c r="E170" s="978"/>
      <x:c r="F170" s="813"/>
      <x:c r="G170" s="813"/>
      <x:c r="H170" s="393"/>
      <x:c r="I170" s="393"/>
      <x:c r="J170" s="393"/>
    </x:row>
    <x:row r="171" ht="21" customHeight="1">
      <x:c r="A171" s="750"/>
      <x:c r="B171" s="977"/>
      <x:c r="C171" s="978"/>
      <x:c r="D171" s="978"/>
      <x:c r="E171" s="978"/>
      <x:c r="F171" s="813"/>
      <x:c r="G171" s="813"/>
      <x:c r="H171" s="393"/>
      <x:c r="I171" s="393"/>
      <x:c r="J171" s="393"/>
    </x:row>
    <x:row r="172" ht="21" customHeight="1">
      <x:c r="A172" s="719"/>
      <x:c r="B172" s="979"/>
      <x:c r="C172" s="827"/>
      <x:c r="D172" s="827"/>
      <x:c r="E172" s="827"/>
      <x:c r="F172" s="814"/>
      <x:c r="G172" s="814"/>
      <x:c r="H172" s="393"/>
      <x:c r="I172" s="393"/>
      <x:c r="J172" s="393"/>
    </x:row>
    <x:row r="173" ht="21" customHeight="1">
      <x:c r="A173" s="750"/>
      <x:c r="B173" s="1432" t="str">
        <x:v>Note 28 – Other Expenses</x:v>
      </x:c>
      <x:c r="C173" s="1331"/>
      <x:c r="D173" s="1331"/>
      <x:c r="E173" s="1331"/>
      <x:c r="F173" s="1433"/>
      <x:c r="G173" s="813"/>
      <x:c r="H173" s="393"/>
      <x:c r="I173" s="393"/>
      <x:c r="J173" s="393"/>
    </x:row>
    <x:row r="174" ht="30" customHeight="1">
      <x:c r="A174" s="719"/>
      <x:c r="B174" s="1563" t="str">
        <x:v>Particulars</x:v>
      </x:c>
      <x:c r="C174" s="1564" t="str">
        <x:v>Current Year</x:v>
      </x:c>
      <x:c r="D174" s="1564" t="str">
        <x:v>Previous Year</x:v>
      </x:c>
      <x:c r="E174" s="1564" t="str">
        <x:v>Mapping / Source</x:v>
      </x:c>
      <x:c r="F174" s="1565" t="str">
        <x:v>Remarks</x:v>
      </x:c>
      <x:c r="G174" s="814"/>
      <x:c r="H174" s="397"/>
      <x:c r="I174" s="397"/>
      <x:c r="J174" s="397"/>
    </x:row>
    <x:row r="175" ht="21" customHeight="1">
      <x:c r="A175" s="719"/>
      <x:c r="B175" s="1587" t="str">
        <x:v>Consumption of stores and spares</x:v>
      </x:c>
      <x:c r="C175" s="1497"/>
      <x:c r="D175" s="1497"/>
      <x:c r="E175" s="1595"/>
      <x:c r="F175" s="1614"/>
      <x:c r="G175" s="814"/>
      <x:c r="H175" s="397"/>
      <x:c r="I175" s="397"/>
      <x:c r="J175" s="397"/>
    </x:row>
    <x:row r="176" ht="21" customHeight="1">
      <x:c r="A176" s="750"/>
      <x:c r="B176" s="1576" t="str">
        <x:v>Power and fuel</x:v>
      </x:c>
      <x:c r="C176" s="1498"/>
      <x:c r="D176" s="1498"/>
      <x:c r="E176" s="1593"/>
      <x:c r="F176" s="1592"/>
      <x:c r="G176" s="813"/>
      <x:c r="H176" s="393"/>
      <x:c r="I176" s="393"/>
      <x:c r="J176" s="393"/>
    </x:row>
    <x:row r="177" ht="21" customHeight="1">
      <x:c r="A177" s="750"/>
      <x:c r="B177" s="1576" t="str">
        <x:v>Rent</x:v>
      </x:c>
      <x:c r="C177" s="1498"/>
      <x:c r="D177" s="1498"/>
      <x:c r="E177" s="1593"/>
      <x:c r="F177" s="1592"/>
      <x:c r="G177" s="813"/>
      <x:c r="H177" s="393"/>
      <x:c r="I177" s="393"/>
      <x:c r="J177" s="393"/>
    </x:row>
    <x:row r="178" ht="21" customHeight="1">
      <x:c r="A178" s="719"/>
      <x:c r="B178" s="1587" t="str">
        <x:v>Repairs and maintenance</x:v>
      </x:c>
      <x:c r="C178" s="1497"/>
      <x:c r="D178" s="1497"/>
      <x:c r="E178" s="1595"/>
      <x:c r="F178" s="1614"/>
      <x:c r="G178" s="814"/>
      <x:c r="H178" s="393"/>
      <x:c r="I178" s="393"/>
      <x:c r="J178" s="393"/>
    </x:row>
    <x:row r="179" ht="21" customHeight="1">
      <x:c r="A179" s="719"/>
      <x:c r="B179" s="1587" t="str">
        <x:v>Insurance</x:v>
      </x:c>
      <x:c r="C179" s="1497"/>
      <x:c r="D179" s="1497"/>
      <x:c r="E179" s="1595"/>
      <x:c r="F179" s="1614"/>
      <x:c r="G179" s="814"/>
      <x:c r="H179" s="393"/>
      <x:c r="I179" s="393"/>
      <x:c r="J179" s="393"/>
    </x:row>
    <x:row r="180" ht="21" customHeight="1">
      <x:c r="A180" s="719"/>
      <x:c r="B180" s="1587" t="str">
        <x:v>Rates and taxes</x:v>
      </x:c>
      <x:c r="C180" s="1497"/>
      <x:c r="D180" s="1497"/>
      <x:c r="E180" s="1595"/>
      <x:c r="F180" s="1614"/>
      <x:c r="G180" s="814"/>
      <x:c r="H180" s="393"/>
      <x:c r="I180" s="393"/>
      <x:c r="J180" s="393"/>
    </x:row>
    <x:row r="181" ht="21" customHeight="1">
      <x:c r="A181" s="750"/>
      <x:c r="B181" s="1576" t="str">
        <x:v>Auditor remuneration</x:v>
      </x:c>
      <x:c r="C181" s="1498"/>
      <x:c r="D181" s="1498"/>
      <x:c r="E181" s="1593"/>
      <x:c r="F181" s="1592"/>
      <x:c r="G181" s="813"/>
      <x:c r="H181" s="393"/>
      <x:c r="I181" s="393"/>
      <x:c r="J181" s="393"/>
    </x:row>
    <x:row r="182" ht="21" customHeight="1">
      <x:c r="A182" s="719"/>
      <x:c r="B182" s="1587" t="str">
        <x:v>Professional charges</x:v>
      </x:c>
      <x:c r="C182" s="1497"/>
      <x:c r="D182" s="1497"/>
      <x:c r="E182" s="1595"/>
      <x:c r="F182" s="1614"/>
      <x:c r="G182" s="814"/>
      <x:c r="H182" s="397"/>
      <x:c r="I182" s="397"/>
      <x:c r="J182" s="397"/>
    </x:row>
    <x:row r="183" ht="21" customHeight="1">
      <x:c r="A183" s="750"/>
      <x:c r="B183" s="1576" t="str">
        <x:v>CSR expenditure</x:v>
      </x:c>
      <x:c r="C183" s="1498"/>
      <x:c r="D183" s="1498"/>
      <x:c r="E183" s="1678"/>
      <x:c r="F183" s="1592"/>
      <x:c r="G183" s="813"/>
    </x:row>
    <x:row r="184" ht="21" customHeight="1">
      <x:c r="A184" s="997"/>
      <x:c r="B184" s="1803" t="str">
        <x:v>Other expenses</x:v>
      </x:c>
      <x:c r="C184" s="1806"/>
      <x:c r="D184" s="1806"/>
      <x:c r="E184" s="1807"/>
      <x:c r="F184" s="1808"/>
      <x:c r="G184" s="813"/>
    </x:row>
    <x:row r="185" ht="21" customHeight="1">
      <x:c r="A185" s="750"/>
      <x:c r="B185" s="1605" t="str">
        <x:v>Total Other Expenses</x:v>
      </x:c>
      <x:c r="C185" s="1606" t="str">
        <x:f>IF(COUNT(C175:C184)=0,"",SUM(C175:C184))</x:f>
      </x:c>
      <x:c r="D185" s="1606" t="str">
        <x:f>IF(COUNT(D175:D184)=0,"",SUM(D175:D184))</x:f>
      </x:c>
      <x:c r="E185" s="1681"/>
      <x:c r="F185" s="1606"/>
      <x:c r="G185" s="813"/>
    </x:row>
    <x:row r="186" ht="21" customHeight="1">
      <x:c r="A186" s="750"/>
      <x:c r="B186" s="977"/>
      <x:c r="C186" s="750"/>
      <x:c r="D186" s="750"/>
      <x:c r="E186" s="750"/>
      <x:c r="F186" s="813"/>
      <x:c r="G186" s="813"/>
    </x:row>
    <x:row r="187" ht="21" customHeight="1">
      <x:c r="A187" s="750"/>
      <x:c r="B187" s="977"/>
      <x:c r="C187" s="750"/>
      <x:c r="D187" s="750"/>
      <x:c r="E187" s="750"/>
      <x:c r="F187" s="813"/>
      <x:c r="G187" s="813"/>
    </x:row>
    <x:row r="188" ht="21" customHeight="1">
      <x:c r="A188" s="750"/>
      <x:c r="B188" s="977"/>
      <x:c r="C188" s="750"/>
      <x:c r="D188" s="750"/>
      <x:c r="E188" s="750"/>
      <x:c r="F188" s="813"/>
      <x:c r="G188" s="813"/>
    </x:row>
    <x:row r="189" ht="21" customHeight="1">
      <x:c r="A189" s="750"/>
      <x:c r="B189" s="977"/>
      <x:c r="C189" s="750"/>
      <x:c r="D189" s="750"/>
      <x:c r="E189" s="750"/>
      <x:c r="F189" s="813"/>
      <x:c r="G189" s="813"/>
    </x:row>
    <x:row r="190">
      <x:c r="A190" s="750"/>
      <x:c r="B190" s="977"/>
      <x:c r="C190" s="750"/>
      <x:c r="D190" s="750"/>
      <x:c r="E190" s="750"/>
      <x:c r="F190" s="813"/>
      <x:c r="G190" s="813"/>
    </x:row>
    <x:row r="191">
      <x:c r="A191" s="750"/>
      <x:c r="B191" s="977"/>
      <x:c r="C191" s="750"/>
      <x:c r="D191" s="750"/>
      <x:c r="E191" s="750"/>
      <x:c r="F191" s="813"/>
      <x:c r="G191" s="813"/>
    </x:row>
    <x:row r="192">
      <x:c r="A192" s="750"/>
      <x:c r="B192" s="977"/>
      <x:c r="C192" s="750"/>
      <x:c r="D192" s="750"/>
      <x:c r="E192" s="750"/>
      <x:c r="F192" s="813"/>
      <x:c r="G192" s="813"/>
    </x:row>
    <x:row r="193">
      <x:c r="A193" s="750"/>
      <x:c r="B193" s="977"/>
      <x:c r="C193" s="750"/>
      <x:c r="D193" s="750"/>
      <x:c r="E193" s="750"/>
      <x:c r="F193" s="813"/>
      <x:c r="G193" s="813"/>
    </x:row>
    <x:row r="194">
      <x:c r="A194" s="750"/>
      <x:c r="B194" s="977"/>
      <x:c r="C194" s="750"/>
      <x:c r="D194" s="750"/>
      <x:c r="E194" s="750"/>
      <x:c r="F194" s="813"/>
      <x:c r="G194" s="813"/>
    </x:row>
    <x:row r="195">
      <x:c r="A195" s="750"/>
      <x:c r="B195" s="977"/>
      <x:c r="C195" s="750"/>
      <x:c r="D195" s="750"/>
      <x:c r="E195" s="750"/>
      <x:c r="F195" s="813"/>
      <x:c r="G195" s="813"/>
    </x:row>
    <x:row r="196">
      <x:c r="A196" s="750"/>
      <x:c r="B196" s="977"/>
      <x:c r="C196" s="750"/>
      <x:c r="D196" s="750"/>
      <x:c r="E196" s="750"/>
      <x:c r="F196" s="813"/>
      <x:c r="G196" s="813"/>
    </x:row>
    <x:row r="197">
      <x:c r="A197" s="750"/>
      <x:c r="B197" s="977"/>
      <x:c r="C197" s="750"/>
      <x:c r="D197" s="750"/>
      <x:c r="E197" s="750"/>
      <x:c r="F197" s="813"/>
      <x:c r="G197" s="813"/>
    </x:row>
    <x:row r="198">
      <x:c r="A198" s="750"/>
      <x:c r="B198" s="977"/>
      <x:c r="C198" s="750"/>
      <x:c r="D198" s="750"/>
      <x:c r="E198" s="750"/>
      <x:c r="F198" s="813"/>
      <x:c r="G198" s="813"/>
    </x:row>
    <x:row r="199" ht="14.25" customHeight="1">
      <x:c r="A199" s="719"/>
      <x:c r="B199" s="979"/>
      <x:c r="C199" s="719"/>
      <x:c r="D199" s="719"/>
      <x:c r="E199" s="719"/>
      <x:c r="F199" s="814"/>
      <x:c r="G199" s="814"/>
    </x:row>
    <x:row r="200" ht="14.25" customHeight="1">
      <x:c r="A200" s="750"/>
      <x:c r="B200" s="977"/>
      <x:c r="C200" s="750"/>
      <x:c r="D200" s="750"/>
      <x:c r="E200" s="750"/>
      <x:c r="F200" s="813"/>
      <x:c r="G200" s="813"/>
    </x:row>
    <x:row r="201">
      <x:c r="A201" s="750"/>
      <x:c r="B201" s="977"/>
      <x:c r="C201" s="750"/>
      <x:c r="D201" s="750"/>
      <x:c r="E201" s="750"/>
      <x:c r="F201" s="813"/>
      <x:c r="G201" s="813"/>
    </x:row>
    <x:row r="202">
      <x:c r="A202" s="750"/>
      <x:c r="B202" s="977"/>
      <x:c r="C202" s="750"/>
      <x:c r="D202" s="750"/>
      <x:c r="E202" s="750"/>
      <x:c r="F202" s="813"/>
      <x:c r="G202" s="813"/>
    </x:row>
    <x:row r="203">
      <x:c r="A203" s="750"/>
      <x:c r="B203" s="977"/>
      <x:c r="C203" s="750"/>
      <x:c r="D203" s="750"/>
      <x:c r="E203" s="750"/>
      <x:c r="F203" s="813"/>
      <x:c r="G203" s="813"/>
    </x:row>
    <x:row r="204" ht="14.25" customHeight="1">
      <x:c r="A204" s="719"/>
      <x:c r="B204" s="979"/>
      <x:c r="C204" s="719"/>
      <x:c r="D204" s="719"/>
      <x:c r="E204" s="719"/>
      <x:c r="F204" s="814"/>
      <x:c r="G204" s="814"/>
    </x:row>
    <x:row r="205" ht="14.25" customHeight="1">
      <x:c r="A205" s="750"/>
      <x:c r="B205" s="977"/>
      <x:c r="C205" s="750"/>
      <x:c r="D205" s="750"/>
      <x:c r="E205" s="750"/>
      <x:c r="F205" s="813"/>
      <x:c r="G205" s="813"/>
    </x:row>
    <x:row r="206">
      <x:c r="A206" s="750"/>
      <x:c r="B206" s="977"/>
      <x:c r="C206" s="750"/>
      <x:c r="D206" s="750"/>
      <x:c r="E206" s="750"/>
      <x:c r="F206" s="813"/>
      <x:c r="G206" s="813"/>
    </x:row>
    <x:row r="207">
      <x:c r="A207" s="750"/>
      <x:c r="B207" s="977"/>
      <x:c r="C207" s="750"/>
      <x:c r="D207" s="750"/>
      <x:c r="E207" s="750"/>
      <x:c r="F207" s="813"/>
      <x:c r="G207" s="813"/>
    </x:row>
    <x:row r="208">
      <x:c r="A208" s="750"/>
      <x:c r="B208" s="977"/>
      <x:c r="C208" s="750"/>
      <x:c r="D208" s="750"/>
      <x:c r="E208" s="750"/>
      <x:c r="F208" s="813"/>
      <x:c r="G208" s="813"/>
    </x:row>
    <x:row r="209">
      <x:c r="A209" s="750"/>
      <x:c r="B209" s="977"/>
      <x:c r="C209" s="750"/>
      <x:c r="D209" s="750"/>
      <x:c r="E209" s="750"/>
      <x:c r="F209" s="813"/>
      <x:c r="G209" s="813"/>
    </x:row>
    <x:row r="210">
      <x:c r="A210" s="750"/>
      <x:c r="B210" s="977"/>
      <x:c r="C210" s="750"/>
      <x:c r="D210" s="750"/>
      <x:c r="E210" s="750"/>
      <x:c r="F210" s="813"/>
      <x:c r="G210" s="813"/>
    </x:row>
    <x:row r="211">
      <x:c r="A211" s="750"/>
      <x:c r="B211" s="977"/>
      <x:c r="C211" s="750"/>
      <x:c r="D211" s="750"/>
      <x:c r="E211" s="750"/>
      <x:c r="F211" s="813"/>
      <x:c r="G211" s="813"/>
    </x:row>
    <x:row r="212">
      <x:c r="A212" s="750"/>
      <x:c r="B212" s="977"/>
      <x:c r="C212" s="750"/>
      <x:c r="D212" s="750"/>
      <x:c r="E212" s="750"/>
      <x:c r="F212" s="813"/>
      <x:c r="G212" s="813"/>
    </x:row>
    <x:row r="213">
      <x:c r="A213" s="750"/>
      <x:c r="B213" s="977"/>
      <x:c r="C213" s="750"/>
      <x:c r="D213" s="750"/>
      <x:c r="E213" s="750"/>
      <x:c r="F213" s="813"/>
      <x:c r="G213" s="813"/>
    </x:row>
    <x:row r="214">
      <x:c r="A214" s="750"/>
      <x:c r="B214" s="977"/>
      <x:c r="C214" s="750"/>
      <x:c r="D214" s="750"/>
      <x:c r="E214" s="750"/>
      <x:c r="F214" s="813"/>
      <x:c r="G214" s="813"/>
    </x:row>
    <x:row r="215">
      <x:c r="A215" s="750"/>
      <x:c r="B215" s="977"/>
      <x:c r="C215" s="750"/>
      <x:c r="D215" s="750"/>
      <x:c r="E215" s="750"/>
      <x:c r="F215" s="813"/>
      <x:c r="G215" s="813"/>
    </x:row>
    <x:row r="216">
      <x:c r="A216" s="750"/>
      <x:c r="B216" s="977"/>
      <x:c r="C216" s="750"/>
      <x:c r="D216" s="750"/>
      <x:c r="E216" s="750"/>
      <x:c r="F216" s="813"/>
      <x:c r="G216" s="813"/>
    </x:row>
    <x:row r="217" ht="14.25" customHeight="1">
      <x:c r="A217" s="750"/>
      <x:c r="B217" s="977"/>
      <x:c r="C217" s="750"/>
      <x:c r="D217" s="750"/>
      <x:c r="E217" s="750"/>
      <x:c r="F217" s="813"/>
      <x:c r="G217" s="813"/>
    </x:row>
    <x:row r="218" ht="15" customHeight="1">
      <x:c r="A218" s="719"/>
      <x:c r="B218" s="979"/>
      <x:c r="C218" s="719"/>
      <x:c r="D218" s="719"/>
      <x:c r="E218" s="719"/>
      <x:c r="F218" s="814"/>
      <x:c r="G218" s="814"/>
    </x:row>
    <x:row r="219" ht="14.25" customHeight="1">
      <x:c r="A219" s="750"/>
      <x:c r="B219" s="977"/>
      <x:c r="C219" s="750"/>
      <x:c r="D219" s="750"/>
      <x:c r="E219" s="750"/>
      <x:c r="F219" s="813"/>
      <x:c r="G219" s="813"/>
    </x:row>
    <x:row r="220">
      <x:c r="A220" s="719"/>
      <x:c r="B220" s="979"/>
      <x:c r="C220" s="719"/>
      <x:c r="D220" s="719"/>
      <x:c r="E220" s="719"/>
      <x:c r="F220" s="814"/>
      <x:c r="G220" s="814"/>
    </x:row>
    <x:row r="221">
      <x:c r="A221" s="750"/>
      <x:c r="B221" s="977"/>
      <x:c r="C221" s="750"/>
      <x:c r="D221" s="750"/>
      <x:c r="E221" s="750"/>
      <x:c r="F221" s="813"/>
      <x:c r="G221" s="813"/>
    </x:row>
    <x:row r="222">
      <x:c r="A222" s="750"/>
      <x:c r="B222" s="977"/>
      <x:c r="C222" s="750"/>
      <x:c r="D222" s="750"/>
      <x:c r="E222" s="750"/>
      <x:c r="F222" s="813"/>
      <x:c r="G222" s="813"/>
    </x:row>
    <x:row r="223">
      <x:c r="A223" s="750"/>
      <x:c r="B223" s="977"/>
      <x:c r="C223" s="750"/>
      <x:c r="D223" s="750"/>
      <x:c r="E223" s="750"/>
      <x:c r="F223" s="813"/>
      <x:c r="G223" s="813"/>
    </x:row>
    <x:row r="224">
      <x:c r="A224" s="750"/>
      <x:c r="B224" s="977"/>
      <x:c r="C224" s="750"/>
      <x:c r="D224" s="750"/>
      <x:c r="E224" s="750"/>
      <x:c r="F224" s="813"/>
      <x:c r="G224" s="813"/>
    </x:row>
    <x:row r="225">
      <x:c r="A225" s="750"/>
      <x:c r="B225" s="977"/>
      <x:c r="C225" s="750"/>
      <x:c r="D225" s="750"/>
      <x:c r="E225" s="750"/>
      <x:c r="F225" s="813"/>
      <x:c r="G225" s="813"/>
    </x:row>
    <x:row r="226">
      <x:c r="A226" s="750"/>
      <x:c r="B226" s="977"/>
      <x:c r="C226" s="750"/>
      <x:c r="D226" s="750"/>
      <x:c r="E226" s="750"/>
      <x:c r="F226" s="813"/>
      <x:c r="G226" s="813"/>
    </x:row>
    <x:row r="227" ht="14.25" customHeight="1">
      <x:c r="A227" s="719"/>
      <x:c r="B227" s="979"/>
      <x:c r="C227" s="719"/>
      <x:c r="D227" s="719"/>
      <x:c r="E227" s="719"/>
      <x:c r="F227" s="814"/>
      <x:c r="G227" s="814"/>
    </x:row>
    <x:row r="228" ht="14.25" customHeight="1">
      <x:c r="A228" s="750"/>
      <x:c r="B228" s="977"/>
      <x:c r="C228" s="750"/>
      <x:c r="D228" s="750"/>
      <x:c r="E228" s="750"/>
      <x:c r="F228" s="813"/>
      <x:c r="G228" s="813"/>
    </x:row>
    <x:row r="229">
      <x:c r="A229" s="719"/>
      <x:c r="B229" s="979"/>
      <x:c r="C229" s="719"/>
      <x:c r="D229" s="719"/>
      <x:c r="E229" s="719"/>
      <x:c r="F229" s="814"/>
      <x:c r="G229" s="814"/>
    </x:row>
    <x:row r="230">
      <x:c r="A230" s="750"/>
      <x:c r="B230" s="977"/>
      <x:c r="C230" s="750"/>
      <x:c r="D230" s="750"/>
      <x:c r="E230" s="750"/>
      <x:c r="F230" s="813"/>
      <x:c r="G230" s="813"/>
    </x:row>
    <x:row r="231">
      <x:c r="A231" s="750"/>
      <x:c r="B231" s="977"/>
      <x:c r="C231" s="750"/>
      <x:c r="D231" s="750"/>
      <x:c r="E231" s="750"/>
      <x:c r="F231" s="813"/>
      <x:c r="G231" s="813"/>
    </x:row>
    <x:row r="232">
      <x:c r="A232" s="750"/>
      <x:c r="B232" s="977"/>
      <x:c r="C232" s="750"/>
      <x:c r="D232" s="750"/>
      <x:c r="E232" s="750"/>
      <x:c r="F232" s="813"/>
      <x:c r="G232" s="813"/>
    </x:row>
    <x:row r="233">
      <x:c r="A233" s="750"/>
      <x:c r="B233" s="977"/>
      <x:c r="C233" s="750"/>
      <x:c r="D233" s="750"/>
      <x:c r="E233" s="750"/>
      <x:c r="F233" s="813"/>
      <x:c r="G233" s="813"/>
    </x:row>
    <x:row r="234">
      <x:c r="A234" s="750"/>
      <x:c r="B234" s="977"/>
      <x:c r="C234" s="750"/>
      <x:c r="D234" s="750"/>
      <x:c r="E234" s="750"/>
      <x:c r="F234" s="813"/>
      <x:c r="G234" s="813"/>
    </x:row>
    <x:row r="235">
      <x:c r="A235" s="750"/>
      <x:c r="B235" s="977"/>
      <x:c r="C235" s="750"/>
      <x:c r="D235" s="750"/>
      <x:c r="E235" s="750"/>
      <x:c r="F235" s="813"/>
      <x:c r="G235" s="813"/>
    </x:row>
    <x:row r="236" ht="14.25" customHeight="1">
      <x:c r="A236" s="719"/>
      <x:c r="B236" s="979"/>
      <x:c r="C236" s="719"/>
      <x:c r="D236" s="719"/>
      <x:c r="E236" s="719"/>
      <x:c r="F236" s="814"/>
      <x:c r="G236" s="814"/>
    </x:row>
    <x:row r="237" ht="14.25" customHeight="1">
      <x:c r="A237" s="750"/>
      <x:c r="B237" s="977"/>
      <x:c r="C237" s="750"/>
      <x:c r="D237" s="750"/>
      <x:c r="E237" s="750"/>
      <x:c r="F237" s="813"/>
      <x:c r="G237" s="813"/>
    </x:row>
    <x:row r="238">
      <x:c r="A238" s="719"/>
      <x:c r="B238" s="979"/>
      <x:c r="C238" s="719"/>
      <x:c r="D238" s="719"/>
      <x:c r="E238" s="719"/>
      <x:c r="F238" s="814"/>
      <x:c r="G238" s="814"/>
    </x:row>
    <x:row r="239">
      <x:c r="A239" s="750"/>
      <x:c r="B239" s="977"/>
      <x:c r="C239" s="750"/>
      <x:c r="D239" s="750"/>
      <x:c r="E239" s="750"/>
      <x:c r="F239" s="813"/>
      <x:c r="G239" s="813"/>
    </x:row>
    <x:row r="240">
      <x:c r="A240" s="750"/>
      <x:c r="B240" s="977"/>
      <x:c r="C240" s="750"/>
      <x:c r="D240" s="750"/>
      <x:c r="E240" s="750"/>
      <x:c r="F240" s="813"/>
      <x:c r="G240" s="813"/>
    </x:row>
    <x:row r="241" ht="14.25" customHeight="1">
      <x:c r="A241" s="719"/>
      <x:c r="B241" s="979"/>
      <x:c r="C241" s="719"/>
      <x:c r="D241" s="719"/>
      <x:c r="E241" s="719"/>
      <x:c r="F241" s="814"/>
      <x:c r="G241" s="814"/>
    </x:row>
    <x:row r="242" ht="14.25" customHeight="1">
      <x:c r="A242" s="750"/>
      <x:c r="B242" s="977"/>
      <x:c r="C242" s="750"/>
      <x:c r="D242" s="750"/>
      <x:c r="E242" s="750"/>
      <x:c r="F242" s="813"/>
      <x:c r="G242" s="813"/>
    </x:row>
    <x:row r="243">
      <x:c r="A243" s="719"/>
      <x:c r="B243" s="979"/>
      <x:c r="C243" s="719"/>
      <x:c r="D243" s="719"/>
      <x:c r="E243" s="719"/>
      <x:c r="F243" s="814"/>
      <x:c r="G243" s="814"/>
    </x:row>
    <x:row r="244">
      <x:c r="A244" s="750"/>
      <x:c r="B244" s="977"/>
      <x:c r="C244" s="750"/>
      <x:c r="D244" s="750"/>
      <x:c r="E244" s="750"/>
      <x:c r="F244" s="813"/>
      <x:c r="G244" s="813"/>
    </x:row>
    <x:row r="245">
      <x:c r="A245" s="750"/>
      <x:c r="B245" s="977"/>
      <x:c r="C245" s="750"/>
      <x:c r="D245" s="750"/>
      <x:c r="E245" s="750"/>
      <x:c r="F245" s="813"/>
      <x:c r="G245" s="813"/>
    </x:row>
    <x:row r="246">
      <x:c r="A246" s="750"/>
      <x:c r="B246" s="977"/>
      <x:c r="C246" s="750"/>
      <x:c r="D246" s="750"/>
      <x:c r="E246" s="750"/>
      <x:c r="F246" s="813"/>
      <x:c r="G246" s="813"/>
    </x:row>
    <x:row r="247">
      <x:c r="A247" s="750"/>
      <x:c r="B247" s="977"/>
      <x:c r="C247" s="750"/>
      <x:c r="D247" s="750"/>
      <x:c r="E247" s="750"/>
      <x:c r="F247" s="813"/>
      <x:c r="G247" s="813"/>
    </x:row>
    <x:row r="248">
      <x:c r="A248" s="750"/>
      <x:c r="B248" s="977"/>
      <x:c r="C248" s="750"/>
      <x:c r="D248" s="750"/>
      <x:c r="E248" s="750"/>
      <x:c r="F248" s="813"/>
      <x:c r="G248" s="813"/>
    </x:row>
    <x:row r="249">
      <x:c r="A249" s="750"/>
      <x:c r="B249" s="977"/>
      <x:c r="C249" s="750"/>
      <x:c r="D249" s="750"/>
      <x:c r="E249" s="750"/>
      <x:c r="F249" s="813"/>
      <x:c r="G249" s="813"/>
    </x:row>
    <x:row r="250">
      <x:c r="A250" s="750"/>
      <x:c r="B250" s="977"/>
      <x:c r="C250" s="750"/>
      <x:c r="D250" s="750"/>
      <x:c r="E250" s="750"/>
      <x:c r="F250" s="813"/>
      <x:c r="G250" s="813"/>
    </x:row>
    <x:row r="251">
      <x:c r="A251" s="750"/>
      <x:c r="B251" s="977"/>
      <x:c r="C251" s="750"/>
      <x:c r="D251" s="750"/>
      <x:c r="E251" s="750"/>
      <x:c r="F251" s="813"/>
      <x:c r="G251" s="813"/>
    </x:row>
    <x:row r="252">
      <x:c r="A252" s="750"/>
      <x:c r="B252" s="977"/>
      <x:c r="C252" s="750"/>
      <x:c r="D252" s="750"/>
      <x:c r="E252" s="750"/>
      <x:c r="F252" s="813"/>
      <x:c r="G252" s="813"/>
    </x:row>
    <x:row r="253">
      <x:c r="A253" s="750"/>
      <x:c r="B253" s="977"/>
      <x:c r="C253" s="750"/>
      <x:c r="D253" s="750"/>
      <x:c r="E253" s="750"/>
      <x:c r="F253" s="813"/>
      <x:c r="G253" s="813"/>
    </x:row>
    <x:row r="254">
      <x:c r="A254" s="750"/>
      <x:c r="B254" s="977"/>
      <x:c r="C254" s="750"/>
      <x:c r="D254" s="750"/>
      <x:c r="E254" s="750"/>
      <x:c r="F254" s="813"/>
      <x:c r="G254" s="813"/>
    </x:row>
    <x:row r="255">
      <x:c r="A255" s="750"/>
      <x:c r="B255" s="977"/>
      <x:c r="C255" s="750"/>
      <x:c r="D255" s="750"/>
      <x:c r="E255" s="750"/>
      <x:c r="F255" s="813"/>
      <x:c r="G255" s="813"/>
    </x:row>
    <x:row r="256">
      <x:c r="A256" s="750"/>
      <x:c r="B256" s="977"/>
      <x:c r="C256" s="750"/>
      <x:c r="D256" s="750"/>
      <x:c r="E256" s="750"/>
      <x:c r="F256" s="813"/>
      <x:c r="G256" s="813"/>
    </x:row>
    <x:row r="257">
      <x:c r="A257" s="750"/>
      <x:c r="B257" s="977"/>
      <x:c r="C257" s="750"/>
      <x:c r="D257" s="750"/>
      <x:c r="E257" s="750"/>
      <x:c r="F257" s="813"/>
      <x:c r="G257" s="813"/>
    </x:row>
    <x:row r="258">
      <x:c r="A258" s="750"/>
      <x:c r="B258" s="977"/>
      <x:c r="C258" s="750"/>
      <x:c r="D258" s="750"/>
      <x:c r="E258" s="750"/>
      <x:c r="F258" s="813"/>
      <x:c r="G258" s="813"/>
    </x:row>
    <x:row r="259">
      <x:c r="A259" s="750"/>
      <x:c r="B259" s="977"/>
      <x:c r="C259" s="750"/>
      <x:c r="D259" s="750"/>
      <x:c r="E259" s="750"/>
      <x:c r="F259" s="813"/>
      <x:c r="G259" s="813"/>
    </x:row>
    <x:row r="260">
      <x:c r="A260" s="750"/>
      <x:c r="B260" s="977"/>
      <x:c r="C260" s="750"/>
      <x:c r="D260" s="750"/>
      <x:c r="E260" s="750"/>
      <x:c r="F260" s="813"/>
      <x:c r="G260" s="813"/>
    </x:row>
    <x:row r="261">
      <x:c r="A261" s="750"/>
      <x:c r="B261" s="977"/>
      <x:c r="C261" s="750"/>
      <x:c r="D261" s="750"/>
      <x:c r="E261" s="750"/>
      <x:c r="F261" s="813"/>
      <x:c r="G261" s="813"/>
    </x:row>
    <x:row r="262">
      <x:c r="A262" s="750"/>
      <x:c r="B262" s="977"/>
      <x:c r="C262" s="750"/>
      <x:c r="D262" s="750"/>
      <x:c r="E262" s="750"/>
      <x:c r="F262" s="813"/>
      <x:c r="G262" s="813"/>
    </x:row>
    <x:row r="263">
      <x:c r="A263" s="750"/>
      <x:c r="B263" s="977"/>
      <x:c r="C263" s="750"/>
      <x:c r="D263" s="750"/>
      <x:c r="E263" s="750"/>
      <x:c r="F263" s="813"/>
      <x:c r="G263" s="813"/>
    </x:row>
    <x:row r="264">
      <x:c r="A264" s="750"/>
      <x:c r="B264" s="977"/>
      <x:c r="C264" s="750"/>
      <x:c r="D264" s="750"/>
      <x:c r="E264" s="750"/>
      <x:c r="F264" s="813"/>
      <x:c r="G264" s="813"/>
    </x:row>
    <x:row r="265">
      <x:c r="A265" s="750"/>
      <x:c r="B265" s="977"/>
      <x:c r="C265" s="750"/>
      <x:c r="D265" s="750"/>
      <x:c r="E265" s="750"/>
      <x:c r="F265" s="813"/>
      <x:c r="G265" s="813"/>
    </x:row>
    <x:row r="266">
      <x:c r="A266" s="750"/>
      <x:c r="B266" s="977"/>
      <x:c r="C266" s="750"/>
      <x:c r="D266" s="750"/>
      <x:c r="E266" s="750"/>
      <x:c r="F266" s="813"/>
      <x:c r="G266" s="813"/>
    </x:row>
    <x:row r="267">
      <x:c r="A267" s="750"/>
      <x:c r="B267" s="977"/>
      <x:c r="C267" s="750"/>
      <x:c r="D267" s="750"/>
      <x:c r="E267" s="750"/>
      <x:c r="F267" s="813"/>
      <x:c r="G267" s="813"/>
    </x:row>
    <x:row r="268">
      <x:c r="A268" s="750"/>
      <x:c r="B268" s="977"/>
      <x:c r="C268" s="750"/>
      <x:c r="D268" s="750"/>
      <x:c r="E268" s="750"/>
      <x:c r="F268" s="813"/>
      <x:c r="G268" s="813"/>
    </x:row>
    <x:row r="269">
      <x:c r="A269" s="750"/>
      <x:c r="B269" s="977"/>
      <x:c r="C269" s="750"/>
      <x:c r="D269" s="750"/>
      <x:c r="E269" s="750"/>
      <x:c r="F269" s="813"/>
      <x:c r="G269" s="813"/>
    </x:row>
    <x:row r="270">
      <x:c r="A270" s="750"/>
      <x:c r="B270" s="977"/>
      <x:c r="C270" s="750"/>
      <x:c r="D270" s="750"/>
      <x:c r="E270" s="750"/>
      <x:c r="F270" s="813"/>
      <x:c r="G270" s="813"/>
    </x:row>
    <x:row r="271">
      <x:c r="A271" s="750"/>
      <x:c r="B271" s="977"/>
      <x:c r="C271" s="750"/>
      <x:c r="D271" s="750"/>
      <x:c r="E271" s="750"/>
      <x:c r="F271" s="813"/>
      <x:c r="G271" s="813"/>
    </x:row>
    <x:row r="272" ht="14.25" customHeight="1">
      <x:c r="A272" s="719"/>
      <x:c r="B272" s="979"/>
      <x:c r="C272" s="719"/>
      <x:c r="D272" s="719"/>
      <x:c r="E272" s="719"/>
      <x:c r="F272" s="814"/>
      <x:c r="G272" s="814"/>
    </x:row>
    <x:row r="273" ht="14.25" customHeight="1">
      <x:c r="A273" s="750"/>
      <x:c r="B273" s="977"/>
      <x:c r="C273" s="750"/>
      <x:c r="D273" s="750"/>
      <x:c r="E273" s="750"/>
      <x:c r="F273" s="813"/>
      <x:c r="G273" s="813"/>
    </x:row>
    <x:row r="274">
      <x:c r="A274" s="750"/>
      <x:c r="B274" s="977"/>
      <x:c r="C274" s="750"/>
      <x:c r="D274" s="750"/>
      <x:c r="E274" s="750"/>
      <x:c r="F274" s="813"/>
      <x:c r="G274" s="813"/>
    </x:row>
    <x:row r="275">
      <x:c r="A275" s="750"/>
      <x:c r="B275" s="977"/>
      <x:c r="C275" s="750"/>
      <x:c r="D275" s="750"/>
      <x:c r="E275" s="750"/>
      <x:c r="F275" s="813"/>
      <x:c r="G275" s="813"/>
    </x:row>
    <x:row r="276">
      <x:c r="A276"/>
      <x:c r="B276"/>
      <x:c r="C276"/>
      <x:c r="D276"/>
      <x:c r="E276"/>
      <x:c r="F276"/>
      <x:c r="G276"/>
    </x:row>
    <x:row r="277">
      <x:c r="A277"/>
      <x:c r="B277"/>
      <x:c r="C277"/>
      <x:c r="D277"/>
      <x:c r="E277"/>
      <x:c r="F277"/>
      <x:c r="G277"/>
    </x:row>
    <x:row r="278">
      <x:c r="A278"/>
      <x:c r="B278"/>
      <x:c r="C278"/>
      <x:c r="D278"/>
      <x:c r="E278"/>
      <x:c r="F278"/>
      <x:c r="G278"/>
    </x:row>
    <x:row r="279">
      <x:c r="A279"/>
      <x:c r="B279"/>
      <x:c r="C279"/>
      <x:c r="D279"/>
      <x:c r="E279"/>
      <x:c r="F279"/>
      <x:c r="G279"/>
    </x:row>
    <x:row r="280">
      <x:c r="A280"/>
      <x:c r="B280"/>
      <x:c r="C280"/>
      <x:c r="D280"/>
      <x:c r="E280"/>
      <x:c r="F280"/>
      <x:c r="G280"/>
    </x:row>
    <x:row r="281">
      <x:c r="A281"/>
      <x:c r="B281"/>
      <x:c r="C281"/>
      <x:c r="D281"/>
      <x:c r="E281"/>
      <x:c r="F281"/>
      <x:c r="G281"/>
    </x:row>
    <x:row r="282">
      <x:c r="A282"/>
      <x:c r="B282"/>
      <x:c r="C282"/>
      <x:c r="D282"/>
      <x:c r="E282"/>
      <x:c r="F282"/>
      <x:c r="G282"/>
    </x:row>
    <x:row r="283">
      <x:c r="A283"/>
      <x:c r="B283"/>
      <x:c r="C283"/>
      <x:c r="D283"/>
      <x:c r="E283"/>
      <x:c r="F283"/>
      <x:c r="G283"/>
    </x:row>
    <x:row r="284">
      <x:c r="A284"/>
      <x:c r="B284"/>
      <x:c r="C284"/>
      <x:c r="D284"/>
      <x:c r="E284"/>
      <x:c r="F284"/>
      <x:c r="G284"/>
    </x:row>
    <x:row r="285">
      <x:c r="A285"/>
      <x:c r="B285"/>
      <x:c r="C285"/>
      <x:c r="D285"/>
      <x:c r="E285"/>
      <x:c r="F285"/>
      <x:c r="G285"/>
    </x:row>
    <x:row r="286">
      <x:c r="A286"/>
      <x:c r="B286"/>
      <x:c r="C286"/>
      <x:c r="D286"/>
      <x:c r="E286"/>
      <x:c r="F286"/>
      <x:c r="G286"/>
    </x:row>
    <x:row r="287">
      <x:c r="A287"/>
      <x:c r="B287"/>
      <x:c r="C287"/>
      <x:c r="D287"/>
      <x:c r="E287"/>
      <x:c r="F287"/>
      <x:c r="G287"/>
    </x:row>
    <x:row r="288">
      <x:c r="A288"/>
      <x:c r="B288"/>
      <x:c r="C288"/>
      <x:c r="D288"/>
      <x:c r="E288"/>
      <x:c r="F288"/>
      <x:c r="G288"/>
    </x:row>
    <x:row r="289">
      <x:c r="A289"/>
      <x:c r="B289"/>
      <x:c r="C289"/>
      <x:c r="D289"/>
      <x:c r="E289"/>
      <x:c r="F289"/>
      <x:c r="G289"/>
    </x:row>
    <x:row r="290">
      <x:c r="A290"/>
      <x:c r="B290"/>
      <x:c r="C290"/>
      <x:c r="D290"/>
      <x:c r="E290"/>
      <x:c r="F290"/>
      <x:c r="G290"/>
    </x:row>
    <x:row r="291">
      <x:c r="A291"/>
      <x:c r="B291"/>
      <x:c r="C291"/>
      <x:c r="D291"/>
      <x:c r="E291"/>
      <x:c r="F291"/>
      <x:c r="G291"/>
    </x:row>
    <x:row r="292">
      <x:c r="A292"/>
      <x:c r="B292"/>
      <x:c r="C292"/>
      <x:c r="D292"/>
      <x:c r="E292"/>
      <x:c r="F292"/>
      <x:c r="G292"/>
    </x:row>
    <x:row r="293">
      <x:c r="A293"/>
      <x:c r="B293"/>
      <x:c r="C293"/>
      <x:c r="D293"/>
      <x:c r="E293"/>
      <x:c r="F293"/>
      <x:c r="G293"/>
    </x:row>
    <x:row r="294">
      <x:c r="A294"/>
      <x:c r="B294"/>
      <x:c r="C294"/>
      <x:c r="D294"/>
      <x:c r="E294"/>
      <x:c r="F294"/>
      <x:c r="G294"/>
    </x:row>
    <x:row r="295">
      <x:c r="A295"/>
      <x:c r="B295"/>
      <x:c r="C295"/>
      <x:c r="D295"/>
      <x:c r="E295"/>
      <x:c r="F295"/>
      <x:c r="G295"/>
    </x:row>
    <x:row r="296">
      <x:c r="A296"/>
      <x:c r="B296"/>
      <x:c r="C296"/>
      <x:c r="D296"/>
      <x:c r="E296"/>
      <x:c r="F296"/>
      <x:c r="G296"/>
    </x:row>
    <x:row r="297">
      <x:c r="A297"/>
      <x:c r="B297"/>
      <x:c r="C297"/>
      <x:c r="D297"/>
      <x:c r="E297"/>
      <x:c r="F297"/>
      <x:c r="G297"/>
    </x:row>
    <x:row r="298">
      <x:c r="A298"/>
      <x:c r="B298"/>
      <x:c r="C298"/>
      <x:c r="D298"/>
      <x:c r="E298"/>
      <x:c r="F298"/>
      <x:c r="G298"/>
    </x:row>
    <x:row r="299">
      <x:c r="A299"/>
      <x:c r="B299"/>
      <x:c r="C299"/>
      <x:c r="D299"/>
      <x:c r="E299"/>
      <x:c r="F299"/>
      <x:c r="G299"/>
    </x:row>
    <x:row r="300">
      <x:c r="A300"/>
      <x:c r="B300"/>
      <x:c r="C300"/>
      <x:c r="D300"/>
      <x:c r="E300"/>
      <x:c r="F300"/>
      <x:c r="G300"/>
    </x:row>
    <x:row r="301">
      <x:c r="A301"/>
      <x:c r="B301"/>
      <x:c r="C301"/>
      <x:c r="D301"/>
      <x:c r="E301"/>
      <x:c r="F301"/>
      <x:c r="G301"/>
    </x:row>
    <x:row r="302">
      <x:c r="A302"/>
      <x:c r="B302"/>
      <x:c r="C302"/>
      <x:c r="D302"/>
      <x:c r="E302"/>
      <x:c r="F302"/>
      <x:c r="G302"/>
    </x:row>
    <x:row r="303">
      <x:c r="A303"/>
      <x:c r="B303"/>
      <x:c r="C303"/>
      <x:c r="D303"/>
      <x:c r="E303"/>
      <x:c r="F303"/>
      <x:c r="G303"/>
    </x:row>
  </x:sheetData>
  <x:mergeCells>
    <x:mergeCell ref="B1:F1"/>
    <x:mergeCell ref="B2:F2"/>
    <x:mergeCell ref="B3:F3"/>
    <x:mergeCell ref="B5:F5"/>
    <x:mergeCell ref="B17:F17"/>
    <x:mergeCell ref="B29:F29"/>
    <x:mergeCell ref="B41:F41"/>
    <x:mergeCell ref="B55:F55"/>
    <x:mergeCell ref="B69:F69"/>
    <x:mergeCell ref="B81:F81"/>
    <x:mergeCell ref="B93:F93"/>
    <x:mergeCell ref="B105:F105"/>
    <x:mergeCell ref="B117:F117"/>
    <x:mergeCell ref="B135:F135"/>
    <x:mergeCell ref="B149:F149"/>
    <x:mergeCell ref="B173:F173"/>
    <x:mergeCell ref="B161:F161"/>
  </x:mergeCells>
  <x:pageMargins left="0.7" right="0.7" top="0.75" bottom="0.75" header="0.3" footer="0.3"/>
</x:worksheet>
</file>

<file path=xl/worksheets/sheet8.xml><?xml version="1.0" encoding="utf-8"?>
<x:worksheet xmlns:x="http://schemas.openxmlformats.org/spreadsheetml/2006/main">
  <x:sheetFormatPr defaultRowHeight="15"/>
  <x:cols>
    <x:col min="1" max="1" width="6.449999809265137" hidden="0" customWidth="1"/>
    <x:col min="2" max="2" width="52.81999969482422" hidden="0" customWidth="1"/>
    <x:col min="3" max="3" width="8" hidden="0" customWidth="1"/>
    <x:col min="4" max="4" width="18.540000915527344" hidden="0" customWidth="1"/>
    <x:col min="5" max="5" width="1.1799999475479126" hidden="0" customWidth="1"/>
    <x:col min="6" max="6" width="18.729999542236328" hidden="0" customWidth="1"/>
  </x:cols>
  <x:sheetData>
    <x:row r="1">
      <x:c r="A1" s="386" t="str">
        <x:f>"Name of the Limited Liability Partnership "&amp;'Basic Info'!C13</x:f>
        <x:v>Name of the Limited Liability Partnership </x:v>
      </x:c>
      <x:c r="B1" s="386"/>
      <x:c r="C1" s="386"/>
      <x:c r="D1" s="387"/>
      <x:c r="E1" s="387"/>
      <x:c r="F1" s="387"/>
      <x:c r="M1" s="184"/>
    </x:row>
    <x:row r="2">
      <x:c r="A2" s="386" t="str">
        <x:f>"Balance Sheet as at "&amp;TEXT('Basic Info'!C8,"dd-mmm-yyyy")</x:f>
        <x:v>Balance Sheet as at </x:v>
      </x:c>
      <x:c r="B2" s="386"/>
      <x:c r="C2" s="386"/>
      <x:c r="D2" s="387"/>
      <x:c r="E2" s="387"/>
      <x:c r="F2" s="387"/>
    </x:row>
    <x:row r="3" ht="33" customHeight="1">
      <x:c r="A3" s="378"/>
      <x:c r="B3" s="378"/>
      <x:c r="C3" s="378"/>
      <x:c r="D3" s="389" t="str">
        <x:v>(Amount in Rs. XX)</x:v>
      </x:c>
      <x:c r="E3" s="389"/>
      <x:c r="F3" s="389"/>
    </x:row>
    <x:row r="4" ht="26.25" customHeight="1">
      <x:c r="A4" s="366"/>
      <x:c r="B4" s="366" t="str">
        <x:v>Particulars</x:v>
      </x:c>
      <x:c r="C4" s="366" t="str">
        <x:v> Note</x:v>
      </x:c>
      <x:c r="D4" s="367" t="n">
        <x:f>'Basic Info'!C8</x:f>
        <x:v>0</x:v>
      </x:c>
      <x:c r="E4" s="367"/>
      <x:c r="F4" s="367" t="n">
        <x:f>'Basic Info'!C10</x:f>
        <x:v>0</x:v>
      </x:c>
    </x:row>
    <x:row r="5">
      <x:c r="A5" s="382" t="str">
        <x:v>I</x:v>
      </x:c>
      <x:c r="B5" s="382" t="str">
        <x:v>EQUITY AND LIABILITIES</x:v>
      </x:c>
      <x:c r="C5" s="382"/>
      <x:c r="D5" s="383"/>
      <x:c r="E5" s="383"/>
      <x:c r="F5" s="383"/>
    </x:row>
    <x:row r="6">
      <x:c r="A6" s="382" t="n">
        <x:v>1</x:v>
      </x:c>
      <x:c r="B6" s="382" t="str">
        <x:v>Partners' Funds</x:v>
      </x:c>
      <x:c r="C6" s="382"/>
      <x:c r="D6" s="383"/>
      <x:c r="E6" s="383"/>
      <x:c r="F6" s="383"/>
    </x:row>
    <x:row r="7">
      <x:c r="A7" s="384" t="str">
        <x:v>(a)</x:v>
      </x:c>
      <x:c r="B7" s="384" t="str">
        <x:v>Partners' Capital Account</x:v>
      </x:c>
      <x:c r="C7" s="384"/>
      <x:c r="D7" s="385"/>
      <x:c r="E7" s="385"/>
      <x:c r="F7" s="385"/>
    </x:row>
    <x:row r="8">
      <x:c r="A8" s="384"/>
      <x:c r="B8" s="384" t="str">
        <x:v>(i) Partners' Contribution</x:v>
      </x:c>
      <x:c r="C8" s="384" t="str">
        <x:v>3a</x:v>
      </x:c>
      <x:c r="D8" s="385" t="n">
        <x:v>0</x:v>
      </x:c>
      <x:c r="E8" s="385"/>
      <x:c r="F8" s="385" t="n">
        <x:v>0</x:v>
      </x:c>
    </x:row>
    <x:row r="9">
      <x:c r="A9" s="384"/>
      <x:c r="B9" s="384" t="str">
        <x:v>(ii) Partners' Current Account</x:v>
      </x:c>
      <x:c r="C9" s="384" t="str">
        <x:v>3b</x:v>
      </x:c>
      <x:c r="D9" s="385" t="n">
        <x:v>0</x:v>
      </x:c>
      <x:c r="E9" s="385"/>
      <x:c r="F9" s="385" t="n">
        <x:v>0</x:v>
      </x:c>
    </x:row>
    <x:row r="10">
      <x:c r="A10" s="384" t="str">
        <x:v>(b)</x:v>
      </x:c>
      <x:c r="B10" s="384" t="str">
        <x:v>Reserves and surplus</x:v>
      </x:c>
      <x:c r="C10" s="384" t="n">
        <x:v>4</x:v>
      </x:c>
      <x:c r="D10" s="385" t="n">
        <x:v>0</x:v>
      </x:c>
      <x:c r="E10" s="385"/>
      <x:c r="F10" s="385" t="n">
        <x:v>0</x:v>
      </x:c>
    </x:row>
    <x:row r="11">
      <x:c r="A11" s="384"/>
      <x:c r="B11" s="384"/>
      <x:c r="C11" s="384"/>
      <x:c r="D11" s="385" t="n">
        <x:v>0</x:v>
      </x:c>
      <x:c r="E11" s="385"/>
      <x:c r="F11" s="385" t="n">
        <x:v>0</x:v>
      </x:c>
    </x:row>
    <x:row r="12">
      <x:c r="A12" s="382" t="n">
        <x:v>2</x:v>
      </x:c>
      <x:c r="B12" s="382" t="str">
        <x:v>Non-current liabilities</x:v>
      </x:c>
      <x:c r="C12" s="382"/>
      <x:c r="D12" s="383"/>
      <x:c r="E12" s="383"/>
      <x:c r="F12" s="383"/>
    </x:row>
    <x:row r="13">
      <x:c r="A13" s="384" t="str">
        <x:v>(a)</x:v>
      </x:c>
      <x:c r="B13" s="384" t="str">
        <x:v>Long-term borrowings</x:v>
      </x:c>
      <x:c r="C13" s="384" t="n">
        <x:v>5</x:v>
      </x:c>
      <x:c r="D13" s="385" t="n">
        <x:v>0</x:v>
      </x:c>
      <x:c r="E13" s="385"/>
      <x:c r="F13" s="385" t="n">
        <x:v>0</x:v>
      </x:c>
    </x:row>
    <x:row r="14">
      <x:c r="A14" s="384" t="str">
        <x:v>(b)</x:v>
      </x:c>
      <x:c r="B14" s="384" t="str">
        <x:v>Deferred tax liabilities (Net)</x:v>
      </x:c>
      <x:c r="C14" s="384" t="n">
        <x:v>6</x:v>
      </x:c>
      <x:c r="D14" s="385" t="n">
        <x:v>0</x:v>
      </x:c>
      <x:c r="E14" s="385"/>
      <x:c r="F14" s="385" t="n">
        <x:v>0</x:v>
      </x:c>
    </x:row>
    <x:row r="15">
      <x:c r="A15" s="384" t="str">
        <x:v>(c)</x:v>
      </x:c>
      <x:c r="B15" s="384" t="str">
        <x:v>Other long-term liabilities </x:v>
      </x:c>
      <x:c r="C15" s="384" t="n">
        <x:v>7</x:v>
      </x:c>
      <x:c r="D15" s="385" t="n">
        <x:v>0</x:v>
      </x:c>
      <x:c r="E15" s="385"/>
      <x:c r="F15" s="385" t="n">
        <x:v>0</x:v>
      </x:c>
    </x:row>
    <x:row r="16">
      <x:c r="A16" s="384" t="str">
        <x:v>(d)</x:v>
      </x:c>
      <x:c r="B16" s="384" t="str">
        <x:v>Long-term provisions</x:v>
      </x:c>
      <x:c r="C16" s="384" t="n">
        <x:v>8</x:v>
      </x:c>
      <x:c r="D16" s="385" t="n">
        <x:v>0</x:v>
      </x:c>
      <x:c r="E16" s="385"/>
      <x:c r="F16" s="385" t="n">
        <x:v>0</x:v>
      </x:c>
    </x:row>
    <x:row r="17">
      <x:c r="A17" s="384"/>
      <x:c r="B17" s="384"/>
      <x:c r="C17" s="384"/>
      <x:c r="D17" s="385" t="n">
        <x:v>0</x:v>
      </x:c>
      <x:c r="E17" s="385"/>
      <x:c r="F17" s="385" t="n">
        <x:v>0</x:v>
      </x:c>
    </x:row>
    <x:row r="18">
      <x:c r="A18" s="382" t="n">
        <x:v>3</x:v>
      </x:c>
      <x:c r="B18" s="382" t="str">
        <x:v>Current liabilities</x:v>
      </x:c>
      <x:c r="C18" s="382"/>
      <x:c r="D18" s="383"/>
      <x:c r="E18" s="383"/>
      <x:c r="F18" s="383"/>
    </x:row>
    <x:row r="19">
      <x:c r="A19" s="384" t="str">
        <x:v>(a)</x:v>
      </x:c>
      <x:c r="B19" s="384" t="str">
        <x:v>Short-term borrowings</x:v>
      </x:c>
      <x:c r="C19" s="384" t="n">
        <x:v>5</x:v>
      </x:c>
      <x:c r="D19" s="385" t="n">
        <x:v>0</x:v>
      </x:c>
      <x:c r="E19" s="385"/>
      <x:c r="F19" s="385" t="n">
        <x:v>0</x:v>
      </x:c>
    </x:row>
    <x:row r="20">
      <x:c r="A20" s="384" t="str">
        <x:v>(b)</x:v>
      </x:c>
      <x:c r="B20" s="384" t="str">
        <x:v>Trade payables</x:v>
      </x:c>
      <x:c r="C20" s="384" t="n">
        <x:v>9</x:v>
      </x:c>
      <x:c r="D20" s="385"/>
      <x:c r="E20" s="385"/>
      <x:c r="F20" s="385"/>
    </x:row>
    <x:row r="21">
      <x:c r="A21" s="384" t="str">
        <x:v>(c)</x:v>
      </x:c>
      <x:c r="B21" s="384" t="str">
        <x:v>Other current liabilities</x:v>
      </x:c>
      <x:c r="C21" s="384" t="n">
        <x:v>10</x:v>
      </x:c>
      <x:c r="D21" s="385" t="n">
        <x:v>0</x:v>
      </x:c>
      <x:c r="E21" s="385"/>
      <x:c r="F21" s="385" t="n">
        <x:v>0</x:v>
      </x:c>
    </x:row>
    <x:row r="22">
      <x:c r="A22" s="384" t="str">
        <x:v>(d)</x:v>
      </x:c>
      <x:c r="B22" s="384" t="str">
        <x:v>Short-term provisions</x:v>
      </x:c>
      <x:c r="C22" s="384" t="n">
        <x:v>8</x:v>
      </x:c>
      <x:c r="D22" s="385" t="n">
        <x:v>0</x:v>
      </x:c>
      <x:c r="E22" s="385"/>
      <x:c r="F22" s="385" t="n">
        <x:v>0</x:v>
      </x:c>
    </x:row>
    <x:row r="23">
      <x:c r="A23" s="384"/>
      <x:c r="B23" s="384"/>
      <x:c r="C23" s="384"/>
      <x:c r="D23" s="385" t="n">
        <x:v>0</x:v>
      </x:c>
      <x:c r="E23" s="385"/>
      <x:c r="F23" s="385" t="n">
        <x:v>0</x:v>
      </x:c>
    </x:row>
    <x:row r="24" ht="15.75" customHeight="1">
      <x:c r="A24" s="382"/>
      <x:c r="B24" s="382" t="str">
        <x:v>Total</x:v>
      </x:c>
      <x:c r="C24" s="382"/>
      <x:c r="D24" s="383" t="n">
        <x:v>0</x:v>
      </x:c>
      <x:c r="E24" s="383"/>
      <x:c r="F24" s="383" t="n">
        <x:v>0</x:v>
      </x:c>
    </x:row>
    <x:row r="25" ht="15.75" customHeight="1">
      <x:c r="A25" s="384"/>
      <x:c r="B25" s="384"/>
      <x:c r="C25" s="384"/>
      <x:c r="D25" s="385"/>
      <x:c r="E25" s="385"/>
      <x:c r="F25" s="385"/>
    </x:row>
    <x:row r="26">
      <x:c r="A26" s="382" t="str">
        <x:v>II</x:v>
      </x:c>
      <x:c r="B26" s="382" t="str">
        <x:v>ASSETS</x:v>
      </x:c>
      <x:c r="C26" s="382"/>
      <x:c r="D26" s="383"/>
      <x:c r="E26" s="383"/>
      <x:c r="F26" s="383"/>
    </x:row>
    <x:row r="27">
      <x:c r="A27" s="382" t="n">
        <x:v>1</x:v>
      </x:c>
      <x:c r="B27" s="382" t="str">
        <x:v>Non-current assets</x:v>
      </x:c>
      <x:c r="C27" s="382"/>
      <x:c r="D27" s="383"/>
      <x:c r="E27" s="383"/>
      <x:c r="F27" s="383"/>
    </x:row>
    <x:row r="28">
      <x:c r="A28" s="384" t="str">
        <x:v>(a)</x:v>
      </x:c>
      <x:c r="B28" s="384" t="str">
        <x:v>Property, Plant and Equipment and Intangible assets</x:v>
      </x:c>
      <x:c r="C28" s="384"/>
      <x:c r="D28" s="385"/>
      <x:c r="E28" s="385"/>
      <x:c r="F28" s="385"/>
    </x:row>
    <x:row r="29">
      <x:c r="A29" s="384" t="str">
        <x:v>(i)</x:v>
      </x:c>
      <x:c r="B29" s="384" t="str">
        <x:v>    Property, Plant and Equipment</x:v>
      </x:c>
      <x:c r="C29" s="384" t="n">
        <x:v>11</x:v>
      </x:c>
      <x:c r="D29" s="385" t="n">
        <x:v>0</x:v>
      </x:c>
      <x:c r="E29" s="385"/>
      <x:c r="F29" s="385" t="n">
        <x:v>0</x:v>
      </x:c>
    </x:row>
    <x:row r="30">
      <x:c r="A30" s="384" t="str">
        <x:v>(ii)</x:v>
      </x:c>
      <x:c r="B30" s="384" t="str">
        <x:v>    Intangible assets</x:v>
      </x:c>
      <x:c r="C30" s="384" t="n">
        <x:v>11</x:v>
      </x:c>
      <x:c r="D30" s="385" t="n">
        <x:v>0</x:v>
      </x:c>
      <x:c r="E30" s="385"/>
      <x:c r="F30" s="385" t="n">
        <x:v>0</x:v>
      </x:c>
    </x:row>
    <x:row r="31">
      <x:c r="A31" s="384" t="str">
        <x:v>(iii)</x:v>
      </x:c>
      <x:c r="B31" s="384" t="str">
        <x:v>    Capital work in progess</x:v>
      </x:c>
      <x:c r="C31" s="384" t="n">
        <x:v>11</x:v>
      </x:c>
      <x:c r="D31" s="385" t="n">
        <x:v>0</x:v>
      </x:c>
      <x:c r="E31" s="385"/>
      <x:c r="F31" s="385" t="n">
        <x:v>0</x:v>
      </x:c>
    </x:row>
    <x:row r="32">
      <x:c r="A32" s="384" t="str">
        <x:v>(iv)</x:v>
      </x:c>
      <x:c r="B32" s="384" t="str">
        <x:v>    Intangible asset under development</x:v>
      </x:c>
      <x:c r="C32" s="384" t="n">
        <x:v>11</x:v>
      </x:c>
      <x:c r="D32" s="385" t="n">
        <x:v>0</x:v>
      </x:c>
      <x:c r="E32" s="385"/>
      <x:c r="F32" s="385" t="n">
        <x:v>0</x:v>
      </x:c>
    </x:row>
    <x:row r="33">
      <x:c r="A33" s="384" t="str">
        <x:v>(b)</x:v>
      </x:c>
      <x:c r="B33" s="384" t="str">
        <x:v>Non-current investments</x:v>
      </x:c>
      <x:c r="C33" s="384" t="n">
        <x:v>12</x:v>
      </x:c>
      <x:c r="D33" s="385" t="n">
        <x:v>0</x:v>
      </x:c>
      <x:c r="E33" s="385"/>
      <x:c r="F33" s="385" t="n">
        <x:v>0</x:v>
      </x:c>
    </x:row>
    <x:row r="34">
      <x:c r="A34" s="384" t="str">
        <x:v>(c)</x:v>
      </x:c>
      <x:c r="B34" s="384" t="str">
        <x:v>Deferred tax assets (Net)</x:v>
      </x:c>
      <x:c r="C34" s="384" t="n">
        <x:v>6</x:v>
      </x:c>
      <x:c r="D34" s="385" t="n">
        <x:v>0</x:v>
      </x:c>
      <x:c r="E34" s="385"/>
      <x:c r="F34" s="385" t="n">
        <x:v>0</x:v>
      </x:c>
    </x:row>
    <x:row r="35">
      <x:c r="A35" s="384" t="str">
        <x:v>(d)</x:v>
      </x:c>
      <x:c r="B35" s="384" t="str">
        <x:v>Long Term Loans and Advances</x:v>
      </x:c>
      <x:c r="C35" s="384" t="n">
        <x:v>13</x:v>
      </x:c>
      <x:c r="D35" s="385" t="n">
        <x:v>0</x:v>
      </x:c>
      <x:c r="E35" s="385"/>
      <x:c r="F35" s="385" t="n">
        <x:v>0</x:v>
      </x:c>
    </x:row>
    <x:row r="36">
      <x:c r="A36" s="384" t="str">
        <x:v>(e)</x:v>
      </x:c>
      <x:c r="B36" s="384" t="str">
        <x:v>Other non-current assets</x:v>
      </x:c>
      <x:c r="C36" s="384" t="n">
        <x:v>14</x:v>
      </x:c>
      <x:c r="D36" s="385" t="n">
        <x:v>0</x:v>
      </x:c>
      <x:c r="E36" s="385"/>
      <x:c r="F36" s="385" t="n">
        <x:v>0</x:v>
      </x:c>
    </x:row>
    <x:row r="37">
      <x:c r="A37" s="384"/>
      <x:c r="B37" s="384"/>
      <x:c r="C37" s="384"/>
      <x:c r="D37" s="385" t="n">
        <x:v>0</x:v>
      </x:c>
      <x:c r="E37" s="385"/>
      <x:c r="F37" s="385" t="n">
        <x:v>0</x:v>
      </x:c>
    </x:row>
    <x:row r="38">
      <x:c r="A38" s="382" t="n">
        <x:v>2</x:v>
      </x:c>
      <x:c r="B38" s="382" t="str">
        <x:v>Current assets</x:v>
      </x:c>
      <x:c r="C38" s="382"/>
      <x:c r="D38" s="383"/>
      <x:c r="E38" s="383"/>
      <x:c r="F38" s="383"/>
    </x:row>
    <x:row r="39">
      <x:c r="A39" s="384" t="str">
        <x:v>(a)</x:v>
      </x:c>
      <x:c r="B39" s="384" t="str">
        <x:v>Current investments</x:v>
      </x:c>
      <x:c r="C39" s="384" t="n">
        <x:v>12</x:v>
      </x:c>
      <x:c r="D39" s="385" t="n">
        <x:v>0</x:v>
      </x:c>
      <x:c r="E39" s="385"/>
      <x:c r="F39" s="385" t="n">
        <x:v>0</x:v>
      </x:c>
    </x:row>
    <x:row r="40">
      <x:c r="A40" s="384" t="str">
        <x:v>(b)</x:v>
      </x:c>
      <x:c r="B40" s="384" t="str">
        <x:v>Inventories</x:v>
      </x:c>
      <x:c r="C40" s="384" t="n">
        <x:v>15</x:v>
      </x:c>
      <x:c r="D40" s="385" t="n">
        <x:v>0</x:v>
      </x:c>
      <x:c r="E40" s="385"/>
      <x:c r="F40" s="385" t="n">
        <x:v>0</x:v>
      </x:c>
    </x:row>
    <x:row r="41">
      <x:c r="A41" s="384" t="str">
        <x:v>(c)</x:v>
      </x:c>
      <x:c r="B41" s="384" t="str">
        <x:v>Trade receivables</x:v>
      </x:c>
      <x:c r="C41" s="384" t="n">
        <x:v>16</x:v>
      </x:c>
      <x:c r="D41" s="385" t="n">
        <x:v>0</x:v>
      </x:c>
      <x:c r="E41" s="385"/>
      <x:c r="F41" s="385" t="n">
        <x:v>0</x:v>
      </x:c>
    </x:row>
    <x:row r="42">
      <x:c r="A42" s="384" t="str">
        <x:v>(d)</x:v>
      </x:c>
      <x:c r="B42" s="384" t="str">
        <x:v>Cash and bank balances</x:v>
      </x:c>
      <x:c r="C42" s="384" t="n">
        <x:v>17</x:v>
      </x:c>
      <x:c r="D42" s="385" t="n">
        <x:v>0</x:v>
      </x:c>
      <x:c r="E42" s="385"/>
      <x:c r="F42" s="385" t="n">
        <x:v>0</x:v>
      </x:c>
    </x:row>
    <x:row r="43">
      <x:c r="A43" s="384" t="str">
        <x:v>(e)</x:v>
      </x:c>
      <x:c r="B43" s="384" t="str">
        <x:v>Short Term Loans and Advances </x:v>
      </x:c>
      <x:c r="C43" s="384" t="n">
        <x:v>13</x:v>
      </x:c>
      <x:c r="D43" s="385" t="n">
        <x:v>0</x:v>
      </x:c>
      <x:c r="E43" s="385"/>
      <x:c r="F43" s="385" t="n">
        <x:v>0</x:v>
      </x:c>
    </x:row>
    <x:row r="44">
      <x:c r="A44" s="384" t="str">
        <x:v>(f)</x:v>
      </x:c>
      <x:c r="B44" s="384" t="str">
        <x:v>Other current assets</x:v>
      </x:c>
      <x:c r="C44" s="384" t="n">
        <x:v>18</x:v>
      </x:c>
      <x:c r="D44" s="385" t="n">
        <x:v>0</x:v>
      </x:c>
      <x:c r="E44" s="385"/>
      <x:c r="F44" s="385" t="n">
        <x:v>0</x:v>
      </x:c>
    </x:row>
    <x:row r="45">
      <x:c r="A45" s="384"/>
      <x:c r="B45" s="384"/>
      <x:c r="C45" s="384"/>
      <x:c r="D45" s="385" t="n">
        <x:v>0</x:v>
      </x:c>
      <x:c r="E45" s="385"/>
      <x:c r="F45" s="385" t="n">
        <x:v>0</x:v>
      </x:c>
    </x:row>
    <x:row r="46" ht="15.75" customHeight="1">
      <x:c r="A46" s="382"/>
      <x:c r="B46" s="382" t="str">
        <x:v>Total</x:v>
      </x:c>
      <x:c r="C46" s="382"/>
      <x:c r="D46" s="383" t="n">
        <x:v>0</x:v>
      </x:c>
      <x:c r="E46" s="383"/>
      <x:c r="F46" s="383" t="n">
        <x:v>0</x:v>
      </x:c>
    </x:row>
    <x:row r="47" ht="15.75" customHeight="1">
      <x:c r="A47" s="384"/>
      <x:c r="B47" s="384" t="str">
        <x:v>Brief about the Entity</x:v>
      </x:c>
      <x:c r="C47" s="384" t="n">
        <x:v>1</x:v>
      </x:c>
      <x:c r="D47" s="385"/>
      <x:c r="E47" s="385"/>
      <x:c r="F47" s="385"/>
    </x:row>
    <x:row r="48">
      <x:c r="A48" s="384"/>
      <x:c r="B48" s="384"/>
      <x:c r="C48" s="384"/>
      <x:c r="D48" s="385"/>
      <x:c r="E48" s="385"/>
      <x:c r="F48" s="385"/>
    </x:row>
    <x:row r="49">
      <x:c r="A49" s="384"/>
      <x:c r="B49" s="384" t="str">
        <x:v>Summary of significant accounting policies</x:v>
      </x:c>
      <x:c r="C49" s="384" t="n">
        <x:v>2</x:v>
      </x:c>
      <x:c r="D49" s="385"/>
      <x:c r="E49" s="385"/>
      <x:c r="F49" s="385"/>
    </x:row>
    <x:row r="50">
      <x:c r="A50" s="384"/>
      <x:c r="B50" s="384"/>
      <x:c r="C50" s="384"/>
      <x:c r="D50" s="385"/>
      <x:c r="E50" s="385"/>
      <x:c r="F50" s="385"/>
    </x:row>
    <x:row r="51" ht="30" customHeight="1">
      <x:c r="A51" s="384"/>
      <x:c r="B51" s="384" t="str">
        <x:v>The accompanying notes are an integral part of the financial statements</x:v>
      </x:c>
      <x:c r="C51" s="384"/>
      <x:c r="D51" s="385"/>
      <x:c r="E51" s="385"/>
      <x:c r="F51" s="385"/>
    </x:row>
    <x:row r="53">
      <x:c r="A53" s="79"/>
      <x:c r="B53" s="79"/>
      <x:c r="C53" s="79"/>
      <x:c r="D53" s="79"/>
      <x:c r="E53" s="79"/>
      <x:c r="F53" s="79"/>
    </x:row>
  </x:sheetData>
  <x:mergeCells>
    <x:mergeCell ref="D3:F3"/>
    <x:mergeCell ref="G1:K4"/>
  </x:mergeCells>
  <x:pageMargins left="0.7" right="0.7" top="0.75" bottom="0.75" header="0.3" footer="0.3"/>
</x:worksheet>
</file>

<file path=xl/worksheets/sheet9.xml><?xml version="1.0" encoding="utf-8"?>
<x:worksheet xmlns:x="http://schemas.openxmlformats.org/spreadsheetml/2006/main">
  <x:sheetFormatPr defaultRowHeight="15"/>
  <x:cols>
    <x:col min="1" max="1" width="7.7109375" hidden="0" customWidth="1"/>
    <x:col min="2" max="2" width="15.5703125" hidden="0" customWidth="1"/>
    <x:col min="3" max="3" width="15.5703125" hidden="0" customWidth="1"/>
    <x:col min="4" max="4" width="11.5703125" hidden="0" customWidth="1"/>
    <x:col min="5" max="5" width="14.140625" hidden="0" customWidth="1"/>
    <x:col min="6" max="6" width="15.140625" hidden="0" customWidth="1"/>
    <x:col min="7" max="7" width="15.140625" hidden="0" customWidth="1"/>
    <x:col min="8" max="8" width="15.140625" hidden="0" customWidth="1"/>
    <x:col min="9" max="9" width="15.140625" hidden="0" customWidth="1"/>
    <x:col min="10" max="10" width="19.42578125" hidden="0" customWidth="1"/>
    <x:col min="11" max="11" width="18.42578125" hidden="0" customWidth="1"/>
  </x:cols>
  <x:sheetData>
    <x:row r="1">
      <x:c r="A1" s="392" t="n">
        <x:f>'Basic Info'!C13</x:f>
        <x:v>0</x:v>
      </x:c>
      <x:c r="B1" s="392"/>
      <x:c r="C1" s="393"/>
      <x:c r="D1" s="393"/>
      <x:c r="E1" s="393"/>
      <x:c r="F1" s="393"/>
      <x:c r="G1" s="393"/>
      <x:c r="H1" s="393"/>
      <x:c r="I1" s="393"/>
      <x:c r="J1" s="393"/>
      <x:c r="K1" s="393"/>
      <x:c r="M1" s="184"/>
    </x:row>
    <x:row r="2">
      <x:c r="A2" s="412" t="str">
        <x:f>"Statement of Profit and Loss for the year ended "&amp;TEXT('Basic Info'!C8,"dd-mmm-yyyy")</x:f>
        <x:v>Statement of Profit and Loss for the year ended </x:v>
      </x:c>
      <x:c r="B2" s="412"/>
      <x:c r="C2" s="413"/>
      <x:c r="D2" s="413"/>
      <x:c r="E2" s="413"/>
      <x:c r="F2" s="413"/>
      <x:c r="G2" s="413"/>
      <x:c r="H2" s="413"/>
      <x:c r="I2" s="413"/>
      <x:c r="J2" s="413"/>
      <x:c r="K2" s="413"/>
    </x:row>
    <x:row r="3">
      <x:c r="A3" s="412"/>
      <x:c r="B3" s="412"/>
      <x:c r="C3" s="413"/>
      <x:c r="D3" s="413"/>
      <x:c r="E3" s="413"/>
      <x:c r="F3" s="413"/>
      <x:c r="G3" s="413"/>
      <x:c r="H3" s="413"/>
      <x:c r="I3" s="413"/>
      <x:c r="J3" s="413"/>
      <x:c r="K3" s="413"/>
    </x:row>
    <x:row r="4">
      <x:c r="A4" s="392"/>
      <x:c r="B4" s="392"/>
      <x:c r="C4" s="393"/>
      <x:c r="D4" s="393" t="n">
        <x:f>'Basic Info'!C8</x:f>
        <x:v>0</x:v>
      </x:c>
      <x:c r="E4" s="393"/>
      <x:c r="F4" s="393" t="n">
        <x:f>'Basic Info'!C10</x:f>
        <x:v>0</x:v>
      </x:c>
      <x:c r="G4" s="393"/>
      <x:c r="H4" s="393"/>
      <x:c r="I4" s="393"/>
      <x:c r="J4" s="393"/>
      <x:c r="K4" s="393"/>
    </x:row>
    <x:row r="5">
      <x:c r="A5" s="373"/>
      <x:c r="B5" s="373" t="str">
        <x:v>Particulars</x:v>
      </x:c>
      <x:c r="C5" s="375" t="str">
        <x:v> Note</x:v>
      </x:c>
      <x:c r="D5" s="375" t="str">
        <x:v>31 March 20XX</x:v>
      </x:c>
      <x:c r="E5" s="375"/>
      <x:c r="F5" s="375" t="str">
        <x:v>31 March 20XX</x:v>
      </x:c>
      <x:c r="G5" s="375"/>
      <x:c r="H5" s="375"/>
      <x:c r="I5" s="375"/>
      <x:c r="J5" s="375"/>
      <x:c r="K5" s="375"/>
    </x:row>
    <x:row r="6">
      <x:c r="A6" s="392" t="str">
        <x:v>I</x:v>
      </x:c>
      <x:c r="B6" s="392" t="str">
        <x:v>Revenue from operations</x:v>
      </x:c>
      <x:c r="C6" s="393" t="n">
        <x:v>19</x:v>
      </x:c>
      <x:c r="D6" s="393" t="n">
        <x:v>0</x:v>
      </x:c>
      <x:c r="E6" s="393"/>
      <x:c r="F6" s="393" t="n">
        <x:v>0</x:v>
      </x:c>
      <x:c r="G6" s="393"/>
      <x:c r="H6" s="393"/>
      <x:c r="I6" s="393"/>
      <x:c r="J6" s="393"/>
      <x:c r="K6" s="393"/>
    </x:row>
    <x:row r="7">
      <x:c r="A7" s="392" t="str">
        <x:v>II</x:v>
      </x:c>
      <x:c r="B7" s="392" t="str">
        <x:v>Other Income</x:v>
      </x:c>
      <x:c r="C7" s="393" t="n">
        <x:v>20</x:v>
      </x:c>
      <x:c r="D7" s="393" t="n">
        <x:v>0</x:v>
      </x:c>
      <x:c r="E7" s="393"/>
      <x:c r="F7" s="393" t="n">
        <x:v>0</x:v>
      </x:c>
      <x:c r="G7" s="393"/>
      <x:c r="H7" s="393"/>
      <x:c r="I7" s="393"/>
      <x:c r="J7" s="393"/>
      <x:c r="K7" s="393"/>
    </x:row>
    <x:row r="8" ht="60" customHeight="1">
      <x:c r="A8" s="400" t="str">
        <x:v>III</x:v>
      </x:c>
      <x:c r="B8" s="400" t="str">
        <x:v>Total Income (I+II)</x:v>
      </x:c>
      <x:c r="C8" s="401"/>
      <x:c r="D8" s="401" t="n">
        <x:v>0</x:v>
      </x:c>
      <x:c r="E8" s="401"/>
      <x:c r="F8" s="401" t="n">
        <x:v>0</x:v>
      </x:c>
      <x:c r="G8" s="401"/>
      <x:c r="H8" s="401"/>
      <x:c r="I8" s="401"/>
      <x:c r="J8" s="401"/>
      <x:c r="K8" s="401"/>
    </x:row>
    <x:row r="9">
      <x:c r="A9" s="392"/>
      <x:c r="B9" s="392"/>
      <x:c r="C9" s="393"/>
      <x:c r="D9" s="393"/>
      <x:c r="E9" s="393"/>
      <x:c r="F9" s="393"/>
      <x:c r="G9" s="393"/>
      <x:c r="H9" s="393"/>
      <x:c r="I9" s="393"/>
      <x:c r="J9" s="393"/>
      <x:c r="K9" s="393"/>
    </x:row>
    <x:row r="10">
      <x:c r="A10" s="392" t="str">
        <x:v>IV</x:v>
      </x:c>
      <x:c r="B10" s="392" t="str">
        <x:v>Expenses:</x:v>
      </x:c>
      <x:c r="C10" s="393"/>
      <x:c r="D10" s="393"/>
      <x:c r="E10" s="393"/>
      <x:c r="F10" s="393"/>
      <x:c r="G10" s="393"/>
      <x:c r="H10" s="393"/>
      <x:c r="I10" s="393"/>
      <x:c r="J10" s="393"/>
      <x:c r="K10" s="393"/>
    </x:row>
    <x:row r="11">
      <x:c r="A11" s="392" t="str">
        <x:v>(a)</x:v>
      </x:c>
      <x:c r="B11" s="392" t="str">
        <x:v>Cost of goods sold</x:v>
      </x:c>
      <x:c r="C11" s="393" t="n">
        <x:v>21</x:v>
      </x:c>
      <x:c r="D11" s="393" t="n">
        <x:v>0</x:v>
      </x:c>
      <x:c r="E11" s="393"/>
      <x:c r="F11" s="393" t="n">
        <x:v>0</x:v>
      </x:c>
      <x:c r="G11" s="393"/>
      <x:c r="H11" s="393"/>
      <x:c r="I11" s="393"/>
      <x:c r="J11" s="393"/>
      <x:c r="K11" s="393"/>
    </x:row>
    <x:row r="12">
      <x:c r="A12" s="392" t="str">
        <x:v>(b)</x:v>
      </x:c>
      <x:c r="B12" s="392" t="str">
        <x:v>Employee benefits expense</x:v>
      </x:c>
      <x:c r="C12" s="393" t="n">
        <x:v>22</x:v>
      </x:c>
      <x:c r="D12" s="393" t="n">
        <x:v>0</x:v>
      </x:c>
      <x:c r="E12" s="393"/>
      <x:c r="F12" s="393" t="n">
        <x:v>0</x:v>
      </x:c>
      <x:c r="G12" s="393"/>
      <x:c r="H12" s="393"/>
      <x:c r="I12" s="393"/>
      <x:c r="J12" s="393"/>
      <x:c r="K12" s="393"/>
    </x:row>
    <x:row r="13">
      <x:c r="A13" s="392" t="str">
        <x:v>(c)</x:v>
      </x:c>
      <x:c r="B13" s="392" t="str">
        <x:v>Finance costs</x:v>
      </x:c>
      <x:c r="C13" s="393" t="n">
        <x:v>23</x:v>
      </x:c>
      <x:c r="D13" s="393" t="n">
        <x:v>0</x:v>
      </x:c>
      <x:c r="E13" s="393"/>
      <x:c r="F13" s="393" t="n">
        <x:v>0</x:v>
      </x:c>
      <x:c r="G13" s="393"/>
      <x:c r="H13" s="393"/>
      <x:c r="I13" s="393"/>
      <x:c r="J13" s="393"/>
      <x:c r="K13" s="393"/>
    </x:row>
    <x:row r="14">
      <x:c r="A14" s="398" t="str">
        <x:v>(d)</x:v>
      </x:c>
      <x:c r="B14" s="398" t="str">
        <x:v>Depreciation and amortization expense</x:v>
      </x:c>
      <x:c r="C14" s="399" t="n">
        <x:v>24</x:v>
      </x:c>
      <x:c r="D14" s="399" t="n">
        <x:v>0</x:v>
      </x:c>
      <x:c r="E14" s="399"/>
      <x:c r="F14" s="399" t="n">
        <x:v>0</x:v>
      </x:c>
      <x:c r="G14" s="399"/>
      <x:c r="H14" s="399"/>
      <x:c r="I14" s="399"/>
      <x:c r="J14" s="399"/>
      <x:c r="K14" s="399"/>
    </x:row>
    <x:row r="15">
      <x:c r="A15" s="392" t="str">
        <x:v>(e)</x:v>
      </x:c>
      <x:c r="B15" s="392" t="str">
        <x:v>Other expenses</x:v>
      </x:c>
      <x:c r="C15" s="393" t="n">
        <x:v>25</x:v>
      </x:c>
      <x:c r="D15" s="393" t="n">
        <x:v>0</x:v>
      </x:c>
      <x:c r="E15" s="393"/>
      <x:c r="F15" s="393" t="n">
        <x:v>0</x:v>
      </x:c>
      <x:c r="G15" s="393"/>
      <x:c r="H15" s="393"/>
      <x:c r="I15" s="393"/>
      <x:c r="J15" s="393"/>
      <x:c r="K15" s="393"/>
    </x:row>
    <x:row r="16">
      <x:c r="A16" s="392"/>
      <x:c r="B16" s="392" t="str">
        <x:v>Total expenses</x:v>
      </x:c>
      <x:c r="C16" s="393"/>
      <x:c r="D16" s="393" t="n">
        <x:v>0</x:v>
      </x:c>
      <x:c r="E16" s="393"/>
      <x:c r="F16" s="393" t="n">
        <x:v>0</x:v>
      </x:c>
      <x:c r="G16" s="393"/>
      <x:c r="H16" s="393"/>
      <x:c r="I16" s="393"/>
      <x:c r="J16" s="393"/>
      <x:c r="K16" s="393"/>
    </x:row>
    <x:row r="17">
      <x:c r="A17" s="373"/>
      <x:c r="B17" s="373"/>
      <x:c r="C17" s="375"/>
      <x:c r="D17" s="375"/>
      <x:c r="E17" s="375"/>
      <x:c r="F17" s="375"/>
      <x:c r="G17" s="375"/>
      <x:c r="H17" s="375"/>
      <x:c r="I17" s="375"/>
      <x:c r="J17" s="375"/>
      <x:c r="K17" s="375"/>
    </x:row>
    <x:row r="18">
      <x:c r="A18" s="392" t="str">
        <x:v>V</x:v>
      </x:c>
      <x:c r="B18" s="392" t="str">
        <x:v>Profit/(loss) before exceptional and extraordinary items, partners’ remuneration and tax (III- IV)</x:v>
      </x:c>
      <x:c r="C18" s="393"/>
      <x:c r="D18" s="393" t="n">
        <x:v>0</x:v>
      </x:c>
      <x:c r="E18" s="393"/>
      <x:c r="F18" s="393" t="n">
        <x:v>0</x:v>
      </x:c>
      <x:c r="G18" s="393"/>
      <x:c r="H18" s="393"/>
      <x:c r="I18" s="393"/>
      <x:c r="J18" s="393"/>
      <x:c r="K18" s="393"/>
    </x:row>
    <x:row r="19">
      <x:c r="A19" s="392"/>
      <x:c r="B19" s="392"/>
      <x:c r="C19" s="393"/>
      <x:c r="D19" s="393"/>
      <x:c r="E19" s="393"/>
      <x:c r="F19" s="393"/>
      <x:c r="G19" s="393"/>
      <x:c r="H19" s="393"/>
      <x:c r="I19" s="393"/>
      <x:c r="J19" s="393"/>
      <x:c r="K19" s="393"/>
    </x:row>
    <x:row r="20" ht="60" customHeight="1">
      <x:c r="A20" s="400" t="str">
        <x:v>VI</x:v>
      </x:c>
      <x:c r="B20" s="400" t="str">
        <x:v>Exceptional items (specify nature &amp; provide note/delete if none)</x:v>
      </x:c>
      <x:c r="C20" s="401"/>
      <x:c r="D20" s="401" t="n">
        <x:v>0</x:v>
      </x:c>
      <x:c r="E20" s="401"/>
      <x:c r="F20" s="401" t="n">
        <x:v>0</x:v>
      </x:c>
      <x:c r="G20" s="401"/>
      <x:c r="H20" s="401"/>
      <x:c r="I20" s="401"/>
      <x:c r="J20" s="401"/>
      <x:c r="K20" s="401"/>
    </x:row>
    <x:row r="21">
      <x:c r="A21" s="392"/>
      <x:c r="B21" s="392"/>
      <x:c r="C21" s="393"/>
      <x:c r="D21" s="393"/>
      <x:c r="E21" s="393"/>
      <x:c r="F21" s="393"/>
      <x:c r="G21" s="393"/>
      <x:c r="H21" s="393"/>
      <x:c r="I21" s="393"/>
      <x:c r="J21" s="393"/>
      <x:c r="K21" s="393"/>
    </x:row>
    <x:row r="22">
      <x:c r="A22" s="392" t="str">
        <x:v>VII</x:v>
      </x:c>
      <x:c r="B22" s="392" t="str">
        <x:v>Profit/(loss) before extraordinary items, partners’ remuneration and tax (V-VI)</x:v>
      </x:c>
      <x:c r="C22" s="393"/>
      <x:c r="D22" s="393" t="n">
        <x:v>0</x:v>
      </x:c>
      <x:c r="E22" s="393"/>
      <x:c r="F22" s="393" t="n">
        <x:v>0</x:v>
      </x:c>
      <x:c r="G22" s="393"/>
      <x:c r="H22" s="393"/>
      <x:c r="I22" s="393"/>
      <x:c r="J22" s="393"/>
      <x:c r="K22" s="393"/>
    </x:row>
    <x:row r="23">
      <x:c r="A23" s="392"/>
      <x:c r="B23" s="392"/>
      <x:c r="C23" s="393"/>
      <x:c r="D23" s="393"/>
      <x:c r="E23" s="393"/>
      <x:c r="F23" s="393"/>
      <x:c r="G23" s="393"/>
      <x:c r="H23" s="393"/>
      <x:c r="I23" s="393"/>
      <x:c r="J23" s="393"/>
      <x:c r="K23" s="393"/>
    </x:row>
    <x:row r="24">
      <x:c r="A24" s="392" t="str">
        <x:v>VIII</x:v>
      </x:c>
      <x:c r="B24" s="392" t="str">
        <x:v>Extraordinary Items (specify nature &amp; provide note/delete if none)</x:v>
      </x:c>
      <x:c r="C24" s="393"/>
      <x:c r="D24" s="393" t="n">
        <x:v>0</x:v>
      </x:c>
      <x:c r="E24" s="393"/>
      <x:c r="F24" s="393" t="n">
        <x:v>0</x:v>
      </x:c>
      <x:c r="G24" s="393"/>
      <x:c r="H24" s="393"/>
      <x:c r="I24" s="393"/>
      <x:c r="J24" s="393"/>
      <x:c r="K24" s="393"/>
    </x:row>
    <x:row r="25">
      <x:c r="A25" s="392"/>
      <x:c r="B25" s="392"/>
      <x:c r="C25" s="393"/>
      <x:c r="D25" s="393"/>
      <x:c r="E25" s="393"/>
      <x:c r="F25" s="393"/>
      <x:c r="G25" s="393"/>
      <x:c r="H25" s="393"/>
      <x:c r="I25" s="393"/>
      <x:c r="J25" s="393"/>
      <x:c r="K25" s="393"/>
    </x:row>
    <x:row r="26">
      <x:c r="A26" s="398" t="str">
        <x:v>IX</x:v>
      </x:c>
      <x:c r="B26" s="398" t="str">
        <x:v>Profit before Partners' Remuneration and tax (VII-VIII)</x:v>
      </x:c>
      <x:c r="C26" s="399"/>
      <x:c r="D26" s="399" t="n">
        <x:v>0</x:v>
      </x:c>
      <x:c r="E26" s="399"/>
      <x:c r="F26" s="399" t="n">
        <x:v>0</x:v>
      </x:c>
      <x:c r="G26" s="399"/>
      <x:c r="H26" s="399"/>
      <x:c r="I26" s="399"/>
      <x:c r="J26" s="399"/>
      <x:c r="K26" s="399"/>
    </x:row>
    <x:row r="27">
      <x:c r="A27"/>
      <x:c r="B27"/>
      <x:c r="C27"/>
      <x:c r="D27"/>
      <x:c r="E27"/>
      <x:c r="F27"/>
    </x:row>
    <x:row r="28">
      <x:c r="A28" s="79" t="str">
        <x:v>X</x:v>
      </x:c>
      <x:c r="B28" s="79" t="str">
        <x:v>Partners' Remuneration</x:v>
      </x:c>
      <x:c r="C28" s="79"/>
      <x:c r="D28" s="79" t="n">
        <x:v>0</x:v>
      </x:c>
      <x:c r="E28" s="79"/>
      <x:c r="F28" s="79" t="n">
        <x:v>0</x:v>
      </x:c>
    </x:row>
    <x:row r="29">
      <x:c r="A29"/>
      <x:c r="B29"/>
      <x:c r="C29"/>
      <x:c r="D29"/>
      <x:c r="E29"/>
      <x:c r="F29"/>
    </x:row>
    <x:row r="30">
      <x:c r="A30" t="str">
        <x:v>XI</x:v>
      </x:c>
      <x:c r="B30" t="str">
        <x:v>Profit before Tax (IX-X)</x:v>
      </x:c>
      <x:c r="C30"/>
      <x:c r="D30" t="n">
        <x:v>0</x:v>
      </x:c>
      <x:c r="E30"/>
      <x:c r="F30" t="n">
        <x:v>0</x:v>
      </x:c>
    </x:row>
    <x:row r="31">
      <x:c r="A31"/>
      <x:c r="B31"/>
      <x:c r="C31"/>
      <x:c r="D31"/>
      <x:c r="E31"/>
      <x:c r="F31"/>
    </x:row>
    <x:row r="32">
      <x:c r="A32" t="str">
        <x:v>XII</x:v>
      </x:c>
      <x:c r="B32" t="str">
        <x:v>Tax expense:</x:v>
      </x:c>
      <x:c r="C32"/>
      <x:c r="D32"/>
      <x:c r="E32"/>
      <x:c r="F32"/>
    </x:row>
    <x:row r="33">
      <x:c r="A33" t="str">
        <x:v>(a)</x:v>
      </x:c>
      <x:c r="B33" t="str">
        <x:v>Current tax</x:v>
      </x:c>
      <x:c r="C33"/>
      <x:c r="D33" t="n">
        <x:v>0</x:v>
      </x:c>
      <x:c r="E33"/>
      <x:c r="F33" t="n">
        <x:v>0</x:v>
      </x:c>
    </x:row>
    <x:row r="34">
      <x:c r="A34" t="str">
        <x:v>(b)</x:v>
      </x:c>
      <x:c r="B34" t="str">
        <x:v>Excess/ Short provision of tax relating to earlier years</x:v>
      </x:c>
      <x:c r="C34"/>
      <x:c r="D34" t="n">
        <x:v>0</x:v>
      </x:c>
      <x:c r="E34"/>
      <x:c r="F34" t="n">
        <x:v>0</x:v>
      </x:c>
    </x:row>
    <x:row r="35">
      <x:c r="A35" t="str">
        <x:v>(c)</x:v>
      </x:c>
      <x:c r="B35" t="str">
        <x:v>Deferred tax charge/ (benefit)</x:v>
      </x:c>
      <x:c r="C35" t="n">
        <x:v>6</x:v>
      </x:c>
      <x:c r="D35" t="n">
        <x:v>0</x:v>
      </x:c>
      <x:c r="E35"/>
      <x:c r="F35" t="n">
        <x:v>0</x:v>
      </x:c>
    </x:row>
    <x:row r="36">
      <x:c r="A36"/>
      <x:c r="B36"/>
      <x:c r="C36"/>
      <x:c r="D36" t="n">
        <x:v>0</x:v>
      </x:c>
      <x:c r="E36"/>
      <x:c r="F36" t="n">
        <x:v>0</x:v>
      </x:c>
    </x:row>
    <x:row r="37">
      <x:c r="A37"/>
      <x:c r="B37"/>
      <x:c r="C37"/>
      <x:c r="D37"/>
      <x:c r="E37"/>
      <x:c r="F37"/>
    </x:row>
    <x:row r="38">
      <x:c r="A38" t="str">
        <x:v>XIIII</x:v>
      </x:c>
      <x:c r="B38" t="str">
        <x:v>Profit/(Loss) for the period from continuing operations (XI-XII)</x:v>
      </x:c>
      <x:c r="C38"/>
      <x:c r="D38" t="n">
        <x:v>0</x:v>
      </x:c>
      <x:c r="E38"/>
      <x:c r="F38" t="n">
        <x:v>0</x:v>
      </x:c>
    </x:row>
    <x:row r="39">
      <x:c r="A39" t="str">
        <x:v>XIV</x:v>
      </x:c>
      <x:c r="B39" t="str">
        <x:v>Profit/(loss) from discontinuing operations</x:v>
      </x:c>
      <x:c r="C39"/>
      <x:c r="D39" t="n">
        <x:v>0</x:v>
      </x:c>
      <x:c r="E39"/>
      <x:c r="F39" t="n">
        <x:v>0</x:v>
      </x:c>
    </x:row>
    <x:row r="40">
      <x:c r="A40" t="str">
        <x:v>XV</x:v>
      </x:c>
      <x:c r="B40" t="str">
        <x:v>Tax expense of discontinuing operations</x:v>
      </x:c>
      <x:c r="C40"/>
      <x:c r="D40" t="n">
        <x:v>0</x:v>
      </x:c>
      <x:c r="E40"/>
      <x:c r="F40" t="n">
        <x:v>0</x:v>
      </x:c>
    </x:row>
    <x:row r="41">
      <x:c r="A41"/>
      <x:c r="B41"/>
      <x:c r="C41"/>
      <x:c r="D41"/>
      <x:c r="E41"/>
      <x:c r="F41"/>
    </x:row>
    <x:row r="42">
      <x:c r="A42" t="str">
        <x:v>XVI</x:v>
      </x:c>
      <x:c r="B42" t="str">
        <x:v>Profit/(loss) from discontinuing operations (after tax) (XIV-XV)</x:v>
      </x:c>
      <x:c r="C42"/>
      <x:c r="D42" t="n">
        <x:v>0</x:v>
      </x:c>
      <x:c r="E42"/>
      <x:c r="F42" t="n">
        <x:v>0</x:v>
      </x:c>
    </x:row>
    <x:row r="43">
      <x:c r="A43"/>
      <x:c r="B43"/>
      <x:c r="C43"/>
      <x:c r="D43"/>
      <x:c r="E43"/>
      <x:c r="F43"/>
    </x:row>
    <x:row r="44">
      <x:c r="A44" t="str">
        <x:v>XVII</x:v>
      </x:c>
      <x:c r="B44" t="str">
        <x:v>Profit/(Loss) for the year (XIII+XVI)</x:v>
      </x:c>
      <x:c r="C44"/>
      <x:c r="D44" t="n">
        <x:v>0</x:v>
      </x:c>
      <x:c r="E44"/>
      <x:c r="F44" t="n">
        <x:v>0</x:v>
      </x:c>
    </x:row>
    <x:row r="45">
      <x:c r="A45"/>
      <x:c r="B45"/>
      <x:c r="C45"/>
      <x:c r="D45"/>
      <x:c r="E45"/>
      <x:c r="F45"/>
    </x:row>
    <x:row r="46">
      <x:c r="A46"/>
      <x:c r="B46" t="str">
        <x:v>The accompanying notes are an integral part of the  financial statements</x:v>
      </x:c>
      <x:c r="C46"/>
      <x:c r="D46"/>
      <x:c r="E46"/>
      <x:c r="F46"/>
    </x:row>
    <x:row r="50">
      <x:c r="A50"/>
      <x:c r="B50"/>
      <x:c r="C50"/>
      <x:c r="D50"/>
      <x:c r="E50"/>
      <x:c r="F50"/>
      <x:c r="G50"/>
      <x:c r="H50"/>
      <x:c r="I50"/>
      <x:c r="J50"/>
      <x:c r="K50"/>
    </x:row>
    <x:row r="51">
      <x:c r="A51" t="n">
        <x:f>'Basic Info'!C13</x:f>
        <x:v>0</x:v>
      </x:c>
      <x:c r="B51"/>
      <x:c r="C51"/>
      <x:c r="D51"/>
      <x:c r="E51"/>
      <x:c r="F51"/>
      <x:c r="G51"/>
      <x:c r="H51"/>
      <x:c r="I51"/>
      <x:c r="J51"/>
      <x:c r="K51"/>
    </x:row>
    <x:row r="52">
      <x:c r="A52" t="str">
        <x:f>"Notes forming part of the Financial Statements for the year ended "&amp;TEXT('Basic Info'!C8,"dd-mmm-yyyy")</x:f>
        <x:v>Notes forming part of the Financial Statements for the year ended </x:v>
      </x:c>
      <x:c r="B52"/>
      <x:c r="C52"/>
      <x:c r="D52"/>
      <x:c r="E52"/>
      <x:c r="F52"/>
      <x:c r="G52"/>
      <x:c r="H52"/>
      <x:c r="I52"/>
      <x:c r="J52"/>
      <x:c r="K52"/>
    </x:row>
    <x:row r="53">
      <x:c r="A53"/>
      <x:c r="B53"/>
      <x:c r="C53"/>
      <x:c r="D53"/>
      <x:c r="E53"/>
      <x:c r="F53"/>
      <x:c r="G53"/>
      <x:c r="H53"/>
      <x:c r="I53"/>
      <x:c r="J53"/>
      <x:c r="K53"/>
    </x:row>
    <x:row r="54">
      <x:c r="A54" t="str">
        <x:v>Note - 3a Partners Contribution Account</x:v>
      </x:c>
      <x:c r="B54"/>
      <x:c r="C54"/>
      <x:c r="D54"/>
      <x:c r="E54"/>
      <x:c r="F54"/>
      <x:c r="G54"/>
      <x:c r="H54"/>
      <x:c r="I54"/>
      <x:c r="J54"/>
      <x:c r="K54"/>
    </x:row>
    <x:row r="55">
      <x:c r="A55"/>
      <x:c r="B55"/>
      <x:c r="C55"/>
      <x:c r="D55"/>
      <x:c r="E55"/>
      <x:c r="F55"/>
      <x:c r="G55"/>
      <x:c r="H55"/>
      <x:c r="I55"/>
      <x:c r="J55"/>
      <x:c r="K55"/>
    </x:row>
    <x:row r="56">
      <x:c r="A56"/>
      <x:c r="B56"/>
      <x:c r="C56"/>
      <x:c r="D56"/>
      <x:c r="E56"/>
      <x:c r="F56"/>
      <x:c r="G56"/>
      <x:c r="H56"/>
      <x:c r="I56"/>
      <x:c r="J56"/>
      <x:c r="K56" t="str">
        <x:v>(Amount in Rs.)</x:v>
      </x:c>
    </x:row>
    <x:row r="57">
      <x:c r="A57" t="str">
        <x:v>Sr. No.</x:v>
      </x:c>
      <x:c r="B57" t="str">
        <x:v>Name of Partner</x:v>
      </x:c>
      <x:c r="C57" t="str">
        <x:v>Agreed contribution</x:v>
      </x:c>
      <x:c r="D57" t="str">
        <x:v>Share of profit/ (loss)
 (%)</x:v>
      </x:c>
      <x:c r="E57" t="str">
        <x:v>As at 1st April 20XX (Opening Balance)</x:v>
      </x:c>
      <x:c r="F57" t="str">
        <x:v>Introduced/contributed during the year</x:v>
      </x:c>
      <x:c r="G57" t="str">
        <x:v>Remuneration for the year</x:v>
      </x:c>
      <x:c r="H57" t="str">
        <x:v>Interest for the year</x:v>
      </x:c>
      <x:c r="I57" t="str">
        <x:v>Withdrawals during the year</x:v>
      </x:c>
      <x:c r="J57" t="str">
        <x:v>Share of Profit / Loss for the year</x:v>
      </x:c>
      <x:c r="K57" t="str">
        <x:v>As at 31st March 20XX (Closing Balance)</x:v>
      </x:c>
    </x:row>
    <x:row r="58">
      <x:c r="A58" t="n">
        <x:v>1</x:v>
      </x:c>
      <x:c r="B58"/>
      <x:c r="C58"/>
      <x:c r="D58"/>
      <x:c r="E58"/>
      <x:c r="F58"/>
      <x:c r="G58"/>
      <x:c r="H58"/>
      <x:c r="I58"/>
      <x:c r="J58"/>
      <x:c r="K58" t="n">
        <x:v>0</x:v>
      </x:c>
    </x:row>
    <x:row r="59">
      <x:c r="A59" t="n">
        <x:v>2</x:v>
      </x:c>
      <x:c r="B59"/>
      <x:c r="C59"/>
      <x:c r="D59"/>
      <x:c r="E59"/>
      <x:c r="F59"/>
      <x:c r="G59"/>
      <x:c r="H59"/>
      <x:c r="I59"/>
      <x:c r="J59"/>
      <x:c r="K59" t="n">
        <x:v>0</x:v>
      </x:c>
    </x:row>
    <x:row r="60">
      <x:c r="A60" t="n">
        <x:v>3</x:v>
      </x:c>
      <x:c r="B60"/>
      <x:c r="C60"/>
      <x:c r="D60"/>
      <x:c r="E60"/>
      <x:c r="F60"/>
      <x:c r="G60"/>
      <x:c r="H60"/>
      <x:c r="I60"/>
      <x:c r="J60"/>
      <x:c r="K60" t="n">
        <x:v>0</x:v>
      </x:c>
    </x:row>
    <x:row r="61">
      <x:c r="A61" t="n">
        <x:v>4</x:v>
      </x:c>
      <x:c r="B61"/>
      <x:c r="C61"/>
      <x:c r="D61"/>
      <x:c r="E61"/>
      <x:c r="F61"/>
      <x:c r="G61"/>
      <x:c r="H61"/>
      <x:c r="I61"/>
      <x:c r="J61"/>
      <x:c r="K61" t="n">
        <x:v>0</x:v>
      </x:c>
    </x:row>
    <x:row r="62">
      <x:c r="A62"/>
      <x:c r="B62"/>
      <x:c r="C62"/>
      <x:c r="D62"/>
      <x:c r="E62" t="n">
        <x:v>0</x:v>
      </x:c>
      <x:c r="F62" t="n">
        <x:v>0</x:v>
      </x:c>
      <x:c r="G62" t="n">
        <x:v>0</x:v>
      </x:c>
      <x:c r="H62" t="n">
        <x:v>0</x:v>
      </x:c>
      <x:c r="I62" t="n">
        <x:v>0</x:v>
      </x:c>
      <x:c r="J62" t="n">
        <x:v>0</x:v>
      </x:c>
      <x:c r="K62" t="n">
        <x:v>0</x:v>
      </x:c>
    </x:row>
    <x:row r="63">
      <x:c r="A63" t="str">
        <x:v>Previous Year (PY)</x:v>
      </x:c>
      <x:c r="B63"/>
      <x:c r="C63"/>
      <x:c r="D63"/>
      <x:c r="E63" t="n">
        <x:v>0</x:v>
      </x:c>
      <x:c r="F63" t="n">
        <x:v>0</x:v>
      </x:c>
      <x:c r="G63" t="n">
        <x:v>0</x:v>
      </x:c>
      <x:c r="H63" t="n">
        <x:v>0</x:v>
      </x:c>
      <x:c r="I63" t="n">
        <x:v>0</x:v>
      </x:c>
      <x:c r="J63" t="n">
        <x:v>0</x:v>
      </x:c>
      <x:c r="K63" t="n">
        <x:v>0</x:v>
      </x:c>
    </x:row>
    <x:row r="64">
      <x:c r="A64"/>
      <x:c r="B64"/>
      <x:c r="C64"/>
      <x:c r="D64"/>
      <x:c r="E64"/>
      <x:c r="F64"/>
      <x:c r="G64"/>
      <x:c r="H64"/>
      <x:c r="I64"/>
      <x:c r="J64"/>
      <x:c r="K64"/>
    </x:row>
    <x:row r="65">
      <x:c r="A65"/>
      <x:c r="B65"/>
      <x:c r="C65"/>
      <x:c r="D65"/>
      <x:c r="E65"/>
      <x:c r="F65"/>
      <x:c r="G65"/>
      <x:c r="H65"/>
      <x:c r="I65"/>
      <x:c r="J65"/>
      <x:c r="K65"/>
    </x:row>
    <x:row r="66">
      <x:c r="A66" t="str">
        <x:v>Note - 3b Partners Current Account</x:v>
      </x:c>
      <x:c r="B66"/>
      <x:c r="C66"/>
      <x:c r="D66"/>
      <x:c r="E66"/>
      <x:c r="F66"/>
      <x:c r="G66"/>
      <x:c r="H66"/>
      <x:c r="I66"/>
      <x:c r="J66"/>
      <x:c r="K66"/>
    </x:row>
    <x:row r="67">
      <x:c r="A67"/>
      <x:c r="B67"/>
      <x:c r="C67"/>
      <x:c r="D67"/>
      <x:c r="E67"/>
      <x:c r="F67"/>
      <x:c r="G67"/>
      <x:c r="H67"/>
      <x:c r="I67"/>
      <x:c r="J67"/>
      <x:c r="K67"/>
    </x:row>
    <x:row r="68">
      <x:c r="A68"/>
      <x:c r="B68"/>
      <x:c r="C68"/>
      <x:c r="D68"/>
      <x:c r="E68"/>
      <x:c r="F68"/>
      <x:c r="G68"/>
      <x:c r="H68"/>
      <x:c r="I68"/>
      <x:c r="J68" t="str">
        <x:v>(Amount in Rs.)</x:v>
      </x:c>
      <x:c r="K68"/>
    </x:row>
    <x:row r="69">
      <x:c r="A69" t="str">
        <x:v>Sr. No.</x:v>
      </x:c>
      <x:c r="B69" t="str">
        <x:v>Name of Partner</x:v>
      </x:c>
      <x:c r="C69" t="str">
        <x:v>Share of profit/ (loss)
 (%)</x:v>
      </x:c>
      <x:c r="D69" t="str">
        <x:v>As at 1st April 20XX (Opening Balance)</x:v>
      </x:c>
      <x:c r="E69" t="str">
        <x:v>Introduced/contributed during the year</x:v>
      </x:c>
      <x:c r="F69" t="str">
        <x:v>Remuneration for the year</x:v>
      </x:c>
      <x:c r="G69" t="str">
        <x:v>Interest for the year</x:v>
      </x:c>
      <x:c r="H69" t="str">
        <x:v>Withdrawals during the year</x:v>
      </x:c>
      <x:c r="I69" t="str">
        <x:v>Share of Profit / Loss for the year</x:v>
      </x:c>
      <x:c r="J69" t="str">
        <x:v>As at 31st March 20XX (Closing Balance)</x:v>
      </x:c>
      <x:c r="K69"/>
    </x:row>
    <x:row r="70">
      <x:c r="A70" t="n">
        <x:v>1</x:v>
      </x:c>
      <x:c r="B70"/>
      <x:c r="C70"/>
      <x:c r="D70"/>
      <x:c r="E70"/>
      <x:c r="F70"/>
      <x:c r="G70"/>
      <x:c r="H70"/>
      <x:c r="I70"/>
      <x:c r="J70" t="n">
        <x:v>0</x:v>
      </x:c>
      <x:c r="K70"/>
    </x:row>
    <x:row r="71">
      <x:c r="A71" t="n">
        <x:v>2</x:v>
      </x:c>
      <x:c r="B71"/>
      <x:c r="C71"/>
      <x:c r="D71"/>
      <x:c r="E71"/>
      <x:c r="F71"/>
      <x:c r="G71"/>
      <x:c r="H71"/>
      <x:c r="I71"/>
      <x:c r="J71" t="n">
        <x:v>0</x:v>
      </x:c>
      <x:c r="K71"/>
    </x:row>
    <x:row r="72">
      <x:c r="A72" t="n">
        <x:v>3</x:v>
      </x:c>
      <x:c r="B72"/>
      <x:c r="C72"/>
      <x:c r="D72"/>
      <x:c r="E72"/>
      <x:c r="F72"/>
      <x:c r="G72"/>
      <x:c r="H72"/>
      <x:c r="I72"/>
      <x:c r="J72" t="n">
        <x:v>0</x:v>
      </x:c>
      <x:c r="K72"/>
    </x:row>
    <x:row r="73">
      <x:c r="A73" t="n">
        <x:v>4</x:v>
      </x:c>
      <x:c r="B73"/>
      <x:c r="C73"/>
      <x:c r="D73"/>
      <x:c r="E73"/>
      <x:c r="F73"/>
      <x:c r="G73"/>
      <x:c r="H73"/>
      <x:c r="I73"/>
      <x:c r="J73" t="n">
        <x:v>0</x:v>
      </x:c>
      <x:c r="K73"/>
    </x:row>
    <x:row r="74">
      <x:c r="A74"/>
      <x:c r="B74"/>
      <x:c r="C74"/>
      <x:c r="D74" t="n">
        <x:v>0</x:v>
      </x:c>
      <x:c r="E74" t="n">
        <x:v>0</x:v>
      </x:c>
      <x:c r="F74" t="n">
        <x:v>0</x:v>
      </x:c>
      <x:c r="G74" t="n">
        <x:v>0</x:v>
      </x:c>
      <x:c r="H74" t="n">
        <x:v>0</x:v>
      </x:c>
      <x:c r="I74" t="n">
        <x:v>0</x:v>
      </x:c>
      <x:c r="J74" t="n">
        <x:v>0</x:v>
      </x:c>
      <x:c r="K74"/>
    </x:row>
    <x:row r="75">
      <x:c r="A75" t="str">
        <x:v>Previous Year (PY)</x:v>
      </x:c>
      <x:c r="B75"/>
      <x:c r="C75"/>
      <x:c r="D75" t="n">
        <x:v>0</x:v>
      </x:c>
      <x:c r="E75" t="n">
        <x:v>0</x:v>
      </x:c>
      <x:c r="F75" t="n">
        <x:v>0</x:v>
      </x:c>
      <x:c r="G75" t="n">
        <x:v>0</x:v>
      </x:c>
      <x:c r="H75" t="n">
        <x:v>0</x:v>
      </x:c>
      <x:c r="I75" t="n">
        <x:v>0</x:v>
      </x:c>
      <x:c r="J75" t="n">
        <x:v>0</x:v>
      </x:c>
      <x:c r="K75"/>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5.42578125" hidden="0" customWidth="1"/>
    <x:col min="2" max="2" width="51" hidden="0" customWidth="1"/>
    <x:col min="3" max="3" width="17.140625" hidden="0" customWidth="1"/>
    <x:col min="4" max="4" width="3.28515625" hidden="0" customWidth="1"/>
    <x:col min="5" max="5" width="17.140625" hidden="0" customWidth="1"/>
    <x:col min="6" max="6" width="0.5703125" hidden="0" customWidth="1"/>
    <x:col min="7" max="7" width="17" hidden="0" customWidth="1"/>
    <x:col min="8" max="8" width="1" hidden="0" customWidth="1"/>
    <x:col min="9" max="9" width="17.140625" hidden="0" customWidth="1"/>
    <x:col min="10" max="10" width="16" hidden="0" customWidth="1"/>
    <x:col min="11" max="11" width="15.28515625" hidden="0" customWidth="1"/>
  </x:cols>
  <x:sheetData>
    <x:row r="1">
      <x:c r="A1" s="392"/>
      <x:c r="B1" s="392"/>
      <x:c r="C1" s="393"/>
      <x:c r="D1" s="393"/>
      <x:c r="E1" s="393"/>
      <x:c r="F1" s="393"/>
      <x:c r="G1" s="393"/>
      <x:c r="H1" s="393"/>
      <x:c r="I1" s="393"/>
      <x:c r="J1" s="393"/>
      <x:c r="K1" s="393"/>
      <x:c r="M1" s="184"/>
    </x:row>
    <x:row r="2">
      <x:c r="A2" s="412" t="n">
        <x:f>'Basic Info'!C13</x:f>
        <x:v>0</x:v>
      </x:c>
      <x:c r="B2" s="412"/>
      <x:c r="C2" s="413"/>
      <x:c r="D2" s="413"/>
      <x:c r="E2" s="413"/>
      <x:c r="F2" s="413"/>
      <x:c r="G2" s="413"/>
      <x:c r="H2" s="413"/>
      <x:c r="I2" s="413"/>
      <x:c r="J2" s="413"/>
      <x:c r="K2" s="413"/>
    </x:row>
    <x:row r="3">
      <x:c r="A3" s="412" t="str">
        <x:f>"Notes forming part of the Financial Statements for the year ended "&amp;TEXT('Basic Info'!C8,"dd-mmm-yyyy")</x:f>
        <x:v>Notes forming part of the Financial Statements for the year ended </x:v>
      </x:c>
      <x:c r="B3" s="412"/>
      <x:c r="C3" s="413"/>
      <x:c r="D3" s="413"/>
      <x:c r="E3" s="413"/>
      <x:c r="F3" s="413"/>
      <x:c r="G3" s="413"/>
      <x:c r="H3" s="413"/>
      <x:c r="I3" s="413"/>
      <x:c r="J3" s="413"/>
      <x:c r="K3" s="413"/>
    </x:row>
    <x:row r="4">
      <x:c r="A4" s="392"/>
      <x:c r="B4" s="392"/>
      <x:c r="C4" s="393"/>
      <x:c r="D4" s="393"/>
      <x:c r="E4" s="393"/>
      <x:c r="F4" s="393"/>
      <x:c r="G4" s="393"/>
      <x:c r="H4" s="393"/>
      <x:c r="I4" s="393"/>
      <x:c r="J4" s="393"/>
      <x:c r="K4" s="393"/>
    </x:row>
    <x:row r="5">
      <x:c r="A5" s="392"/>
      <x:c r="B5" s="392"/>
      <x:c r="C5" s="393"/>
      <x:c r="D5" s="393"/>
      <x:c r="E5" s="393"/>
      <x:c r="F5" s="393"/>
      <x:c r="G5" s="393" t="str">
        <x:v>(Amount in Rs.)</x:v>
      </x:c>
      <x:c r="H5" s="393"/>
      <x:c r="I5" s="393"/>
      <x:c r="J5" s="393"/>
      <x:c r="K5" s="393"/>
    </x:row>
    <x:row r="6">
      <x:c r="A6" s="392"/>
      <x:c r="B6" s="392"/>
      <x:c r="C6" s="393"/>
      <x:c r="D6" s="393"/>
      <x:c r="E6" s="393"/>
      <x:c r="F6" s="393"/>
      <x:c r="G6" s="393"/>
      <x:c r="H6" s="393"/>
      <x:c r="I6" s="393"/>
      <x:c r="J6" s="393"/>
      <x:c r="K6" s="393"/>
    </x:row>
    <x:row r="7">
      <x:c r="A7" s="392" t="n">
        <x:v>4</x:v>
      </x:c>
      <x:c r="B7" s="392" t="str">
        <x:v>Reserves and surplus</x:v>
      </x:c>
      <x:c r="C7" s="393"/>
      <x:c r="D7" s="393"/>
      <x:c r="E7" s="393"/>
      <x:c r="F7" s="393"/>
      <x:c r="G7" s="393" t="str">
        <x:v>31 March 20XX</x:v>
      </x:c>
      <x:c r="H7" s="393"/>
      <x:c r="I7" s="393" t="str">
        <x:v>31 March 20XX</x:v>
      </x:c>
      <x:c r="J7" s="393"/>
      <x:c r="K7" s="393"/>
    </x:row>
    <x:row r="8">
      <x:c r="A8" s="392" t="str">
        <x:v>(a)</x:v>
      </x:c>
      <x:c r="B8" s="392" t="str">
        <x:v>Capital Reserve</x:v>
      </x:c>
      <x:c r="C8" s="393"/>
      <x:c r="D8" s="393"/>
      <x:c r="E8" s="393"/>
      <x:c r="F8" s="393"/>
      <x:c r="G8" s="393" t="n">
        <x:v>0</x:v>
      </x:c>
      <x:c r="H8" s="393"/>
      <x:c r="I8" s="393" t="n">
        <x:v>0</x:v>
      </x:c>
      <x:c r="J8" s="393"/>
      <x:c r="K8" s="393"/>
    </x:row>
    <x:row r="9">
      <x:c r="A9" s="392" t="str">
        <x:v>(b)</x:v>
      </x:c>
      <x:c r="B9" s="392" t="str">
        <x:v>Revaluation Reserve</x:v>
      </x:c>
      <x:c r="C9" s="393"/>
      <x:c r="D9" s="393"/>
      <x:c r="E9" s="393"/>
      <x:c r="F9" s="393"/>
      <x:c r="G9" s="393" t="n">
        <x:v>0</x:v>
      </x:c>
      <x:c r="H9" s="393"/>
      <x:c r="I9" s="393" t="n">
        <x:v>0</x:v>
      </x:c>
      <x:c r="J9" s="393"/>
      <x:c r="K9" s="393"/>
    </x:row>
    <x:row r="10">
      <x:c r="A10" s="392" t="str">
        <x:v>(c)</x:v>
      </x:c>
      <x:c r="B10" s="392" t="str">
        <x:v>Other Reserve (Please specify)</x:v>
      </x:c>
      <x:c r="C10" s="393"/>
      <x:c r="D10" s="393"/>
      <x:c r="E10" s="393"/>
      <x:c r="F10" s="393"/>
      <x:c r="G10" s="393" t="n">
        <x:v>0</x:v>
      </x:c>
      <x:c r="H10" s="393"/>
      <x:c r="I10" s="393" t="n">
        <x:v>0</x:v>
      </x:c>
      <x:c r="J10" s="393"/>
      <x:c r="K10" s="393"/>
    </x:row>
    <x:row r="11">
      <x:c r="A11" s="392" t="str">
        <x:v>(d)</x:v>
      </x:c>
      <x:c r="B11" s="392" t="str">
        <x:v>Undistributed Surplus (Balance from statement of profit and loss)</x:v>
      </x:c>
      <x:c r="C11" s="393"/>
      <x:c r="D11" s="393"/>
      <x:c r="E11" s="393"/>
      <x:c r="F11" s="393"/>
      <x:c r="G11" s="393" t="n">
        <x:v>0</x:v>
      </x:c>
      <x:c r="H11" s="393"/>
      <x:c r="I11" s="393" t="n">
        <x:v>0</x:v>
      </x:c>
      <x:c r="J11" s="393"/>
      <x:c r="K11" s="393"/>
    </x:row>
    <x:row r="12" ht="15.75" customHeight="1">
      <x:c r="A12" s="396"/>
      <x:c r="B12" s="396" t="str">
        <x:v>Total</x:v>
      </x:c>
      <x:c r="C12" s="397"/>
      <x:c r="D12" s="397"/>
      <x:c r="E12" s="397"/>
      <x:c r="F12" s="397"/>
      <x:c r="G12" s="397" t="n">
        <x:v>0</x:v>
      </x:c>
      <x:c r="H12" s="397"/>
      <x:c r="I12" s="397" t="n">
        <x:v>0</x:v>
      </x:c>
      <x:c r="J12" s="397"/>
      <x:c r="K12" s="397"/>
    </x:row>
    <x:row r="13" ht="15.75" customHeight="1">
      <x:c r="A13" s="392"/>
      <x:c r="B13" s="392"/>
      <x:c r="C13" s="393"/>
      <x:c r="D13" s="393"/>
      <x:c r="E13" s="393"/>
      <x:c r="F13" s="393"/>
      <x:c r="G13" s="393"/>
      <x:c r="H13" s="393"/>
      <x:c r="I13" s="393"/>
      <x:c r="J13" s="393"/>
      <x:c r="K13" s="393"/>
    </x:row>
    <x:row r="14">
      <x:c r="A14" s="392"/>
      <x:c r="B14" s="392"/>
      <x:c r="C14" s="393"/>
      <x:c r="D14" s="393"/>
      <x:c r="E14" s="393"/>
      <x:c r="F14" s="393"/>
      <x:c r="G14" s="393" t="str">
        <x:v>Long Term</x:v>
      </x:c>
      <x:c r="H14" s="393"/>
      <x:c r="I14" s="393"/>
      <x:c r="J14" s="393" t="str">
        <x:v>Short Term</x:v>
      </x:c>
      <x:c r="K14" s="393"/>
    </x:row>
    <x:row r="15">
      <x:c r="A15" s="392" t="n">
        <x:v>5</x:v>
      </x:c>
      <x:c r="B15" s="392" t="str">
        <x:v>Borrowings</x:v>
      </x:c>
      <x:c r="C15" s="393"/>
      <x:c r="D15" s="393"/>
      <x:c r="E15" s="393"/>
      <x:c r="F15" s="393"/>
      <x:c r="G15" s="393" t="str">
        <x:v>31 March 20XX</x:v>
      </x:c>
      <x:c r="H15" s="393"/>
      <x:c r="I15" s="393" t="str">
        <x:v>31 March 20XX</x:v>
      </x:c>
      <x:c r="J15" s="393" t="str">
        <x:v>31 March 20XX</x:v>
      </x:c>
      <x:c r="K15" s="393" t="str">
        <x:v>31 March 20XX</x:v>
      </x:c>
    </x:row>
    <x:row r="16">
      <x:c r="A16" s="392"/>
      <x:c r="B16" s="392"/>
      <x:c r="C16" s="393"/>
      <x:c r="D16" s="393"/>
      <x:c r="E16" s="393"/>
      <x:c r="F16" s="393"/>
      <x:c r="G16" s="393"/>
      <x:c r="H16" s="393"/>
      <x:c r="I16" s="393"/>
      <x:c r="J16" s="393"/>
      <x:c r="K16" s="393"/>
    </x:row>
    <x:row r="17">
      <x:c r="A17" s="392"/>
      <x:c r="B17" s="392" t="str">
        <x:v>Secured 
</x:v>
      </x:c>
      <x:c r="C17" s="393"/>
      <x:c r="D17" s="393"/>
      <x:c r="E17" s="393"/>
      <x:c r="F17" s="393"/>
      <x:c r="G17" s="393"/>
      <x:c r="H17" s="393"/>
      <x:c r="I17" s="393"/>
      <x:c r="J17" s="393"/>
      <x:c r="K17" s="393"/>
    </x:row>
    <x:row r="18">
      <x:c r="A18" s="392" t="str">
        <x:v>(a)</x:v>
      </x:c>
      <x:c r="B18" s="392" t="str">
        <x:v>Term loans</x:v>
      </x:c>
      <x:c r="C18" s="393"/>
      <x:c r="D18" s="393"/>
      <x:c r="E18" s="393"/>
      <x:c r="F18" s="393"/>
      <x:c r="G18" s="393"/>
      <x:c r="H18" s="393"/>
      <x:c r="I18" s="393"/>
      <x:c r="J18" s="393"/>
      <x:c r="K18" s="393"/>
    </x:row>
    <x:row r="19">
      <x:c r="A19" s="392"/>
      <x:c r="B19" s="392" t="str">
        <x:v>from banks</x:v>
      </x:c>
      <x:c r="C19" s="393"/>
      <x:c r="D19" s="393"/>
      <x:c r="E19" s="393"/>
      <x:c r="F19" s="393"/>
      <x:c r="G19" s="393" t="n">
        <x:v>0</x:v>
      </x:c>
      <x:c r="H19" s="393"/>
      <x:c r="I19" s="393" t="n">
        <x:v>0</x:v>
      </x:c>
      <x:c r="J19" s="393" t="n">
        <x:v>0</x:v>
      </x:c>
      <x:c r="K19" s="393" t="n">
        <x:v>0</x:v>
      </x:c>
    </x:row>
    <x:row r="20">
      <x:c r="A20" s="392"/>
      <x:c r="B20" s="392" t="str">
        <x:v>from other parties</x:v>
      </x:c>
      <x:c r="C20" s="393"/>
      <x:c r="D20" s="393"/>
      <x:c r="E20" s="393"/>
      <x:c r="F20" s="393"/>
      <x:c r="G20" s="393" t="n">
        <x:v>0</x:v>
      </x:c>
      <x:c r="H20" s="393"/>
      <x:c r="I20" s="393" t="n">
        <x:v>0</x:v>
      </x:c>
      <x:c r="J20" s="393" t="n">
        <x:v>0</x:v>
      </x:c>
      <x:c r="K20" s="393" t="n">
        <x:v>0</x:v>
      </x:c>
    </x:row>
    <x:row r="21">
      <x:c r="A21" s="392"/>
      <x:c r="B21" s="392"/>
      <x:c r="C21" s="393"/>
      <x:c r="D21" s="393"/>
      <x:c r="E21" s="393"/>
      <x:c r="F21" s="393"/>
      <x:c r="G21" s="393"/>
      <x:c r="H21" s="393"/>
      <x:c r="I21" s="393"/>
      <x:c r="J21" s="393"/>
      <x:c r="K21" s="393"/>
    </x:row>
    <x:row r="22">
      <x:c r="A22" s="392" t="str">
        <x:v>(b)</x:v>
      </x:c>
      <x:c r="B22" s="392" t="str">
        <x:v>Loans repayable on demand</x:v>
      </x:c>
      <x:c r="C22" s="393"/>
      <x:c r="D22" s="393"/>
      <x:c r="E22" s="393"/>
      <x:c r="F22" s="393"/>
      <x:c r="G22" s="393"/>
      <x:c r="H22" s="393"/>
      <x:c r="I22" s="393"/>
      <x:c r="J22" s="393"/>
      <x:c r="K22" s="393"/>
    </x:row>
    <x:row r="23">
      <x:c r="A23" s="392"/>
      <x:c r="B23" s="392" t="str">
        <x:v>from banks</x:v>
      </x:c>
      <x:c r="C23" s="393"/>
      <x:c r="D23" s="393"/>
      <x:c r="E23" s="393"/>
      <x:c r="F23" s="393"/>
      <x:c r="G23" s="393" t="str">
        <x:v>NA</x:v>
      </x:c>
      <x:c r="H23" s="393"/>
      <x:c r="I23" s="393" t="str">
        <x:v>NA</x:v>
      </x:c>
      <x:c r="J23" s="393" t="n">
        <x:v>0</x:v>
      </x:c>
      <x:c r="K23" s="393" t="n">
        <x:v>0</x:v>
      </x:c>
    </x:row>
    <x:row r="24">
      <x:c r="A24" s="392"/>
      <x:c r="B24" s="392" t="str">
        <x:v>from other parties</x:v>
      </x:c>
      <x:c r="C24" s="393"/>
      <x:c r="D24" s="393"/>
      <x:c r="E24" s="393"/>
      <x:c r="F24" s="393"/>
      <x:c r="G24" s="393" t="str">
        <x:v>NA</x:v>
      </x:c>
      <x:c r="H24" s="393"/>
      <x:c r="I24" s="393" t="str">
        <x:v>NA</x:v>
      </x:c>
      <x:c r="J24" s="393" t="n">
        <x:v>0</x:v>
      </x:c>
      <x:c r="K24" s="393" t="n">
        <x:v>0</x:v>
      </x:c>
    </x:row>
    <x:row r="25">
      <x:c r="A25" s="392"/>
      <x:c r="B25" s="392"/>
      <x:c r="C25" s="393"/>
      <x:c r="D25" s="393"/>
      <x:c r="E25" s="393"/>
      <x:c r="F25" s="393"/>
      <x:c r="G25" s="393"/>
      <x:c r="H25" s="393"/>
      <x:c r="I25" s="393"/>
      <x:c r="J25" s="393"/>
      <x:c r="K25" s="393"/>
    </x:row>
    <x:row r="26">
      <x:c r="A26" s="392" t="str">
        <x:v>(c)</x:v>
      </x:c>
      <x:c r="B26" s="392" t="str">
        <x:v>Deferred payment liabilities</x:v>
      </x:c>
      <x:c r="C26" s="393"/>
      <x:c r="D26" s="393"/>
      <x:c r="E26" s="393"/>
      <x:c r="F26" s="393"/>
      <x:c r="G26" s="393" t="n">
        <x:v>0</x:v>
      </x:c>
      <x:c r="H26" s="393"/>
      <x:c r="I26" s="393" t="n">
        <x:v>0</x:v>
      </x:c>
      <x:c r="J26" s="393" t="n">
        <x:v>0</x:v>
      </x:c>
      <x:c r="K26" s="393" t="n">
        <x:v>0</x:v>
      </x:c>
    </x:row>
    <x:row r="27">
      <x:c r="A27" s="392" t="str">
        <x:v>(d)</x:v>
      </x:c>
      <x:c r="B27" s="392" t="str">
        <x:v>Loans and advances from related parties</x:v>
      </x:c>
      <x:c r="C27" s="393"/>
      <x:c r="D27" s="393"/>
      <x:c r="E27" s="393"/>
      <x:c r="F27" s="393"/>
      <x:c r="G27" s="393" t="n">
        <x:v>0</x:v>
      </x:c>
      <x:c r="H27" s="393"/>
      <x:c r="I27" s="393" t="n">
        <x:v>0</x:v>
      </x:c>
      <x:c r="J27" s="393" t="n">
        <x:v>0</x:v>
      </x:c>
      <x:c r="K27" s="393" t="n">
        <x:v>0</x:v>
      </x:c>
    </x:row>
    <x:row r="28">
      <x:c r="A28" s="392" t="str">
        <x:v>(e)</x:v>
      </x:c>
      <x:c r="B28" s="392" t="str">
        <x:v>Long term/current maturitites of finance lease obligation</x:v>
      </x:c>
      <x:c r="C28" s="393"/>
      <x:c r="D28" s="393"/>
      <x:c r="E28" s="393"/>
      <x:c r="F28" s="393"/>
      <x:c r="G28" s="393" t="n">
        <x:v>0</x:v>
      </x:c>
      <x:c r="H28" s="393"/>
      <x:c r="I28" s="393" t="n">
        <x:v>0</x:v>
      </x:c>
      <x:c r="J28" s="393"/>
      <x:c r="K28" s="393"/>
    </x:row>
    <x:row r="29">
      <x:c r="A29" s="392" t="str">
        <x:v>(f)</x:v>
      </x:c>
      <x:c r="B29" s="392" t="str">
        <x:v>Other loans advances (specify nature)</x:v>
      </x:c>
      <x:c r="C29" s="393"/>
      <x:c r="D29" s="393"/>
      <x:c r="E29" s="393"/>
      <x:c r="F29" s="393"/>
      <x:c r="G29" s="393" t="n">
        <x:v>0</x:v>
      </x:c>
      <x:c r="H29" s="393"/>
      <x:c r="I29" s="393" t="n">
        <x:v>0</x:v>
      </x:c>
      <x:c r="J29" s="393" t="n">
        <x:v>0</x:v>
      </x:c>
      <x:c r="K29" s="393" t="n">
        <x:v>0</x:v>
      </x:c>
    </x:row>
    <x:row r="30">
      <x:c r="A30" s="396"/>
      <x:c r="B30" s="396" t="str">
        <x:v>Total (A)</x:v>
      </x:c>
      <x:c r="C30" s="397"/>
      <x:c r="D30" s="397"/>
      <x:c r="E30" s="397"/>
      <x:c r="F30" s="397"/>
      <x:c r="G30" s="397" t="n">
        <x:v>0</x:v>
      </x:c>
      <x:c r="H30" s="397"/>
      <x:c r="I30" s="397" t="n">
        <x:v>0</x:v>
      </x:c>
      <x:c r="J30" s="397" t="n">
        <x:v>0</x:v>
      </x:c>
      <x:c r="K30" s="397" t="n">
        <x:v>0</x:v>
      </x:c>
    </x:row>
    <x:row r="31">
      <x:c r="A31" s="392"/>
      <x:c r="B31" s="392"/>
      <x:c r="C31" s="393"/>
      <x:c r="D31" s="393"/>
      <x:c r="E31" s="393"/>
      <x:c r="F31" s="393"/>
      <x:c r="G31" s="393"/>
      <x:c r="H31" s="393"/>
      <x:c r="I31" s="393"/>
      <x:c r="J31" s="393"/>
      <x:c r="K31" s="393"/>
    </x:row>
    <x:row r="32">
      <x:c r="A32" s="392"/>
      <x:c r="B32" s="392" t="str">
        <x:v>Unsecured</x:v>
      </x:c>
      <x:c r="C32" s="393"/>
      <x:c r="D32" s="393"/>
      <x:c r="E32" s="393"/>
      <x:c r="F32" s="393"/>
      <x:c r="G32" s="393"/>
      <x:c r="H32" s="393"/>
      <x:c r="I32" s="393"/>
      <x:c r="J32" s="393"/>
      <x:c r="K32" s="393"/>
    </x:row>
    <x:row r="33">
      <x:c r="A33" s="392" t="str">
        <x:v>(a)</x:v>
      </x:c>
      <x:c r="B33" s="392" t="str">
        <x:v>Term loans</x:v>
      </x:c>
      <x:c r="C33" s="393"/>
      <x:c r="D33" s="393"/>
      <x:c r="E33" s="393"/>
      <x:c r="F33" s="393"/>
      <x:c r="G33" s="393"/>
      <x:c r="H33" s="393"/>
      <x:c r="I33" s="393"/>
      <x:c r="J33" s="393"/>
      <x:c r="K33" s="393"/>
    </x:row>
    <x:row r="34">
      <x:c r="A34" s="392"/>
      <x:c r="B34" s="392" t="str">
        <x:v>from banks</x:v>
      </x:c>
      <x:c r="C34" s="393"/>
      <x:c r="D34" s="393"/>
      <x:c r="E34" s="393"/>
      <x:c r="F34" s="393"/>
      <x:c r="G34" s="393" t="n">
        <x:v>0</x:v>
      </x:c>
      <x:c r="H34" s="393"/>
      <x:c r="I34" s="393" t="n">
        <x:v>0</x:v>
      </x:c>
      <x:c r="J34" s="393" t="n">
        <x:v>0</x:v>
      </x:c>
      <x:c r="K34" s="393" t="n">
        <x:v>0</x:v>
      </x:c>
    </x:row>
    <x:row r="35">
      <x:c r="A35" s="392"/>
      <x:c r="B35" s="392" t="str">
        <x:v>from other parties</x:v>
      </x:c>
      <x:c r="C35" s="393"/>
      <x:c r="D35" s="393"/>
      <x:c r="E35" s="393"/>
      <x:c r="F35" s="393"/>
      <x:c r="G35" s="393" t="n">
        <x:v>0</x:v>
      </x:c>
      <x:c r="H35" s="393"/>
      <x:c r="I35" s="393" t="n">
        <x:v>0</x:v>
      </x:c>
      <x:c r="J35" s="393" t="n">
        <x:v>0</x:v>
      </x:c>
      <x:c r="K35" s="393" t="n">
        <x:v>0</x:v>
      </x:c>
    </x:row>
    <x:row r="36">
      <x:c r="A36" s="392"/>
      <x:c r="B36" s="392"/>
      <x:c r="C36" s="393"/>
      <x:c r="D36" s="393"/>
      <x:c r="E36" s="393"/>
      <x:c r="F36" s="393"/>
      <x:c r="G36" s="393"/>
      <x:c r="H36" s="393"/>
      <x:c r="I36" s="393"/>
      <x:c r="J36" s="393"/>
      <x:c r="K36" s="393"/>
    </x:row>
    <x:row r="37">
      <x:c r="A37" s="392" t="str">
        <x:v>(b)</x:v>
      </x:c>
      <x:c r="B37" s="392" t="str">
        <x:v>Loans repayable on demand</x:v>
      </x:c>
      <x:c r="C37" s="393"/>
      <x:c r="D37" s="393"/>
      <x:c r="E37" s="393"/>
      <x:c r="F37" s="393"/>
      <x:c r="G37" s="393"/>
      <x:c r="H37" s="393"/>
      <x:c r="I37" s="393"/>
      <x:c r="J37" s="393"/>
      <x:c r="K37" s="393"/>
    </x:row>
    <x:row r="38">
      <x:c r="A38" s="392"/>
      <x:c r="B38" s="392" t="str">
        <x:v>from banks</x:v>
      </x:c>
      <x:c r="C38" s="393"/>
      <x:c r="D38" s="393"/>
      <x:c r="E38" s="393"/>
      <x:c r="F38" s="393"/>
      <x:c r="G38" s="393" t="str">
        <x:v>NA</x:v>
      </x:c>
      <x:c r="H38" s="393"/>
      <x:c r="I38" s="393" t="str">
        <x:v>NA</x:v>
      </x:c>
      <x:c r="J38" s="393" t="n">
        <x:v>0</x:v>
      </x:c>
      <x:c r="K38" s="393" t="n">
        <x:v>0</x:v>
      </x:c>
    </x:row>
    <x:row r="39">
      <x:c r="A39" s="392"/>
      <x:c r="B39" s="392" t="str">
        <x:v>from other parties</x:v>
      </x:c>
      <x:c r="C39" s="393"/>
      <x:c r="D39" s="393"/>
      <x:c r="E39" s="393"/>
      <x:c r="F39" s="393"/>
      <x:c r="G39" s="393" t="str">
        <x:v>NA</x:v>
      </x:c>
      <x:c r="H39" s="393"/>
      <x:c r="I39" s="393" t="str">
        <x:v>NA</x:v>
      </x:c>
      <x:c r="J39" s="393" t="n">
        <x:v>0</x:v>
      </x:c>
      <x:c r="K39" s="393" t="n">
        <x:v>0</x:v>
      </x:c>
    </x:row>
    <x:row r="40">
      <x:c r="A40" s="392"/>
      <x:c r="B40" s="392"/>
      <x:c r="C40" s="393"/>
      <x:c r="D40" s="393"/>
      <x:c r="E40" s="393"/>
      <x:c r="F40" s="393"/>
      <x:c r="G40" s="393"/>
      <x:c r="H40" s="393"/>
      <x:c r="I40" s="393"/>
      <x:c r="J40" s="393"/>
      <x:c r="K40" s="393"/>
    </x:row>
    <x:row r="41">
      <x:c r="A41" s="392" t="str">
        <x:v>(c)</x:v>
      </x:c>
      <x:c r="B41" s="392" t="str">
        <x:v>Deferred payment liabilities </x:v>
      </x:c>
      <x:c r="C41" s="393"/>
      <x:c r="D41" s="393"/>
      <x:c r="E41" s="393"/>
      <x:c r="F41" s="393"/>
      <x:c r="G41" s="393" t="n">
        <x:v>0</x:v>
      </x:c>
      <x:c r="H41" s="393"/>
      <x:c r="I41" s="393" t="n">
        <x:v>0</x:v>
      </x:c>
      <x:c r="J41" s="393" t="n">
        <x:v>0</x:v>
      </x:c>
      <x:c r="K41" s="393" t="n">
        <x:v>0</x:v>
      </x:c>
    </x:row>
    <x:row r="42">
      <x:c r="A42" s="392" t="str">
        <x:v>(d)</x:v>
      </x:c>
      <x:c r="B42" s="392" t="str">
        <x:v>Loans and advances from related parties</x:v>
      </x:c>
      <x:c r="C42" s="393"/>
      <x:c r="D42" s="393"/>
      <x:c r="E42" s="393"/>
      <x:c r="F42" s="393"/>
      <x:c r="G42" s="393" t="n">
        <x:v>0</x:v>
      </x:c>
      <x:c r="H42" s="393"/>
      <x:c r="I42" s="393" t="n">
        <x:v>0</x:v>
      </x:c>
      <x:c r="J42" s="393" t="n">
        <x:v>0</x:v>
      </x:c>
      <x:c r="K42" s="393" t="n">
        <x:v>0</x:v>
      </x:c>
    </x:row>
    <x:row r="43">
      <x:c r="A43" s="392" t="str">
        <x:v>(e)</x:v>
      </x:c>
      <x:c r="B43" s="392" t="str">
        <x:v>Long term/current maturitites of finance lease obligation</x:v>
      </x:c>
      <x:c r="C43" s="393"/>
      <x:c r="D43" s="393"/>
      <x:c r="E43" s="393"/>
      <x:c r="F43" s="393"/>
      <x:c r="G43" s="393" t="n">
        <x:v>0</x:v>
      </x:c>
      <x:c r="H43" s="393"/>
      <x:c r="I43" s="393" t="n">
        <x:v>0</x:v>
      </x:c>
      <x:c r="J43" s="393" t="n">
        <x:v>0</x:v>
      </x:c>
      <x:c r="K43" s="393" t="n">
        <x:v>0</x:v>
      </x:c>
    </x:row>
    <x:row r="44">
      <x:c r="A44" s="392" t="str">
        <x:v>(f)</x:v>
      </x:c>
      <x:c r="B44" s="392" t="str">
        <x:v>Other loans advances (specify nature)</x:v>
      </x:c>
      <x:c r="C44" s="393"/>
      <x:c r="D44" s="393"/>
      <x:c r="E44" s="393"/>
      <x:c r="F44" s="393"/>
      <x:c r="G44" s="393" t="n">
        <x:v>0</x:v>
      </x:c>
      <x:c r="H44" s="393"/>
      <x:c r="I44" s="393" t="n">
        <x:v>0</x:v>
      </x:c>
      <x:c r="J44" s="393" t="n">
        <x:v>0</x:v>
      </x:c>
      <x:c r="K44" s="393" t="n">
        <x:v>0</x:v>
      </x:c>
    </x:row>
    <x:row r="45">
      <x:c r="A45" s="396"/>
      <x:c r="B45" s="396" t="str">
        <x:v>Total (B)</x:v>
      </x:c>
      <x:c r="C45" s="397"/>
      <x:c r="D45" s="397"/>
      <x:c r="E45" s="397"/>
      <x:c r="F45" s="397"/>
      <x:c r="G45" s="397" t="n">
        <x:v>0</x:v>
      </x:c>
      <x:c r="H45" s="397"/>
      <x:c r="I45" s="397" t="n">
        <x:v>0</x:v>
      </x:c>
      <x:c r="J45" s="397" t="n">
        <x:v>0</x:v>
      </x:c>
      <x:c r="K45" s="397" t="n">
        <x:v>0</x:v>
      </x:c>
    </x:row>
    <x:row r="46" ht="6" customHeight="1">
      <x:c r="A46" s="392"/>
      <x:c r="B46" s="392"/>
      <x:c r="C46" s="393"/>
      <x:c r="D46" s="393"/>
      <x:c r="E46" s="393"/>
      <x:c r="F46" s="393"/>
      <x:c r="G46" s="393"/>
      <x:c r="H46" s="393"/>
      <x:c r="I46" s="393"/>
      <x:c r="J46" s="393"/>
      <x:c r="K46" s="393"/>
    </x:row>
    <x:row r="47" ht="15.75" customHeight="1">
      <x:c r="A47" s="396"/>
      <x:c r="B47" s="396" t="str">
        <x:v>Total (A) + (B)</x:v>
      </x:c>
      <x:c r="C47" s="397"/>
      <x:c r="D47" s="397"/>
      <x:c r="E47" s="397"/>
      <x:c r="F47" s="397"/>
      <x:c r="G47" s="397" t="n">
        <x:v>0</x:v>
      </x:c>
      <x:c r="H47" s="397"/>
      <x:c r="I47" s="397" t="n">
        <x:v>0</x:v>
      </x:c>
      <x:c r="J47" s="397" t="n">
        <x:v>0</x:v>
      </x:c>
      <x:c r="K47" s="397" t="n">
        <x:v>0</x:v>
      </x:c>
    </x:row>
    <x:row r="48" ht="15.75" customHeight="1">
      <x:c r="A48" s="392"/>
      <x:c r="B48" s="392" t="str">
        <x:v>Foot Note:</x:v>
      </x:c>
      <x:c r="C48" s="393"/>
      <x:c r="D48" s="393"/>
      <x:c r="E48" s="393"/>
      <x:c r="F48" s="393"/>
      <x:c r="G48" s="393"/>
      <x:c r="H48" s="393"/>
      <x:c r="I48" s="393"/>
      <x:c r="J48" s="393"/>
      <x:c r="K48" s="393"/>
    </x:row>
    <x:row r="49">
      <x:c r="A49" s="392" t="str">
        <x:v>(i)</x:v>
      </x:c>
      <x:c r="B49" s="392" t="str">
        <x:v>Nature of the Security to be specified separately.</x:v>
      </x:c>
      <x:c r="C49" s="393"/>
      <x:c r="D49" s="393"/>
      <x:c r="E49" s="393"/>
      <x:c r="F49" s="393"/>
      <x:c r="G49" s="393"/>
      <x:c r="H49" s="393"/>
      <x:c r="I49" s="393"/>
      <x:c r="J49" s="393"/>
      <x:c r="K49" s="393"/>
    </x:row>
    <x:row r="50">
      <x:c r="A50" s="392" t="str">
        <x:v>(ii)</x:v>
      </x:c>
      <x:c r="B50" s="392" t="str">
        <x:v>Terms of repayment of terms loans and other loans shall be stated.</x:v>
      </x:c>
      <x:c r="C50" s="393"/>
      <x:c r="D50" s="393"/>
      <x:c r="E50" s="393"/>
      <x:c r="F50" s="393"/>
      <x:c r="G50" s="393"/>
      <x:c r="H50" s="393"/>
      <x:c r="I50" s="393"/>
      <x:c r="J50" s="393"/>
      <x:c r="K50" s="393"/>
    </x:row>
    <x:row r="51">
      <x:c r="A51" s="392" t="str">
        <x:v>(iii)</x:v>
      </x:c>
      <x:c r="B51" s="392" t="str">
        <x:v>Where loans guranteed by partners aggregate of such amount under each head shall be disclosed.</x:v>
      </x:c>
      <x:c r="C51" s="393"/>
      <x:c r="D51" s="393"/>
      <x:c r="E51" s="393"/>
      <x:c r="F51" s="393"/>
      <x:c r="G51" s="393"/>
      <x:c r="H51" s="393"/>
      <x:c r="I51" s="393"/>
      <x:c r="J51" s="393"/>
      <x:c r="K51" s="393"/>
    </x:row>
    <x:row r="52" ht="6.75" customHeight="1">
      <x:c r="A52" s="392"/>
      <x:c r="B52" s="392"/>
      <x:c r="C52" s="393"/>
      <x:c r="D52" s="393"/>
      <x:c r="E52" s="393"/>
      <x:c r="F52" s="393"/>
      <x:c r="G52" s="393"/>
      <x:c r="H52" s="393"/>
      <x:c r="I52" s="393"/>
      <x:c r="J52" s="393"/>
      <x:c r="K52" s="393"/>
    </x:row>
    <x:row r="53">
      <x:c r="A53" s="392"/>
      <x:c r="B53" s="392"/>
      <x:c r="C53" s="393"/>
      <x:c r="D53" s="393"/>
      <x:c r="E53" s="393"/>
      <x:c r="F53" s="393"/>
      <x:c r="G53" s="393"/>
      <x:c r="H53" s="393"/>
      <x:c r="I53" s="393"/>
      <x:c r="J53" s="393"/>
      <x:c r="K53" s="393"/>
    </x:row>
    <x:row r="54" ht="30" customHeight="1">
      <x:c r="A54" s="392" t="n">
        <x:v>6</x:v>
      </x:c>
      <x:c r="B54" s="392" t="str">
        <x:v>Deferred tax liabilities/(asset) (Net)</x:v>
      </x:c>
      <x:c r="C54" s="393"/>
      <x:c r="D54" s="393"/>
      <x:c r="E54" s="393" t="str">
        <x:v>31 March 20XX</x:v>
      </x:c>
      <x:c r="F54" s="393"/>
      <x:c r="G54" s="393" t="str">
        <x:v>Charge/ (benefit) for the year</x:v>
      </x:c>
      <x:c r="H54" s="393"/>
      <x:c r="I54" s="393" t="str">
        <x:v>31 March 20XX</x:v>
      </x:c>
      <x:c r="J54" s="393"/>
      <x:c r="K54" s="393"/>
    </x:row>
    <x:row r="55">
      <x:c r="A55" s="392"/>
      <x:c r="B55" s="392" t="str">
        <x:v>Deferred tax asset</x:v>
      </x:c>
      <x:c r="C55" s="393"/>
      <x:c r="D55" s="393"/>
      <x:c r="E55" s="393"/>
      <x:c r="F55" s="393"/>
      <x:c r="G55" s="393"/>
      <x:c r="H55" s="393"/>
      <x:c r="I55" s="393"/>
      <x:c r="J55" s="393"/>
      <x:c r="K55" s="393"/>
    </x:row>
    <x:row r="56" ht="17.25" customHeight="1">
      <x:c r="A56" s="392"/>
      <x:c r="B56" s="392" t="str">
        <x:v>   Expenses provided but allowable in Income Tax on payment basis</x:v>
      </x:c>
      <x:c r="C56" s="393"/>
      <x:c r="D56" s="393"/>
      <x:c r="E56" s="393" t="n">
        <x:v>0</x:v>
      </x:c>
      <x:c r="F56" s="393"/>
      <x:c r="G56" s="393" t="n">
        <x:v>0</x:v>
      </x:c>
      <x:c r="H56" s="393"/>
      <x:c r="I56" s="393" t="n">
        <x:v>0</x:v>
      </x:c>
      <x:c r="J56" s="393"/>
      <x:c r="K56" s="393"/>
    </x:row>
    <x:row r="57">
      <x:c r="A57" s="392"/>
      <x:c r="B57" s="392" t="str">
        <x:v>   Provision for doubtful debts</x:v>
      </x:c>
      <x:c r="C57" s="393"/>
      <x:c r="D57" s="393"/>
      <x:c r="E57" s="393" t="n">
        <x:v>0</x:v>
      </x:c>
      <x:c r="F57" s="393"/>
      <x:c r="G57" s="393" t="n">
        <x:v>0</x:v>
      </x:c>
      <x:c r="H57" s="393"/>
      <x:c r="I57" s="393" t="n">
        <x:v>0</x:v>
      </x:c>
      <x:c r="J57" s="393"/>
      <x:c r="K57" s="393"/>
    </x:row>
    <x:row r="58">
      <x:c r="A58" s="392"/>
      <x:c r="B58" s="392" t="str">
        <x:v>   Difference between book depreciation &amp; tax depreciation*</x:v>
      </x:c>
      <x:c r="C58" s="393"/>
      <x:c r="D58" s="393"/>
      <x:c r="E58" s="393" t="n">
        <x:v>0</x:v>
      </x:c>
      <x:c r="F58" s="393"/>
      <x:c r="G58" s="393" t="n">
        <x:v>0</x:v>
      </x:c>
      <x:c r="H58" s="393"/>
      <x:c r="I58" s="393" t="n">
        <x:v>0</x:v>
      </x:c>
      <x:c r="J58" s="393"/>
      <x:c r="K58" s="393"/>
    </x:row>
    <x:row r="59">
      <x:c r="A59" s="392"/>
      <x:c r="B59" s="392" t="str">
        <x:v>   Others (please specify)</x:v>
      </x:c>
      <x:c r="C59" s="393"/>
      <x:c r="D59" s="393"/>
      <x:c r="E59" s="393" t="n">
        <x:v>0</x:v>
      </x:c>
      <x:c r="F59" s="393"/>
      <x:c r="G59" s="393" t="n">
        <x:v>0</x:v>
      </x:c>
      <x:c r="H59" s="393"/>
      <x:c r="I59" s="393" t="n">
        <x:v>0</x:v>
      </x:c>
      <x:c r="J59" s="393"/>
      <x:c r="K59" s="393"/>
    </x:row>
    <x:row r="60">
      <x:c r="A60" s="392"/>
      <x:c r="B60" s="392" t="str">
        <x:v>Gross deferred tax asset (A)</x:v>
      </x:c>
      <x:c r="C60" s="393"/>
      <x:c r="D60" s="393"/>
      <x:c r="E60" s="393" t="n">
        <x:v>0</x:v>
      </x:c>
      <x:c r="F60" s="393"/>
      <x:c r="G60" s="393" t="n">
        <x:v>0</x:v>
      </x:c>
      <x:c r="H60" s="393"/>
      <x:c r="I60" s="393" t="n">
        <x:v>0</x:v>
      </x:c>
      <x:c r="J60" s="393"/>
      <x:c r="K60" s="393"/>
    </x:row>
    <x:row r="61">
      <x:c r="A61" s="392"/>
      <x:c r="B61" s="392" t="str">
        <x:v>Deferred tax liability</x:v>
      </x:c>
      <x:c r="C61" s="393"/>
      <x:c r="D61" s="393"/>
      <x:c r="E61" s="393"/>
      <x:c r="F61" s="393"/>
      <x:c r="G61" s="393"/>
      <x:c r="H61" s="393"/>
      <x:c r="I61" s="393"/>
      <x:c r="J61" s="393"/>
      <x:c r="K61" s="393"/>
    </x:row>
    <x:row r="62">
      <x:c r="A62" s="392"/>
      <x:c r="B62" s="392" t="str">
        <x:v>   Difference between book depreciation &amp; tax depreciation*</x:v>
      </x:c>
      <x:c r="C62" s="393"/>
      <x:c r="D62" s="393"/>
      <x:c r="E62" s="393" t="n">
        <x:v>0</x:v>
      </x:c>
      <x:c r="F62" s="393"/>
      <x:c r="G62" s="393" t="n">
        <x:v>0</x:v>
      </x:c>
      <x:c r="H62" s="393"/>
      <x:c r="I62" s="393" t="n">
        <x:v>0</x:v>
      </x:c>
      <x:c r="J62" s="393"/>
      <x:c r="K62" s="393"/>
    </x:row>
    <x:row r="63">
      <x:c r="A63" s="392"/>
      <x:c r="B63" s="392" t="str">
        <x:v>   Others (please specify)</x:v>
      </x:c>
      <x:c r="C63" s="393"/>
      <x:c r="D63" s="393"/>
      <x:c r="E63" s="393" t="n">
        <x:v>0</x:v>
      </x:c>
      <x:c r="F63" s="393"/>
      <x:c r="G63" s="393" t="n">
        <x:v>0</x:v>
      </x:c>
      <x:c r="H63" s="393"/>
      <x:c r="I63" s="393" t="n">
        <x:v>0</x:v>
      </x:c>
      <x:c r="J63" s="393"/>
      <x:c r="K63" s="393"/>
    </x:row>
    <x:row r="64">
      <x:c r="A64" s="392"/>
      <x:c r="B64" s="392" t="str">
        <x:v>Gross deferred tax liability (B)</x:v>
      </x:c>
      <x:c r="C64" s="393"/>
      <x:c r="D64" s="393"/>
      <x:c r="E64" s="393" t="n">
        <x:v>0</x:v>
      </x:c>
      <x:c r="F64" s="393"/>
      <x:c r="G64" s="393" t="n">
        <x:v>0</x:v>
      </x:c>
      <x:c r="H64" s="393"/>
      <x:c r="I64" s="393" t="n">
        <x:v>0</x:v>
      </x:c>
      <x:c r="J64" s="393"/>
      <x:c r="K64" s="393"/>
    </x:row>
    <x:row r="65" ht="4.5" customHeight="1">
      <x:c r="A65" s="392"/>
      <x:c r="B65" s="392"/>
      <x:c r="C65" s="393"/>
      <x:c r="D65" s="393"/>
      <x:c r="E65" s="393"/>
      <x:c r="F65" s="393"/>
      <x:c r="G65" s="393"/>
      <x:c r="H65" s="393"/>
      <x:c r="I65" s="393"/>
      <x:c r="J65" s="393"/>
      <x:c r="K65" s="393"/>
    </x:row>
    <x:row r="66" ht="17.25" customHeight="1">
      <x:c r="A66" s="392"/>
      <x:c r="B66" s="392" t="str">
        <x:v>Net deferred tax liability/(asset) (B-A)</x:v>
      </x:c>
      <x:c r="C66" s="393"/>
      <x:c r="D66" s="393"/>
      <x:c r="E66" s="393" t="n">
        <x:v>0</x:v>
      </x:c>
      <x:c r="F66" s="393"/>
      <x:c r="G66" s="393" t="n">
        <x:v>0</x:v>
      </x:c>
      <x:c r="H66" s="393"/>
      <x:c r="I66" s="393" t="n">
        <x:v>0</x:v>
      </x:c>
      <x:c r="J66" s="393"/>
      <x:c r="K66" s="393"/>
    </x:row>
    <x:row r="68">
      <x:c r="A68" s="79"/>
      <x:c r="B68" s="79"/>
      <x:c r="C68" s="79"/>
      <x:c r="D68" s="79"/>
      <x:c r="E68" s="79"/>
      <x:c r="F68" s="79"/>
    </x:row>
  </x:sheetData>
  <x:mergeCells>
    <x:mergeCell ref="G5:I5"/>
    <x:mergeCell ref="G14:I14"/>
    <x:mergeCell ref="J14:K14"/>
  </x:mergeCells>
  <x:pageMargins left="0.7" right="0.7" top="0.75" bottom="0.75" header="0.3" footer="0.3"/>
</x:worksheet>
</file>

<file path=xl/worksheets/sheet11.xml><?xml version="1.0" encoding="utf-8"?>
<x:worksheet xmlns:x="http://schemas.openxmlformats.org/spreadsheetml/2006/main">
  <x:sheetFormatPr defaultRowHeight="15"/>
  <x:cols>
    <x:col min="1" max="1" width="5.42578125" hidden="0" customWidth="1"/>
    <x:col min="2" max="2" width="60.7109375" hidden="0" customWidth="1"/>
    <x:col min="3" max="3" width="16.28515625" hidden="0" customWidth="1"/>
    <x:col min="4" max="4" width="1.140625" hidden="0" customWidth="1"/>
    <x:col min="5" max="5" width="16.28515625" hidden="0" customWidth="1"/>
    <x:col min="6" max="6" width="16.42578125" hidden="0" customWidth="1"/>
    <x:col min="7" max="7" width="1.42578125" hidden="0" customWidth="1"/>
    <x:col min="8" max="8" width="17.140625" hidden="0" customWidth="1"/>
  </x:cols>
  <x:sheetData>
    <x:row r="1">
      <x:c r="A1" s="392"/>
      <x:c r="B1" s="392"/>
      <x:c r="C1" s="393"/>
      <x:c r="D1" s="393"/>
      <x:c r="E1" s="393"/>
      <x:c r="F1" s="393"/>
      <x:c r="G1" s="393"/>
      <x:c r="H1" s="393"/>
      <x:c r="M1" s="184"/>
    </x:row>
    <x:row r="2">
      <x:c r="A2" s="412" t="n">
        <x:f>'Basic Info'!C13</x:f>
        <x:v>0</x:v>
      </x:c>
      <x:c r="B2" s="412"/>
      <x:c r="C2" s="413"/>
      <x:c r="D2" s="413"/>
      <x:c r="E2" s="413"/>
      <x:c r="F2" s="413"/>
      <x:c r="G2" s="413"/>
      <x:c r="H2" s="413"/>
    </x:row>
    <x:row r="3">
      <x:c r="A3" s="412" t="str">
        <x:f>"Notes forming part of the Financial Statements for the year ended "&amp;TEXT('Basic Info'!C8,"dd-mmm-yyyy")</x:f>
        <x:v>Notes forming part of the Financial Statements for the year ended </x:v>
      </x:c>
      <x:c r="B3" s="412"/>
      <x:c r="C3" s="413"/>
      <x:c r="D3" s="413"/>
      <x:c r="E3" s="413"/>
      <x:c r="F3" s="413"/>
      <x:c r="G3" s="413"/>
      <x:c r="H3" s="413"/>
    </x:row>
    <x:row r="4" ht="16.5" customHeight="1">
      <x:c r="A4" s="392"/>
      <x:c r="B4" s="392"/>
      <x:c r="C4" s="393"/>
      <x:c r="D4" s="393"/>
      <x:c r="E4" s="393"/>
      <x:c r="F4" s="393"/>
      <x:c r="G4" s="393"/>
      <x:c r="H4" s="393"/>
    </x:row>
    <x:row r="5" ht="24" customHeight="1">
      <x:c r="A5" s="392"/>
      <x:c r="B5" s="392"/>
      <x:c r="C5" s="393"/>
      <x:c r="D5" s="393"/>
      <x:c r="E5" s="393"/>
      <x:c r="F5" s="393" t="str">
        <x:v>(Amount in Rs.)</x:v>
      </x:c>
      <x:c r="G5" s="393"/>
      <x:c r="H5" s="393"/>
    </x:row>
    <x:row r="6">
      <x:c r="A6" s="392" t="n">
        <x:v>7</x:v>
      </x:c>
      <x:c r="B6" s="392" t="str">
        <x:v>Other long term liabilities </x:v>
      </x:c>
      <x:c r="C6" s="393"/>
      <x:c r="D6" s="393"/>
      <x:c r="E6" s="393"/>
      <x:c r="F6" s="393" t="str">
        <x:v>31 March 20XX</x:v>
      </x:c>
      <x:c r="G6" s="393"/>
      <x:c r="H6" s="393" t="str">
        <x:v>31 March 20XX</x:v>
      </x:c>
    </x:row>
    <x:row r="7">
      <x:c r="A7" s="392"/>
      <x:c r="B7" s="392" t="str">
        <x:v>Advance from customers</x:v>
      </x:c>
      <x:c r="C7" s="393"/>
      <x:c r="D7" s="393"/>
      <x:c r="E7" s="393"/>
      <x:c r="F7" s="393" t="n">
        <x:v>0</x:v>
      </x:c>
      <x:c r="G7" s="393"/>
      <x:c r="H7" s="393" t="n">
        <x:v>0</x:v>
      </x:c>
    </x:row>
    <x:row r="8">
      <x:c r="A8" s="392"/>
      <x:c r="B8" s="392" t="str">
        <x:v>Others (please specify)</x:v>
      </x:c>
      <x:c r="C8" s="393"/>
      <x:c r="D8" s="393"/>
      <x:c r="E8" s="393"/>
      <x:c r="F8" s="393" t="n">
        <x:v>0</x:v>
      </x:c>
      <x:c r="G8" s="393"/>
      <x:c r="H8" s="393" t="n">
        <x:v>0</x:v>
      </x:c>
    </x:row>
    <x:row r="9" ht="15.75" customHeight="1">
      <x:c r="A9" s="396"/>
      <x:c r="B9" s="396" t="str">
        <x:v>Total Other long term liabilities</x:v>
      </x:c>
      <x:c r="C9" s="397"/>
      <x:c r="D9" s="397"/>
      <x:c r="E9" s="397"/>
      <x:c r="F9" s="397" t="n">
        <x:v>0</x:v>
      </x:c>
      <x:c r="G9" s="397"/>
      <x:c r="H9" s="397" t="n">
        <x:v>0</x:v>
      </x:c>
    </x:row>
    <x:row r="10" ht="15.75" customHeight="1">
      <x:c r="A10" s="392"/>
      <x:c r="B10" s="392"/>
      <x:c r="C10" s="393"/>
      <x:c r="D10" s="393"/>
      <x:c r="E10" s="393"/>
      <x:c r="F10" s="393"/>
      <x:c r="G10" s="393"/>
      <x:c r="H10" s="393"/>
    </x:row>
    <x:row r="11">
      <x:c r="A11" s="392" t="n">
        <x:v>8</x:v>
      </x:c>
      <x:c r="B11" s="392" t="str">
        <x:v>Provisions</x:v>
      </x:c>
      <x:c r="C11" s="393" t="str">
        <x:v>Long term</x:v>
      </x:c>
      <x:c r="D11" s="393"/>
      <x:c r="E11" s="393"/>
      <x:c r="F11" s="393" t="str">
        <x:v>Short term</x:v>
      </x:c>
      <x:c r="G11" s="393"/>
      <x:c r="H11" s="393"/>
    </x:row>
    <x:row r="12">
      <x:c r="A12" s="392"/>
      <x:c r="B12" s="392"/>
      <x:c r="C12" s="393" t="str">
        <x:v>31 March 20XX</x:v>
      </x:c>
      <x:c r="D12" s="393"/>
      <x:c r="E12" s="393" t="str">
        <x:v>31 March 20XX</x:v>
      </x:c>
      <x:c r="F12" s="393" t="str">
        <x:v>31 March 20XX</x:v>
      </x:c>
      <x:c r="G12" s="393"/>
      <x:c r="H12" s="393" t="str">
        <x:v>31 March 20XX</x:v>
      </x:c>
    </x:row>
    <x:row r="13">
      <x:c r="A13" s="392" t="str">
        <x:v>(a)</x:v>
      </x:c>
      <x:c r="B13" s="392" t="str">
        <x:v>Provision for employee benefits</x:v>
      </x:c>
      <x:c r="C13" s="393"/>
      <x:c r="D13" s="393"/>
      <x:c r="E13" s="393"/>
      <x:c r="F13" s="393"/>
      <x:c r="G13" s="393"/>
      <x:c r="H13" s="393"/>
    </x:row>
    <x:row r="14">
      <x:c r="A14" s="392"/>
      <x:c r="B14" s="392" t="str">
        <x:v>Provision for gratuity</x:v>
      </x:c>
      <x:c r="C14" s="393" t="n">
        <x:v>0</x:v>
      </x:c>
      <x:c r="D14" s="393"/>
      <x:c r="E14" s="393" t="n">
        <x:v>0</x:v>
      </x:c>
      <x:c r="F14" s="393" t="n">
        <x:v>0</x:v>
      </x:c>
      <x:c r="G14" s="393"/>
      <x:c r="H14" s="393" t="n">
        <x:v>0</x:v>
      </x:c>
    </x:row>
    <x:row r="15">
      <x:c r="A15" s="392"/>
      <x:c r="B15" s="392" t="str">
        <x:v>Provision for leave Encashment</x:v>
      </x:c>
      <x:c r="C15" s="393" t="n">
        <x:v>0</x:v>
      </x:c>
      <x:c r="D15" s="393"/>
      <x:c r="E15" s="393" t="n">
        <x:v>0</x:v>
      </x:c>
      <x:c r="F15" s="393" t="n">
        <x:v>0</x:v>
      </x:c>
      <x:c r="G15" s="393"/>
      <x:c r="H15" s="393" t="n">
        <x:v>0</x:v>
      </x:c>
    </x:row>
    <x:row r="16">
      <x:c r="A16" s="392"/>
      <x:c r="B16" s="392"/>
      <x:c r="C16" s="393"/>
      <x:c r="D16" s="393"/>
      <x:c r="E16" s="393"/>
      <x:c r="F16" s="393"/>
      <x:c r="G16" s="393"/>
      <x:c r="H16" s="393"/>
    </x:row>
    <x:row r="17">
      <x:c r="A17" s="392" t="str">
        <x:v>(b)</x:v>
      </x:c>
      <x:c r="B17" s="392" t="str">
        <x:v>Other provisions</x:v>
      </x:c>
      <x:c r="C17" s="393" t="n">
        <x:v>0</x:v>
      </x:c>
      <x:c r="D17" s="393"/>
      <x:c r="E17" s="393" t="n">
        <x:v>0</x:v>
      </x:c>
      <x:c r="F17" s="393" t="n">
        <x:v>0</x:v>
      </x:c>
      <x:c r="G17" s="393"/>
      <x:c r="H17" s="393" t="n">
        <x:v>0</x:v>
      </x:c>
    </x:row>
    <x:row r="18" ht="30" customHeight="1">
      <x:c r="A18" s="398"/>
      <x:c r="B18" s="398" t="str">
        <x:v>Provision for Income tax [net of advance tax of Rs.___  (previous year Rs.___)</x:v>
      </x:c>
      <x:c r="C18" s="399"/>
      <x:c r="D18" s="399"/>
      <x:c r="E18" s="399"/>
      <x:c r="F18" s="399"/>
      <x:c r="G18" s="399"/>
      <x:c r="H18" s="399"/>
    </x:row>
    <x:row r="19" ht="30" customHeight="1">
      <x:c r="A19" s="392"/>
      <x:c r="B19" s="392" t="str">
        <x:v>Other Provisions (Please Specify - eg/- Provision for warranties / Provision for Sales Return)</x:v>
      </x:c>
      <x:c r="C19" s="393" t="n">
        <x:v>0</x:v>
      </x:c>
      <x:c r="D19" s="393"/>
      <x:c r="E19" s="393" t="n">
        <x:v>0</x:v>
      </x:c>
      <x:c r="F19" s="393" t="n">
        <x:v>0</x:v>
      </x:c>
      <x:c r="G19" s="393"/>
      <x:c r="H19" s="393" t="n">
        <x:v>0</x:v>
      </x:c>
    </x:row>
    <x:row r="20">
      <x:c r="A20" s="392"/>
      <x:c r="B20" s="392" t="str">
        <x:v>Other (specify nature)</x:v>
      </x:c>
      <x:c r="C20" s="393" t="n">
        <x:v>0</x:v>
      </x:c>
      <x:c r="D20" s="393"/>
      <x:c r="E20" s="393" t="n">
        <x:v>0</x:v>
      </x:c>
      <x:c r="F20" s="393" t="n">
        <x:v>0</x:v>
      </x:c>
      <x:c r="G20" s="393"/>
      <x:c r="H20" s="393" t="n">
        <x:v>0</x:v>
      </x:c>
    </x:row>
    <x:row r="21" ht="15.75" customHeight="1">
      <x:c r="A21" s="396"/>
      <x:c r="B21" s="396" t="str">
        <x:v>Total Provisions</x:v>
      </x:c>
      <x:c r="C21" s="397" t="n">
        <x:v>0</x:v>
      </x:c>
      <x:c r="D21" s="397"/>
      <x:c r="E21" s="397" t="n">
        <x:v>0</x:v>
      </x:c>
      <x:c r="F21" s="397" t="n">
        <x:v>0</x:v>
      </x:c>
      <x:c r="G21" s="397"/>
      <x:c r="H21" s="397" t="n">
        <x:v>0</x:v>
      </x:c>
    </x:row>
    <x:row r="22" ht="15.75" customHeight="1">
      <x:c r="A22" s="392"/>
      <x:c r="B22" s="392"/>
      <x:c r="C22" s="393"/>
      <x:c r="D22" s="393"/>
      <x:c r="E22" s="393"/>
      <x:c r="F22" s="393"/>
      <x:c r="G22" s="393"/>
      <x:c r="H22" s="393"/>
    </x:row>
    <x:row r="23">
      <x:c r="A23" s="392" t="n">
        <x:v>9</x:v>
      </x:c>
      <x:c r="B23" s="392" t="str">
        <x:v>Trade payables</x:v>
      </x:c>
      <x:c r="C23" s="393"/>
      <x:c r="D23" s="393"/>
      <x:c r="E23" s="393"/>
      <x:c r="F23" s="393" t="str">
        <x:v>31 March 20XX</x:v>
      </x:c>
      <x:c r="G23" s="393"/>
      <x:c r="H23" s="393" t="str">
        <x:v>31 March 20XX</x:v>
      </x:c>
    </x:row>
    <x:row r="24">
      <x:c r="A24" s="396" t="str">
        <x:v>(a)</x:v>
      </x:c>
      <x:c r="B24" s="396" t="str">
        <x:v>Total outstanding dues of micro, small and medium enterprises</x:v>
      </x:c>
      <x:c r="C24" s="397"/>
      <x:c r="D24" s="397"/>
      <x:c r="E24" s="397"/>
      <x:c r="F24" s="397" t="n">
        <x:v>0</x:v>
      </x:c>
      <x:c r="G24" s="397"/>
      <x:c r="H24" s="397" t="n">
        <x:v>0</x:v>
      </x:c>
    </x:row>
    <x:row r="25">
      <x:c r="A25" s="396" t="str">
        <x:v>(b)</x:v>
      </x:c>
      <x:c r="B25" s="396" t="str">
        <x:v>Total outstanding dues of creditors other than micro, small and medium enterprises</x:v>
      </x:c>
      <x:c r="C25" s="397"/>
      <x:c r="D25" s="397"/>
      <x:c r="E25" s="397"/>
      <x:c r="F25" s="397" t="n">
        <x:v>0</x:v>
      </x:c>
      <x:c r="G25" s="397"/>
      <x:c r="H25" s="397" t="n">
        <x:v>0</x:v>
      </x:c>
    </x:row>
    <x:row r="26" ht="15.75" customHeight="1">
      <x:c r="A26" s="396"/>
      <x:c r="B26" s="396" t="str">
        <x:v>Total Trade payables</x:v>
      </x:c>
      <x:c r="C26" s="397"/>
      <x:c r="D26" s="397"/>
      <x:c r="E26" s="397"/>
      <x:c r="F26" s="397" t="n">
        <x:v>0</x:v>
      </x:c>
      <x:c r="G26" s="397"/>
      <x:c r="H26" s="397" t="n">
        <x:v>0</x:v>
      </x:c>
    </x:row>
    <x:row r="27" ht="15.75" customHeight="1">
      <x:c r="A27" s="392"/>
      <x:c r="B27" s="392"/>
      <x:c r="C27" s="393"/>
      <x:c r="D27" s="393"/>
      <x:c r="E27" s="393"/>
      <x:c r="F27" s="393"/>
      <x:c r="G27" s="393"/>
      <x:c r="H27" s="393"/>
    </x:row>
    <x:row r="28" ht="32.25" customHeight="1">
      <x:c r="A28" s="392"/>
      <x:c r="B28" s="392" t="str">
        <x:v>Disclosure relating to suppliers registered under MSMED Act based on the information available with the entity Company:</x:v>
      </x:c>
      <x:c r="C28" s="393"/>
      <x:c r="D28" s="393"/>
      <x:c r="E28" s="393"/>
      <x:c r="F28" s="393"/>
      <x:c r="G28" s="393"/>
      <x:c r="H28" s="393"/>
    </x:row>
    <x:row r="29">
      <x:c r="A29" s="400"/>
      <x:c r="B29" s="400" t="str">
        <x:v>Particulars</x:v>
      </x:c>
      <x:c r="C29" s="401"/>
      <x:c r="D29" s="401"/>
      <x:c r="E29" s="401"/>
      <x:c r="F29" s="401" t="str">
        <x:v>31 March 20XX</x:v>
      </x:c>
      <x:c r="G29" s="401"/>
      <x:c r="H29" s="401" t="str">
        <x:v>31 March 20XX</x:v>
      </x:c>
    </x:row>
    <x:row r="30">
      <x:c r="A30" s="392"/>
      <x:c r="B30" s="392" t="str">
        <x:v>(a) Amount remaining unpaid to any supplier at the end of each accounting year:</x:v>
      </x:c>
      <x:c r="C30" s="393"/>
      <x:c r="D30" s="393"/>
      <x:c r="E30" s="393"/>
      <x:c r="F30" s="393"/>
      <x:c r="G30" s="393"/>
      <x:c r="H30" s="393"/>
    </x:row>
    <x:row r="31">
      <x:c r="A31" s="392"/>
      <x:c r="B31" s="392" t="str">
        <x:v>Principal</x:v>
      </x:c>
      <x:c r="C31" s="393"/>
      <x:c r="D31" s="393"/>
      <x:c r="E31" s="393"/>
      <x:c r="F31" s="393" t="n">
        <x:v>0</x:v>
      </x:c>
      <x:c r="G31" s="393"/>
      <x:c r="H31" s="393" t="n">
        <x:v>0</x:v>
      </x:c>
    </x:row>
    <x:row r="32">
      <x:c r="A32" s="392"/>
      <x:c r="B32" s="392" t="str">
        <x:v>Interest</x:v>
      </x:c>
      <x:c r="C32" s="393"/>
      <x:c r="D32" s="393"/>
      <x:c r="E32" s="393"/>
      <x:c r="F32" s="393" t="n">
        <x:v>0</x:v>
      </x:c>
      <x:c r="G32" s="393"/>
      <x:c r="H32" s="393" t="n">
        <x:v>0</x:v>
      </x:c>
    </x:row>
    <x:row r="33">
      <x:c r="A33" s="396"/>
      <x:c r="B33" s="396" t="str">
        <x:v>Total</x:v>
      </x:c>
      <x:c r="C33" s="397"/>
      <x:c r="D33" s="397"/>
      <x:c r="E33" s="397"/>
      <x:c r="F33" s="397" t="n">
        <x:v>0</x:v>
      </x:c>
      <x:c r="G33" s="397"/>
      <x:c r="H33" s="397" t="n">
        <x:v>0</x:v>
      </x:c>
    </x:row>
    <x:row r="34" ht="31.5" customHeight="1">
      <x:c r="A34" s="392"/>
      <x:c r="B34" s="392" t="str">
        <x:v>(b) The amount of interest paid by the buyer in terms of section 16 of the MSMED Act, along with the amount of the payment made to the supplier beyond the appointed day during each accounting year.</x:v>
      </x:c>
      <x:c r="C34" s="393"/>
      <x:c r="D34" s="393"/>
      <x:c r="E34" s="393"/>
      <x:c r="F34" s="393" t="n">
        <x:v>0</x:v>
      </x:c>
      <x:c r="G34" s="393"/>
      <x:c r="H34" s="393" t="n">
        <x:v>0</x:v>
      </x:c>
    </x:row>
    <x:row r="35" ht="31.5" customHeight="1">
      <x:c r="A35" s="392"/>
      <x:c r="B35" s="392" t="str">
        <x:v>(c) The amount of interest due and payable for the period of delay in making payment (which have been paid but beyond the appointed day during the year) but without adding the interest specified under the MSMED Act.</x:v>
      </x:c>
      <x:c r="C35" s="393"/>
      <x:c r="D35" s="393"/>
      <x:c r="E35" s="393"/>
      <x:c r="F35" s="393" t="n">
        <x:v>0</x:v>
      </x:c>
      <x:c r="G35" s="393"/>
      <x:c r="H35" s="393" t="n">
        <x:v>0</x:v>
      </x:c>
    </x:row>
    <x:row r="36">
      <x:c r="A36" s="392"/>
      <x:c r="B36" s="392" t="str">
        <x:v>(d) The amount of interest accrued and remaining unpaid at the end of each accounting year.</x:v>
      </x:c>
      <x:c r="C36" s="393"/>
      <x:c r="D36" s="393"/>
      <x:c r="E36" s="393"/>
      <x:c r="F36" s="393" t="n">
        <x:v>0</x:v>
      </x:c>
      <x:c r="G36" s="393"/>
      <x:c r="H36" s="393" t="n">
        <x:v>0</x:v>
      </x:c>
    </x:row>
    <x:row r="37" ht="46.5" customHeight="1">
      <x:c r="A37" s="392"/>
      <x:c r="B37" s="392" t="str">
        <x:v>(e) The amount of further interest remaining due and payable even in the succeeding years, until such date when the interest dues above are actually paid to the small enterprise, for the purpose of disallowance of a deductible expenditure under section 23 of the MSMED Act.</x:v>
      </x:c>
      <x:c r="C37" s="393"/>
      <x:c r="D37" s="393"/>
      <x:c r="E37" s="393"/>
      <x:c r="F37" s="393" t="n">
        <x:v>0</x:v>
      </x:c>
      <x:c r="G37" s="393"/>
      <x:c r="H37" s="393" t="n">
        <x:v>0</x:v>
      </x:c>
    </x:row>
    <x:row r="38">
      <x:c r="A38" s="392"/>
      <x:c r="B38" s="392"/>
      <x:c r="C38" s="393"/>
      <x:c r="D38" s="393"/>
      <x:c r="E38" s="393"/>
      <x:c r="F38" s="393"/>
      <x:c r="G38" s="393"/>
      <x:c r="H38" s="393"/>
    </x:row>
    <x:row r="39">
      <x:c r="A39" s="392" t="n">
        <x:v>10</x:v>
      </x:c>
      <x:c r="B39" s="392" t="str">
        <x:v>Other current liabilities</x:v>
      </x:c>
      <x:c r="C39" s="393"/>
      <x:c r="D39" s="393"/>
      <x:c r="E39" s="393"/>
      <x:c r="F39" s="393" t="str">
        <x:v>31 March 20XX</x:v>
      </x:c>
      <x:c r="G39" s="393"/>
      <x:c r="H39" s="393" t="str">
        <x:v>31 March 20XX</x:v>
      </x:c>
    </x:row>
    <x:row r="40">
      <x:c r="A40" s="392" t="str">
        <x:v>(a)</x:v>
      </x:c>
      <x:c r="B40" s="392" t="str">
        <x:v>Current maturities of finance lease obligations (Refer note 5)</x:v>
      </x:c>
      <x:c r="C40" s="393"/>
      <x:c r="D40" s="393"/>
      <x:c r="E40" s="393"/>
      <x:c r="F40" s="393" t="n">
        <x:v>0</x:v>
      </x:c>
      <x:c r="G40" s="393"/>
      <x:c r="H40" s="393" t="n">
        <x:v>0</x:v>
      </x:c>
    </x:row>
    <x:row r="41">
      <x:c r="A41" s="392" t="str">
        <x:v>(b)</x:v>
      </x:c>
      <x:c r="B41" s="392" t="str">
        <x:v>Interest accrued but not due on borrowings</x:v>
      </x:c>
      <x:c r="C41" s="393"/>
      <x:c r="D41" s="393"/>
      <x:c r="E41" s="393"/>
      <x:c r="F41" s="393" t="n">
        <x:v>0</x:v>
      </x:c>
      <x:c r="G41" s="393"/>
      <x:c r="H41" s="393" t="n">
        <x:v>0</x:v>
      </x:c>
    </x:row>
    <x:row r="42">
      <x:c r="A42" s="392" t="str">
        <x:v>(c)</x:v>
      </x:c>
      <x:c r="B42" s="392" t="str">
        <x:v>Interest accrued and due on borrowings</x:v>
      </x:c>
      <x:c r="C42" s="393"/>
      <x:c r="D42" s="393"/>
      <x:c r="E42" s="393"/>
      <x:c r="F42" s="393" t="n">
        <x:v>0</x:v>
      </x:c>
      <x:c r="G42" s="393"/>
      <x:c r="H42" s="393" t="n">
        <x:v>0</x:v>
      </x:c>
    </x:row>
    <x:row r="43">
      <x:c r="A43" s="392" t="str">
        <x:v>(d)</x:v>
      </x:c>
      <x:c r="B43" s="392" t="str">
        <x:v>Income received in advance</x:v>
      </x:c>
      <x:c r="C43" s="393"/>
      <x:c r="D43" s="393"/>
      <x:c r="E43" s="393"/>
      <x:c r="F43" s="393" t="n">
        <x:v>0</x:v>
      </x:c>
      <x:c r="G43" s="393"/>
      <x:c r="H43" s="393" t="n">
        <x:v>0</x:v>
      </x:c>
    </x:row>
    <x:row r="44">
      <x:c r="A44" s="392" t="str">
        <x:v>(e)</x:v>
      </x:c>
      <x:c r="B44" s="392" t="str">
        <x:v>Unearned revenue</x:v>
      </x:c>
      <x:c r="C44" s="393"/>
      <x:c r="D44" s="393"/>
      <x:c r="E44" s="393"/>
      <x:c r="F44" s="393" t="n">
        <x:v>0</x:v>
      </x:c>
      <x:c r="G44" s="393"/>
      <x:c r="H44" s="393" t="n">
        <x:v>0</x:v>
      </x:c>
    </x:row>
    <x:row r="45">
      <x:c r="A45" s="392" t="str">
        <x:v>(f)</x:v>
      </x:c>
      <x:c r="B45" s="392" t="str">
        <x:v>Goods and Service tax payable</x:v>
      </x:c>
      <x:c r="C45" s="393"/>
      <x:c r="D45" s="393"/>
      <x:c r="E45" s="393"/>
      <x:c r="F45" s="393" t="n">
        <x:v>0</x:v>
      </x:c>
      <x:c r="G45" s="393"/>
      <x:c r="H45" s="393" t="n">
        <x:v>0</x:v>
      </x:c>
    </x:row>
    <x:row r="46">
      <x:c r="A46" s="392" t="str">
        <x:v>(g)</x:v>
      </x:c>
      <x:c r="B46" s="392" t="str">
        <x:v>TDS payable</x:v>
      </x:c>
      <x:c r="C46" s="393"/>
      <x:c r="D46" s="393"/>
      <x:c r="E46" s="393"/>
      <x:c r="F46" s="393" t="n">
        <x:v>0</x:v>
      </x:c>
      <x:c r="G46" s="393"/>
      <x:c r="H46" s="393" t="n">
        <x:v>0</x:v>
      </x:c>
    </x:row>
    <x:row r="47">
      <x:c r="A47" s="392" t="str">
        <x:v>(h)</x:v>
      </x:c>
      <x:c r="B47" s="392" t="str">
        <x:v>Other payables (specify nature)</x:v>
      </x:c>
      <x:c r="C47" s="393"/>
      <x:c r="D47" s="393"/>
      <x:c r="E47" s="393"/>
      <x:c r="F47" s="393" t="n">
        <x:v>0</x:v>
      </x:c>
      <x:c r="G47" s="393"/>
      <x:c r="H47" s="393" t="n">
        <x:v>0</x:v>
      </x:c>
    </x:row>
    <x:row r="48" ht="15.75" customHeight="1">
      <x:c r="A48" s="396"/>
      <x:c r="B48" s="396" t="str">
        <x:v>Total Other current liabilities</x:v>
      </x:c>
      <x:c r="C48" s="397"/>
      <x:c r="D48" s="397"/>
      <x:c r="E48" s="397"/>
      <x:c r="F48" s="397" t="n">
        <x:v>0</x:v>
      </x:c>
      <x:c r="G48" s="397"/>
      <x:c r="H48" s="397" t="n">
        <x:v>0</x:v>
      </x:c>
    </x:row>
    <x:row r="50">
      <x:c r="A50" s="79"/>
      <x:c r="B50" s="79"/>
      <x:c r="C50" s="79"/>
      <x:c r="D50" s="79"/>
      <x:c r="E50" s="79"/>
      <x:c r="F50" s="79"/>
    </x:row>
  </x:sheetData>
  <x:mergeCells>
    <x:mergeCell ref="B37:E37"/>
    <x:mergeCell ref="B35:E35"/>
    <x:mergeCell ref="B28:E28"/>
    <x:mergeCell ref="B29:E29"/>
    <x:mergeCell ref="B30:E30"/>
    <x:mergeCell ref="B33:E33"/>
    <x:mergeCell ref="B34:E34"/>
    <x:mergeCell ref="B36:E36"/>
    <x:mergeCell ref="F11:H11"/>
    <x:mergeCell ref="C11:E11"/>
    <x:mergeCell ref="A4:B4"/>
    <x:mergeCell ref="B31:E31"/>
    <x:mergeCell ref="B32:E32"/>
    <x:mergeCell ref="F5:H5"/>
  </x:mergeCells>
  <x:pageMargins left="0.7" right="0.7" top="0.75" bottom="0.75" header="0.3" footer="0.3"/>
</x:worksheet>
</file>

<file path=xl/worksheets/sheet12.xml><?xml version="1.0" encoding="utf-8"?>
<x:worksheet xmlns:x="http://schemas.openxmlformats.org/spreadsheetml/2006/main">
  <x:sheetFormatPr defaultRowHeight="15"/>
  <x:cols>
    <x:col min="1" max="1" width="9.140625" hidden="0" customWidth="1"/>
    <x:col min="2" max="2" width="28.85546875" hidden="0" customWidth="1"/>
    <x:col min="3" max="3" width="14.5703125" hidden="0" customWidth="1"/>
    <x:col min="4" max="4" width="15.140625" hidden="0" customWidth="1"/>
    <x:col min="5" max="5" width="21.5703125" hidden="0" customWidth="1"/>
    <x:col min="6" max="6" width="20.5703125" hidden="0" customWidth="1"/>
    <x:col min="7" max="7" width="19.42578125" hidden="0" customWidth="1"/>
    <x:col min="8" max="8" width="11.7109375" hidden="0" customWidth="1"/>
    <x:col min="9" max="9" width="26" hidden="0" customWidth="1"/>
    <x:col min="10" max="10" width="11.7109375" hidden="0" customWidth="1"/>
    <x:col min="11" max="11" width="14.7109375" hidden="0" customWidth="1"/>
    <x:col min="12" max="12" width="14.7109375" hidden="0" customWidth="1"/>
  </x:cols>
  <x:sheetData>
    <x:row r="1">
      <x:c r="A1" s="392"/>
      <x:c r="B1" s="392"/>
      <x:c r="C1" s="393"/>
      <x:c r="D1" s="393"/>
      <x:c r="E1" s="393"/>
      <x:c r="F1" s="393"/>
      <x:c r="G1" s="393"/>
      <x:c r="H1" s="393"/>
      <x:c r="I1" s="393"/>
      <x:c r="J1" s="393"/>
      <x:c r="K1" s="393"/>
      <x:c r="L1" s="393"/>
      <x:c r="M1" s="184"/>
    </x:row>
    <x:row r="2" ht="15" customHeight="1">
      <x:c r="A2" s="412" t="n">
        <x:f>'Basic Info'!C13</x:f>
        <x:v>0</x:v>
      </x:c>
      <x:c r="B2" s="412"/>
      <x:c r="C2" s="413"/>
      <x:c r="D2" s="413"/>
      <x:c r="E2" s="413"/>
      <x:c r="F2" s="413"/>
      <x:c r="G2" s="413"/>
      <x:c r="H2" s="413"/>
      <x:c r="I2" s="413"/>
      <x:c r="J2" s="413"/>
      <x:c r="K2" s="413"/>
      <x:c r="L2" s="413"/>
    </x:row>
    <x:row r="3" ht="15" customHeight="1">
      <x:c r="A3" s="412" t="str">
        <x:f>"Notes forming part of the Financial Statements for the year ended "&amp;TEXT('Basic Info'!C8,"dd-mmm-yyyy")</x:f>
        <x:v>Notes forming part of the Financial Statements for the year ended </x:v>
      </x:c>
      <x:c r="B3" s="412"/>
      <x:c r="C3" s="413"/>
      <x:c r="D3" s="413"/>
      <x:c r="E3" s="413"/>
      <x:c r="F3" s="413"/>
      <x:c r="G3" s="413"/>
      <x:c r="H3" s="413"/>
      <x:c r="I3" s="413"/>
      <x:c r="J3" s="413"/>
      <x:c r="K3" s="413"/>
      <x:c r="L3" s="413"/>
    </x:row>
    <x:row r="4" ht="15" customHeight="1">
      <x:c r="A4" s="392"/>
      <x:c r="B4" s="392"/>
      <x:c r="C4" s="393"/>
      <x:c r="D4" s="393"/>
      <x:c r="E4" s="393"/>
      <x:c r="F4" s="393"/>
      <x:c r="G4" s="393"/>
      <x:c r="H4" s="393"/>
      <x:c r="I4" s="393"/>
      <x:c r="J4" s="393"/>
      <x:c r="K4" s="393"/>
      <x:c r="L4" s="393"/>
    </x:row>
    <x:row r="5" ht="15" customHeight="1">
      <x:c r="A5" s="392" t="n">
        <x:v>11</x:v>
      </x:c>
      <x:c r="B5" s="392" t="str">
        <x:v>Property, Plant and Equipment and Intangible Assets (owned assets)</x:v>
      </x:c>
      <x:c r="C5" s="393"/>
      <x:c r="D5" s="393"/>
      <x:c r="E5" s="393"/>
      <x:c r="F5" s="393" t="str">
        <x:v>(Amount in Rs.)</x:v>
      </x:c>
      <x:c r="G5" s="393"/>
      <x:c r="H5" s="393"/>
      <x:c r="I5" s="393"/>
      <x:c r="J5" s="393"/>
      <x:c r="K5" s="393"/>
      <x:c r="L5" s="393"/>
    </x:row>
    <x:row r="6" ht="15" customHeight="1">
      <x:c r="A6" s="398"/>
      <x:c r="B6" s="398" t="str">
        <x:v>Particulars /Assets</x:v>
      </x:c>
      <x:c r="C6" s="399" t="str">
        <x:v>TANGIBLE ASSETS</x:v>
      </x:c>
      <x:c r="D6" s="399"/>
      <x:c r="E6" s="399"/>
      <x:c r="F6" s="399"/>
      <x:c r="G6" s="399"/>
      <x:c r="H6" s="399"/>
      <x:c r="I6" s="399"/>
      <x:c r="J6" s="399"/>
      <x:c r="K6" s="399"/>
      <x:c r="L6" s="399"/>
    </x:row>
    <x:row r="7" ht="30" customHeight="1">
      <x:c r="A7" s="396"/>
      <x:c r="B7" s="396"/>
      <x:c r="C7" s="397" t="str">
        <x:v>Freehold land</x:v>
      </x:c>
      <x:c r="D7" s="397" t="str">
        <x:v>Buildings</x:v>
      </x:c>
      <x:c r="E7" s="397" t="str">
        <x:v>Plant and Equipment</x:v>
      </x:c>
      <x:c r="F7" s="397" t="str">
        <x:v>Office equipment</x:v>
      </x:c>
      <x:c r="G7" s="397" t="str">
        <x:v>Furniture &amp; Fixtures</x:v>
      </x:c>
      <x:c r="H7" s="397" t="str">
        <x:v>Vehicles</x:v>
      </x:c>
      <x:c r="I7" s="397" t="str">
        <x:v>Others (specify nature)</x:v>
      </x:c>
      <x:c r="J7" s="397" t="str">
        <x:v>Total</x:v>
      </x:c>
      <x:c r="K7" s="397"/>
      <x:c r="L7" s="397"/>
    </x:row>
    <x:row r="8" ht="15" customHeight="1">
      <x:c r="A8" s="392"/>
      <x:c r="B8" s="392" t="str">
        <x:v>Gross Block</x:v>
      </x:c>
      <x:c r="C8" s="393"/>
      <x:c r="D8" s="393"/>
      <x:c r="E8" s="393"/>
      <x:c r="F8" s="393"/>
      <x:c r="G8" s="393"/>
      <x:c r="H8" s="393"/>
      <x:c r="I8" s="393"/>
      <x:c r="J8" s="393"/>
      <x:c r="K8" s="393"/>
      <x:c r="L8" s="393"/>
    </x:row>
    <x:row r="9" ht="15" customHeight="1">
      <x:c r="A9" s="392"/>
      <x:c r="B9" s="392" t="str">
        <x:v>At 1 April 20X1</x:v>
      </x:c>
      <x:c r="C9" s="393"/>
      <x:c r="D9" s="393"/>
      <x:c r="E9" s="393"/>
      <x:c r="F9" s="393"/>
      <x:c r="G9" s="393"/>
      <x:c r="H9" s="393"/>
      <x:c r="I9" s="393"/>
      <x:c r="J9" s="393"/>
      <x:c r="K9" s="393"/>
      <x:c r="L9" s="393"/>
    </x:row>
    <x:row r="10" ht="15" customHeight="1">
      <x:c r="A10" s="392"/>
      <x:c r="B10" s="392" t="str">
        <x:v>Additions</x:v>
      </x:c>
      <x:c r="C10" s="393"/>
      <x:c r="D10" s="393"/>
      <x:c r="E10" s="393"/>
      <x:c r="F10" s="393"/>
      <x:c r="G10" s="393"/>
      <x:c r="H10" s="393"/>
      <x:c r="I10" s="393"/>
      <x:c r="J10" s="393"/>
      <x:c r="K10" s="393"/>
      <x:c r="L10" s="393"/>
    </x:row>
    <x:row r="11" ht="15" customHeight="1">
      <x:c r="A11" s="392"/>
      <x:c r="B11" s="392" t="str">
        <x:v>Deductions/Adjustments</x:v>
      </x:c>
      <x:c r="C11" s="393"/>
      <x:c r="D11" s="393"/>
      <x:c r="E11" s="393"/>
      <x:c r="F11" s="393"/>
      <x:c r="G11" s="393"/>
      <x:c r="H11" s="393"/>
      <x:c r="I11" s="393"/>
      <x:c r="J11" s="393"/>
      <x:c r="K11" s="393"/>
      <x:c r="L11" s="393"/>
    </x:row>
    <x:row r="12" ht="15" customHeight="1">
      <x:c r="A12" s="392"/>
      <x:c r="B12" s="392" t="str">
        <x:v>At 1 April 20X0</x:v>
      </x:c>
      <x:c r="C12" s="393"/>
      <x:c r="D12" s="393"/>
      <x:c r="E12" s="393"/>
      <x:c r="F12" s="393"/>
      <x:c r="G12" s="393"/>
      <x:c r="H12" s="393"/>
      <x:c r="I12" s="393"/>
      <x:c r="J12" s="393"/>
      <x:c r="K12" s="393"/>
      <x:c r="L12" s="393"/>
    </x:row>
    <x:row r="13" ht="15" customHeight="1">
      <x:c r="A13" s="392"/>
      <x:c r="B13" s="392" t="str">
        <x:v>Additions</x:v>
      </x:c>
      <x:c r="C13" s="393"/>
      <x:c r="D13" s="393"/>
      <x:c r="E13" s="393"/>
      <x:c r="F13" s="393"/>
      <x:c r="G13" s="393"/>
      <x:c r="H13" s="393"/>
      <x:c r="I13" s="393"/>
      <x:c r="J13" s="393"/>
      <x:c r="K13" s="393"/>
      <x:c r="L13" s="393"/>
    </x:row>
    <x:row r="14" ht="15" customHeight="1">
      <x:c r="A14" s="392"/>
      <x:c r="B14" s="392" t="str">
        <x:v>Deductions/Adjustments</x:v>
      </x:c>
      <x:c r="C14" s="393"/>
      <x:c r="D14" s="393"/>
      <x:c r="E14" s="393"/>
      <x:c r="F14" s="393"/>
      <x:c r="G14" s="393"/>
      <x:c r="H14" s="393"/>
      <x:c r="I14" s="393"/>
      <x:c r="J14" s="393"/>
      <x:c r="K14" s="393"/>
      <x:c r="L14" s="393"/>
    </x:row>
    <x:row r="15" ht="15" customHeight="1">
      <x:c r="A15" s="392"/>
      <x:c r="B15" s="392" t="str">
        <x:v>At 31 March 20X2</x:v>
      </x:c>
      <x:c r="C15" s="393"/>
      <x:c r="D15" s="393"/>
      <x:c r="E15" s="393"/>
      <x:c r="F15" s="393"/>
      <x:c r="G15" s="393"/>
      <x:c r="H15" s="393"/>
      <x:c r="I15" s="393"/>
      <x:c r="J15" s="393"/>
      <x:c r="K15" s="393"/>
      <x:c r="L15" s="393"/>
    </x:row>
    <x:row r="16" ht="15" customHeight="1">
      <x:c r="A16" s="392"/>
      <x:c r="B16" s="392" t="str">
        <x:v>At 31 March 20X1</x:v>
      </x:c>
      <x:c r="C16" s="393"/>
      <x:c r="D16" s="393"/>
      <x:c r="E16" s="393"/>
      <x:c r="F16" s="393"/>
      <x:c r="G16" s="393"/>
      <x:c r="H16" s="393"/>
      <x:c r="I16" s="393"/>
      <x:c r="J16" s="393"/>
      <x:c r="K16" s="393"/>
      <x:c r="L16" s="393"/>
    </x:row>
    <x:row r="17">
      <x:c r="A17" s="392"/>
      <x:c r="B17" s="392" t="str">
        <x:v>Depreciation/Adjustments</x:v>
      </x:c>
      <x:c r="C17" s="393"/>
      <x:c r="D17" s="393"/>
      <x:c r="E17" s="393"/>
      <x:c r="F17" s="393"/>
      <x:c r="G17" s="393"/>
      <x:c r="H17" s="393"/>
      <x:c r="I17" s="393"/>
      <x:c r="J17" s="393"/>
      <x:c r="K17" s="393"/>
      <x:c r="L17" s="393"/>
    </x:row>
    <x:row r="18" ht="15" customHeight="1">
      <x:c r="A18" s="392"/>
      <x:c r="B18" s="392" t="str">
        <x:v>At 1 April 20X1</x:v>
      </x:c>
      <x:c r="C18" s="393"/>
      <x:c r="D18" s="393"/>
      <x:c r="E18" s="393"/>
      <x:c r="F18" s="393"/>
      <x:c r="G18" s="393"/>
      <x:c r="H18" s="393"/>
      <x:c r="I18" s="393"/>
      <x:c r="J18" s="393"/>
      <x:c r="K18" s="393"/>
      <x:c r="L18" s="393"/>
    </x:row>
    <x:row r="19" ht="15" customHeight="1">
      <x:c r="A19" s="392"/>
      <x:c r="B19" s="392" t="str">
        <x:v>Additions</x:v>
      </x:c>
      <x:c r="C19" s="393"/>
      <x:c r="D19" s="393"/>
      <x:c r="E19" s="393"/>
      <x:c r="F19" s="393"/>
      <x:c r="G19" s="393"/>
      <x:c r="H19" s="393"/>
      <x:c r="I19" s="393"/>
      <x:c r="J19" s="393"/>
      <x:c r="K19" s="393"/>
      <x:c r="L19" s="393"/>
    </x:row>
    <x:row r="20" ht="15" customHeight="1">
      <x:c r="A20" s="392"/>
      <x:c r="B20" s="392" t="str">
        <x:v>Deductions/Adjustments</x:v>
      </x:c>
      <x:c r="C20" s="393"/>
      <x:c r="D20" s="393"/>
      <x:c r="E20" s="393"/>
      <x:c r="F20" s="393"/>
      <x:c r="G20" s="393"/>
      <x:c r="H20" s="393"/>
      <x:c r="I20" s="393"/>
      <x:c r="J20" s="393"/>
      <x:c r="K20" s="393"/>
      <x:c r="L20" s="393"/>
    </x:row>
    <x:row r="21" ht="15" customHeight="1">
      <x:c r="A21" s="392"/>
      <x:c r="B21" s="392" t="str">
        <x:v>At 1 April 20X0</x:v>
      </x:c>
      <x:c r="C21" s="393"/>
      <x:c r="D21" s="393"/>
      <x:c r="E21" s="393"/>
      <x:c r="F21" s="393"/>
      <x:c r="G21" s="393"/>
      <x:c r="H21" s="393"/>
      <x:c r="I21" s="393"/>
      <x:c r="J21" s="393"/>
      <x:c r="K21" s="393"/>
      <x:c r="L21" s="393"/>
    </x:row>
    <x:row r="22" ht="15" customHeight="1">
      <x:c r="A22" s="392"/>
      <x:c r="B22" s="392" t="str">
        <x:v>Additions</x:v>
      </x:c>
      <x:c r="C22" s="393"/>
      <x:c r="D22" s="393"/>
      <x:c r="E22" s="393"/>
      <x:c r="F22" s="393"/>
      <x:c r="G22" s="393"/>
      <x:c r="H22" s="393"/>
      <x:c r="I22" s="393"/>
      <x:c r="J22" s="393"/>
      <x:c r="K22" s="393"/>
      <x:c r="L22" s="393"/>
    </x:row>
    <x:row r="23" ht="15" customHeight="1">
      <x:c r="A23" s="392"/>
      <x:c r="B23" s="392" t="str">
        <x:v>Deductions/Adjustments</x:v>
      </x:c>
      <x:c r="C23" s="393"/>
      <x:c r="D23" s="393"/>
      <x:c r="E23" s="393"/>
      <x:c r="F23" s="393"/>
      <x:c r="G23" s="393"/>
      <x:c r="H23" s="393"/>
      <x:c r="I23" s="393"/>
      <x:c r="J23" s="393"/>
      <x:c r="K23" s="393"/>
      <x:c r="L23" s="393"/>
    </x:row>
    <x:row r="24" ht="15" customHeight="1">
      <x:c r="A24" s="392"/>
      <x:c r="B24" s="392" t="str">
        <x:v>At 31 March 20X2</x:v>
      </x:c>
      <x:c r="C24" s="393"/>
      <x:c r="D24" s="393"/>
      <x:c r="E24" s="393"/>
      <x:c r="F24" s="393"/>
      <x:c r="G24" s="393"/>
      <x:c r="H24" s="393"/>
      <x:c r="I24" s="393"/>
      <x:c r="J24" s="393"/>
      <x:c r="K24" s="393"/>
      <x:c r="L24" s="393"/>
    </x:row>
    <x:row r="25" ht="15" customHeight="1">
      <x:c r="A25" s="392"/>
      <x:c r="B25" s="392" t="str">
        <x:v>At 31 March 20X1</x:v>
      </x:c>
      <x:c r="C25" s="393"/>
      <x:c r="D25" s="393"/>
      <x:c r="E25" s="393"/>
      <x:c r="F25" s="393"/>
      <x:c r="G25" s="393"/>
      <x:c r="H25" s="393"/>
      <x:c r="I25" s="393"/>
      <x:c r="J25" s="393"/>
      <x:c r="K25" s="393"/>
      <x:c r="L25" s="393"/>
    </x:row>
    <x:row r="26" ht="15" customHeight="1">
      <x:c r="A26" s="392"/>
      <x:c r="B26" s="392" t="str">
        <x:v>Net Block</x:v>
      </x:c>
      <x:c r="C26" s="393"/>
      <x:c r="D26" s="393"/>
      <x:c r="E26" s="393"/>
      <x:c r="F26" s="393"/>
      <x:c r="G26" s="393"/>
      <x:c r="H26" s="393"/>
      <x:c r="I26" s="393"/>
      <x:c r="J26" s="393"/>
      <x:c r="K26" s="393"/>
      <x:c r="L26" s="393"/>
    </x:row>
    <x:row r="27" ht="15" customHeight="1">
      <x:c r="A27" s="392"/>
      <x:c r="B27" s="392" t="str">
        <x:v>At 31 March 20X1</x:v>
      </x:c>
      <x:c r="C27" s="393"/>
      <x:c r="D27" s="393"/>
      <x:c r="E27" s="393"/>
      <x:c r="F27" s="393"/>
      <x:c r="G27" s="393"/>
      <x:c r="H27" s="393"/>
      <x:c r="I27" s="393"/>
      <x:c r="J27" s="393"/>
      <x:c r="K27" s="393"/>
      <x:c r="L27" s="393"/>
    </x:row>
    <x:row r="28" ht="15" customHeight="1">
      <x:c r="A28" s="392"/>
      <x:c r="B28" s="392" t="str">
        <x:v>At 31 March 20X2</x:v>
      </x:c>
      <x:c r="C28" s="393"/>
      <x:c r="D28" s="393"/>
      <x:c r="E28" s="393"/>
      <x:c r="F28" s="393"/>
      <x:c r="G28" s="393"/>
      <x:c r="H28" s="393"/>
      <x:c r="I28" s="393"/>
      <x:c r="J28" s="393"/>
      <x:c r="K28" s="393"/>
      <x:c r="L28" s="393"/>
    </x:row>
    <x:row r="29" ht="15" customHeight="1">
      <x:c r="A29" s="392"/>
      <x:c r="B29" s="392"/>
      <x:c r="C29" s="393"/>
      <x:c r="D29" s="393" t="str">
        <x:v>(Amount in Rs.)</x:v>
      </x:c>
      <x:c r="E29" s="393"/>
      <x:c r="F29" s="393"/>
      <x:c r="G29" s="393"/>
      <x:c r="H29" s="393"/>
      <x:c r="I29" s="393"/>
      <x:c r="J29" s="393"/>
      <x:c r="K29" s="393"/>
      <x:c r="L29" s="393"/>
    </x:row>
    <x:row r="30" ht="15" customHeight="1">
      <x:c r="A30" s="398"/>
      <x:c r="B30" s="398" t="str">
        <x:v>Particulars /Assets</x:v>
      </x:c>
      <x:c r="C30" s="399" t="str">
        <x:v>INTANGIBLE ASSETS</x:v>
      </x:c>
      <x:c r="D30" s="399"/>
      <x:c r="E30" s="399"/>
      <x:c r="F30" s="399"/>
      <x:c r="G30" s="399"/>
      <x:c r="H30" s="399"/>
      <x:c r="I30" s="399"/>
      <x:c r="J30" s="399"/>
      <x:c r="K30" s="399"/>
      <x:c r="L30" s="399"/>
    </x:row>
    <x:row r="31" ht="45" customHeight="1">
      <x:c r="A31" s="396"/>
      <x:c r="B31" s="396"/>
      <x:c r="C31" s="397" t="str">
        <x:v>Goodwill</x:v>
      </x:c>
      <x:c r="D31" s="397" t="str">
        <x:v>Brands/trademarks</x:v>
      </x:c>
      <x:c r="E31" s="397" t="str">
        <x:v>Computer Software</x:v>
      </x:c>
      <x:c r="F31" s="397" t="str">
        <x:v>Mining Rights</x:v>
      </x:c>
      <x:c r="G31" s="397" t="str">
        <x:v>Masthead and publishing title</x:v>
      </x:c>
      <x:c r="H31" s="397" t="str">
        <x:v>Copyrights/patents</x:v>
      </x:c>
      <x:c r="I31" s="397" t="str">
        <x:v>Recepie/formulae/model/design prototype</x:v>
      </x:c>
      <x:c r="J31" s="397" t="str">
        <x:v>Liscense and franchise</x:v>
      </x:c>
      <x:c r="K31" s="397" t="str">
        <x:v>Others (specify nature)</x:v>
      </x:c>
      <x:c r="L31" s="397" t="str">
        <x:v>Total</x:v>
      </x:c>
    </x:row>
    <x:row r="32" ht="15" customHeight="1">
      <x:c r="A32" s="392"/>
      <x:c r="B32" s="392" t="str">
        <x:v>Gross Block</x:v>
      </x:c>
      <x:c r="C32" s="393"/>
      <x:c r="D32" s="393"/>
      <x:c r="E32" s="393"/>
      <x:c r="F32" s="393"/>
      <x:c r="G32" s="393"/>
      <x:c r="H32" s="393"/>
      <x:c r="I32" s="393"/>
      <x:c r="J32" s="393"/>
      <x:c r="K32" s="393"/>
      <x:c r="L32" s="393"/>
    </x:row>
    <x:row r="33" ht="15" customHeight="1">
      <x:c r="A33" s="392"/>
      <x:c r="B33" s="392" t="str">
        <x:v>At 1 April 20X1</x:v>
      </x:c>
      <x:c r="C33" s="393"/>
      <x:c r="D33" s="393"/>
      <x:c r="E33" s="393"/>
      <x:c r="F33" s="393"/>
      <x:c r="G33" s="393"/>
      <x:c r="H33" s="393"/>
      <x:c r="I33" s="393"/>
      <x:c r="J33" s="393"/>
      <x:c r="K33" s="393"/>
      <x:c r="L33" s="393"/>
    </x:row>
    <x:row r="34" ht="15" customHeight="1">
      <x:c r="A34" s="392"/>
      <x:c r="B34" s="392" t="str">
        <x:v>Additions</x:v>
      </x:c>
      <x:c r="C34" s="393"/>
      <x:c r="D34" s="393"/>
      <x:c r="E34" s="393"/>
      <x:c r="F34" s="393"/>
      <x:c r="G34" s="393"/>
      <x:c r="H34" s="393"/>
      <x:c r="I34" s="393"/>
      <x:c r="J34" s="393"/>
      <x:c r="K34" s="393"/>
      <x:c r="L34" s="393"/>
    </x:row>
    <x:row r="35" ht="15" customHeight="1">
      <x:c r="A35" s="392"/>
      <x:c r="B35" s="392" t="str">
        <x:v>Deductions/Adjustments</x:v>
      </x:c>
      <x:c r="C35" s="393"/>
      <x:c r="D35" s="393"/>
      <x:c r="E35" s="393"/>
      <x:c r="F35" s="393"/>
      <x:c r="G35" s="393"/>
      <x:c r="H35" s="393"/>
      <x:c r="I35" s="393"/>
      <x:c r="J35" s="393"/>
      <x:c r="K35" s="393"/>
      <x:c r="L35" s="393"/>
    </x:row>
    <x:row r="36" ht="15" customHeight="1">
      <x:c r="A36" s="392"/>
      <x:c r="B36" s="392" t="str">
        <x:v>At 1 April 20X0</x:v>
      </x:c>
      <x:c r="C36" s="393"/>
      <x:c r="D36" s="393"/>
      <x:c r="E36" s="393"/>
      <x:c r="F36" s="393"/>
      <x:c r="G36" s="393"/>
      <x:c r="H36" s="393"/>
      <x:c r="I36" s="393"/>
      <x:c r="J36" s="393"/>
      <x:c r="K36" s="393"/>
      <x:c r="L36" s="393"/>
    </x:row>
    <x:row r="37" ht="15" customHeight="1">
      <x:c r="A37" s="392"/>
      <x:c r="B37" s="392" t="str">
        <x:v>Additions</x:v>
      </x:c>
      <x:c r="C37" s="393"/>
      <x:c r="D37" s="393"/>
      <x:c r="E37" s="393"/>
      <x:c r="F37" s="393"/>
      <x:c r="G37" s="393"/>
      <x:c r="H37" s="393"/>
      <x:c r="I37" s="393"/>
      <x:c r="J37" s="393"/>
      <x:c r="K37" s="393"/>
      <x:c r="L37" s="393"/>
    </x:row>
    <x:row r="38" ht="15" customHeight="1">
      <x:c r="A38" s="392"/>
      <x:c r="B38" s="392" t="str">
        <x:v>Deductions/Adjustments</x:v>
      </x:c>
      <x:c r="C38" s="393"/>
      <x:c r="D38" s="393"/>
      <x:c r="E38" s="393"/>
      <x:c r="F38" s="393"/>
      <x:c r="G38" s="393"/>
      <x:c r="H38" s="393"/>
      <x:c r="I38" s="393"/>
      <x:c r="J38" s="393"/>
      <x:c r="K38" s="393"/>
      <x:c r="L38" s="393"/>
    </x:row>
    <x:row r="39" ht="15" customHeight="1">
      <x:c r="A39" s="392"/>
      <x:c r="B39" s="392" t="str">
        <x:v>At 31 March 20X2</x:v>
      </x:c>
      <x:c r="C39" s="393"/>
      <x:c r="D39" s="393"/>
      <x:c r="E39" s="393"/>
      <x:c r="F39" s="393"/>
      <x:c r="G39" s="393"/>
      <x:c r="H39" s="393"/>
      <x:c r="I39" s="393"/>
      <x:c r="J39" s="393"/>
      <x:c r="K39" s="393"/>
      <x:c r="L39" s="393"/>
    </x:row>
    <x:row r="40" ht="15" customHeight="1">
      <x:c r="A40" s="392"/>
      <x:c r="B40" s="392" t="str">
        <x:v>At 31 March 20X1</x:v>
      </x:c>
      <x:c r="C40" s="393"/>
      <x:c r="D40" s="393"/>
      <x:c r="E40" s="393"/>
      <x:c r="F40" s="393"/>
      <x:c r="G40" s="393"/>
      <x:c r="H40" s="393"/>
      <x:c r="I40" s="393"/>
      <x:c r="J40" s="393"/>
      <x:c r="K40" s="393"/>
      <x:c r="L40" s="393"/>
    </x:row>
    <x:row r="41" ht="15" customHeight="1">
      <x:c r="A41" s="392"/>
      <x:c r="B41" s="392" t="str">
        <x:v>Amortization/Adjustment</x:v>
      </x:c>
      <x:c r="C41" s="393"/>
      <x:c r="D41" s="393"/>
      <x:c r="E41" s="393"/>
      <x:c r="F41" s="393"/>
      <x:c r="G41" s="393"/>
      <x:c r="H41" s="393"/>
      <x:c r="I41" s="393"/>
      <x:c r="J41" s="393"/>
      <x:c r="K41" s="393"/>
      <x:c r="L41" s="393"/>
    </x:row>
    <x:row r="42" ht="15" customHeight="1">
      <x:c r="A42" s="392"/>
      <x:c r="B42" s="392" t="str">
        <x:v>At 1 April 20X1</x:v>
      </x:c>
      <x:c r="C42" s="393"/>
      <x:c r="D42" s="393"/>
      <x:c r="E42" s="393"/>
      <x:c r="F42" s="393"/>
      <x:c r="G42" s="393"/>
      <x:c r="H42" s="393"/>
      <x:c r="I42" s="393"/>
      <x:c r="J42" s="393"/>
      <x:c r="K42" s="393"/>
      <x:c r="L42" s="393"/>
    </x:row>
    <x:row r="43" ht="15" customHeight="1">
      <x:c r="A43" s="392"/>
      <x:c r="B43" s="392" t="str">
        <x:v>Additions</x:v>
      </x:c>
      <x:c r="C43" s="393"/>
      <x:c r="D43" s="393"/>
      <x:c r="E43" s="393"/>
      <x:c r="F43" s="393"/>
      <x:c r="G43" s="393"/>
      <x:c r="H43" s="393"/>
      <x:c r="I43" s="393"/>
      <x:c r="J43" s="393"/>
      <x:c r="K43" s="393"/>
      <x:c r="L43" s="393"/>
    </x:row>
    <x:row r="44" ht="15" customHeight="1">
      <x:c r="A44" s="392"/>
      <x:c r="B44" s="392" t="str">
        <x:v>Deductions/Adjustments</x:v>
      </x:c>
      <x:c r="C44" s="393"/>
      <x:c r="D44" s="393"/>
      <x:c r="E44" s="393"/>
      <x:c r="F44" s="393"/>
      <x:c r="G44" s="393"/>
      <x:c r="H44" s="393"/>
      <x:c r="I44" s="393"/>
      <x:c r="J44" s="393"/>
      <x:c r="K44" s="393"/>
      <x:c r="L44" s="393"/>
    </x:row>
    <x:row r="45" ht="15" customHeight="1">
      <x:c r="A45" s="392"/>
      <x:c r="B45" s="392" t="str">
        <x:v>At 1 April 20X0</x:v>
      </x:c>
      <x:c r="C45" s="393"/>
      <x:c r="D45" s="393"/>
      <x:c r="E45" s="393"/>
      <x:c r="F45" s="393"/>
      <x:c r="G45" s="393"/>
      <x:c r="H45" s="393"/>
      <x:c r="I45" s="393"/>
      <x:c r="J45" s="393"/>
      <x:c r="K45" s="393"/>
      <x:c r="L45" s="393"/>
    </x:row>
    <x:row r="46" ht="15" customHeight="1">
      <x:c r="A46" s="392"/>
      <x:c r="B46" s="392" t="str">
        <x:v>Additions</x:v>
      </x:c>
      <x:c r="C46" s="393"/>
      <x:c r="D46" s="393"/>
      <x:c r="E46" s="393"/>
      <x:c r="F46" s="393"/>
      <x:c r="G46" s="393"/>
      <x:c r="H46" s="393"/>
      <x:c r="I46" s="393"/>
      <x:c r="J46" s="393"/>
      <x:c r="K46" s="393"/>
      <x:c r="L46" s="393"/>
    </x:row>
    <x:row r="47" ht="15" customHeight="1">
      <x:c r="A47" s="392"/>
      <x:c r="B47" s="392" t="str">
        <x:v>Deductions/Adjustments</x:v>
      </x:c>
      <x:c r="C47" s="393"/>
      <x:c r="D47" s="393"/>
      <x:c r="E47" s="393"/>
      <x:c r="F47" s="393"/>
      <x:c r="G47" s="393"/>
      <x:c r="H47" s="393"/>
      <x:c r="I47" s="393"/>
      <x:c r="J47" s="393"/>
      <x:c r="K47" s="393"/>
      <x:c r="L47" s="393"/>
    </x:row>
    <x:row r="48" ht="15" customHeight="1">
      <x:c r="A48" s="392"/>
      <x:c r="B48" s="392" t="str">
        <x:v>At 31 March 20X2</x:v>
      </x:c>
      <x:c r="C48" s="393"/>
      <x:c r="D48" s="393"/>
      <x:c r="E48" s="393"/>
      <x:c r="F48" s="393"/>
      <x:c r="G48" s="393"/>
      <x:c r="H48" s="393"/>
      <x:c r="I48" s="393"/>
      <x:c r="J48" s="393"/>
      <x:c r="K48" s="393"/>
      <x:c r="L48" s="393"/>
    </x:row>
    <x:row r="49" ht="15" customHeight="1">
      <x:c r="A49" s="392"/>
      <x:c r="B49" s="392" t="str">
        <x:v>At 31 March 20X1</x:v>
      </x:c>
      <x:c r="C49" s="393"/>
      <x:c r="D49" s="393"/>
      <x:c r="E49" s="393"/>
      <x:c r="F49" s="393"/>
      <x:c r="G49" s="393"/>
      <x:c r="H49" s="393"/>
      <x:c r="I49" s="393"/>
      <x:c r="J49" s="393"/>
      <x:c r="K49" s="393"/>
      <x:c r="L49" s="393"/>
    </x:row>
    <x:row r="50" ht="15" customHeight="1">
      <x:c r="A50" s="392"/>
      <x:c r="B50" s="392" t="str">
        <x:v>Net Block</x:v>
      </x:c>
      <x:c r="C50" s="393"/>
      <x:c r="D50" s="393"/>
      <x:c r="E50" s="393"/>
      <x:c r="F50" s="393"/>
      <x:c r="G50" s="393"/>
      <x:c r="H50" s="393"/>
      <x:c r="I50" s="393"/>
      <x:c r="J50" s="393"/>
      <x:c r="K50" s="393"/>
      <x:c r="L50" s="393"/>
    </x:row>
    <x:row r="51" ht="15" customHeight="1">
      <x:c r="A51" s="392"/>
      <x:c r="B51" s="392" t="str">
        <x:v>At 31 March 20X1</x:v>
      </x:c>
      <x:c r="C51" s="393"/>
      <x:c r="D51" s="393"/>
      <x:c r="E51" s="393"/>
      <x:c r="F51" s="393"/>
      <x:c r="G51" s="393"/>
      <x:c r="H51" s="393"/>
      <x:c r="I51" s="393"/>
      <x:c r="J51" s="393"/>
      <x:c r="K51" s="393"/>
      <x:c r="L51" s="393"/>
    </x:row>
    <x:row r="52" ht="15" customHeight="1">
      <x:c r="A52" s="392"/>
      <x:c r="B52" s="392" t="str">
        <x:v>At 31 March 20X2</x:v>
      </x:c>
      <x:c r="C52" s="393"/>
      <x:c r="D52" s="393"/>
      <x:c r="E52" s="393"/>
      <x:c r="F52" s="393"/>
      <x:c r="G52" s="393"/>
      <x:c r="H52" s="393"/>
      <x:c r="I52" s="393"/>
      <x:c r="J52" s="393"/>
      <x:c r="K52" s="393"/>
      <x:c r="L52" s="393"/>
    </x:row>
    <x:row r="53" ht="15" customHeight="1">
      <x:c r="A53" s="392"/>
      <x:c r="B53" s="392"/>
      <x:c r="C53" s="393"/>
      <x:c r="D53" s="393"/>
      <x:c r="E53" s="393"/>
      <x:c r="F53" s="393"/>
      <x:c r="G53" s="393"/>
      <x:c r="H53" s="393"/>
      <x:c r="I53" s="393"/>
      <x:c r="J53" s="393"/>
      <x:c r="K53" s="393"/>
      <x:c r="L53" s="393"/>
    </x:row>
    <x:row r="54" ht="15" customHeight="1">
      <x:c r="A54" s="392"/>
      <x:c r="B54" s="392" t="str">
        <x:v>Assets under lease to be separately specified under each class of asset.</x:v>
      </x:c>
      <x:c r="C54" s="393"/>
      <x:c r="D54" s="393"/>
      <x:c r="E54" s="393"/>
      <x:c r="F54" s="393"/>
      <x:c r="G54" s="393"/>
      <x:c r="H54" s="393"/>
      <x:c r="I54" s="393"/>
      <x:c r="J54" s="393"/>
      <x:c r="K54" s="393"/>
      <x:c r="L54" s="393"/>
    </x:row>
    <x:row r="55" ht="30" customHeight="1">
      <x:c r="A55" s="392"/>
      <x:c r="B55" s="392" t="str">
        <x:v>Capital Work in Progress</x:v>
      </x:c>
      <x:c r="C55" s="393"/>
      <x:c r="D55" s="393" t="str">
        <x:v>31 March 20XX</x:v>
      </x:c>
      <x:c r="E55" s="393" t="str">
        <x:v>31 March 20XX</x:v>
      </x:c>
      <x:c r="F55" s="393"/>
      <x:c r="G55" s="393"/>
      <x:c r="H55" s="393"/>
      <x:c r="I55" s="393" t="str">
        <x:v>Intangible assets under development</x:v>
      </x:c>
      <x:c r="J55" s="393"/>
      <x:c r="K55" s="393" t="str">
        <x:v>31 March 20XX</x:v>
      </x:c>
      <x:c r="L55" s="393" t="str">
        <x:v>31 March 20XX</x:v>
      </x:c>
    </x:row>
    <x:row r="56" ht="15" customHeight="1">
      <x:c r="A56" s="392"/>
      <x:c r="B56" s="392"/>
      <x:c r="C56" s="393"/>
      <x:c r="D56" s="393"/>
      <x:c r="E56" s="393"/>
      <x:c r="F56" s="393"/>
      <x:c r="G56" s="393"/>
      <x:c r="H56" s="393"/>
      <x:c r="I56" s="393"/>
      <x:c r="J56" s="393"/>
      <x:c r="K56" s="393"/>
      <x:c r="L56" s="393"/>
    </x:row>
    <x:row r="57" ht="15" customHeight="1">
      <x:c r="A57" s="392"/>
      <x:c r="B57" s="392" t="str">
        <x:v>Opening Balance</x:v>
      </x:c>
      <x:c r="C57" s="393"/>
      <x:c r="D57" s="393" t="n">
        <x:v>0</x:v>
      </x:c>
      <x:c r="E57" s="393" t="n">
        <x:v>0</x:v>
      </x:c>
      <x:c r="F57" s="393"/>
      <x:c r="G57" s="393"/>
      <x:c r="H57" s="393"/>
      <x:c r="I57" s="393" t="str">
        <x:v>Opening Balance</x:v>
      </x:c>
      <x:c r="J57" s="393"/>
      <x:c r="K57" s="393" t="n">
        <x:v>0</x:v>
      </x:c>
      <x:c r="L57" s="393" t="n">
        <x:v>0</x:v>
      </x:c>
    </x:row>
    <x:row r="58" ht="15" customHeight="1">
      <x:c r="A58" s="392"/>
      <x:c r="B58" s="392" t="str">
        <x:v>Add: Additions during the year</x:v>
      </x:c>
      <x:c r="C58" s="393"/>
      <x:c r="D58" s="393" t="n">
        <x:v>0</x:v>
      </x:c>
      <x:c r="E58" s="393" t="n">
        <x:v>0</x:v>
      </x:c>
      <x:c r="F58" s="393"/>
      <x:c r="G58" s="393"/>
      <x:c r="H58" s="393"/>
      <x:c r="I58" s="393" t="str">
        <x:v>Add: Additions during the year</x:v>
      </x:c>
      <x:c r="J58" s="393"/>
      <x:c r="K58" s="393" t="n">
        <x:v>0</x:v>
      </x:c>
      <x:c r="L58" s="393" t="n">
        <x:v>0</x:v>
      </x:c>
    </x:row>
    <x:row r="59" ht="15" customHeight="1">
      <x:c r="A59" s="392"/>
      <x:c r="B59" s="392" t="str">
        <x:v>Less: Capitalized during the year</x:v>
      </x:c>
      <x:c r="C59" s="393"/>
      <x:c r="D59" s="393" t="n">
        <x:v>0</x:v>
      </x:c>
      <x:c r="E59" s="393" t="n">
        <x:v>0</x:v>
      </x:c>
      <x:c r="F59" s="393"/>
      <x:c r="G59" s="393"/>
      <x:c r="H59" s="393"/>
      <x:c r="I59" s="393" t="str">
        <x:v>Less: Capitalized during the year</x:v>
      </x:c>
      <x:c r="J59" s="393"/>
      <x:c r="K59" s="393" t="n">
        <x:v>0</x:v>
      </x:c>
      <x:c r="L59" s="393" t="n">
        <x:v>0</x:v>
      </x:c>
    </x:row>
    <x:row r="60" ht="15.75" customHeight="1">
      <x:c r="A60" s="396"/>
      <x:c r="B60" s="396" t="str">
        <x:v>Closing Balance (B)</x:v>
      </x:c>
      <x:c r="C60" s="397"/>
      <x:c r="D60" s="397" t="n">
        <x:v>0</x:v>
      </x:c>
      <x:c r="E60" s="397" t="n">
        <x:v>0</x:v>
      </x:c>
      <x:c r="F60" s="397"/>
      <x:c r="G60" s="397"/>
      <x:c r="H60" s="397"/>
      <x:c r="I60" s="397" t="str">
        <x:v>Closing Balance (B)</x:v>
      </x:c>
      <x:c r="J60" s="397"/>
      <x:c r="K60" s="397" t="n">
        <x:v>0</x:v>
      </x:c>
      <x:c r="L60" s="397" t="n">
        <x:v>0</x:v>
      </x:c>
    </x:row>
    <x:row r="62">
      <x:c r="A62" s="79"/>
      <x:c r="B62" s="79"/>
      <x:c r="C62" s="79"/>
      <x:c r="D62" s="79"/>
      <x:c r="E62" s="79"/>
      <x:c r="F62" s="79"/>
    </x:row>
  </x:sheetData>
  <x:mergeCells>
    <x:mergeCell ref="D29:L29"/>
    <x:mergeCell ref="F5:J5"/>
    <x:mergeCell ref="B8:J8"/>
    <x:mergeCell ref="B17:J17"/>
    <x:mergeCell ref="B26:J26"/>
    <x:mergeCell ref="B6:B7"/>
    <x:mergeCell ref="C6:J6"/>
    <x:mergeCell ref="B54:E54"/>
    <x:mergeCell ref="B32:L32"/>
    <x:mergeCell ref="B41:L41"/>
    <x:mergeCell ref="B50:L50"/>
    <x:mergeCell ref="C30:L30"/>
    <x:mergeCell ref="B30:B31"/>
  </x:mergeCells>
  <x:pageMargins left="0.7" right="0.7" top="0.75" bottom="0.75" header="0.3" footer="0.3"/>
</x:worksheet>
</file>

<file path=xl/worksheets/sheet13.xml><?xml version="1.0" encoding="utf-8"?>
<x:worksheet xmlns:x="http://schemas.openxmlformats.org/spreadsheetml/2006/main">
  <x:sheetFormatPr defaultRowHeight="15"/>
  <x:cols>
    <x:col min="1" max="1" width="5.42578125" hidden="0" customWidth="1"/>
    <x:col min="2" max="2" width="66.42578125" hidden="0" customWidth="1"/>
    <x:col min="3" max="3" width="6.140625" hidden="0" customWidth="1"/>
    <x:col min="4" max="4" width="8.5703125" hidden="0" customWidth="1"/>
    <x:col min="5" max="5" width="7.7109375" hidden="0" customWidth="1"/>
    <x:col min="6" max="6" width="16.7109375" hidden="0" customWidth="1"/>
    <x:col min="7" max="7" width="17.42578125" hidden="0" customWidth="1"/>
    <x:col min="8" max="8" width="0.42578125" hidden="0" customWidth="1"/>
    <x:col min="9" max="9" width="17.5703125" hidden="0" customWidth="1"/>
    <x:col min="10" max="10" width="19.7109375" hidden="0" customWidth="1"/>
  </x:cols>
  <x:sheetData>
    <x:row r="1">
      <x:c r="A1" s="392"/>
      <x:c r="B1" s="392"/>
      <x:c r="C1" s="393"/>
      <x:c r="D1" s="393"/>
      <x:c r="E1" s="393"/>
      <x:c r="F1" s="393"/>
      <x:c r="G1" s="393"/>
      <x:c r="H1" s="393"/>
      <x:c r="I1" s="393"/>
      <x:c r="J1" s="393"/>
      <x:c r="M1" s="184"/>
    </x:row>
    <x:row r="2">
      <x:c r="A2" s="412" t="n">
        <x:f>'Basic Info'!C13</x:f>
        <x:v>0</x:v>
      </x:c>
      <x:c r="B2" s="412"/>
      <x:c r="C2" s="413"/>
      <x:c r="D2" s="413"/>
      <x:c r="E2" s="413"/>
      <x:c r="F2" s="413"/>
      <x:c r="G2" s="413"/>
      <x:c r="H2" s="413"/>
      <x:c r="I2" s="413"/>
      <x:c r="J2" s="413"/>
    </x:row>
    <x:row r="3">
      <x:c r="A3" s="412" t="str">
        <x:f>"Notes forming part of the Financial Statements for the year ended "&amp;TEXT('Basic Info'!C8,"dd-mmm-yyyy")</x:f>
        <x:v>Notes forming part of the Financial Statements for the year ended </x:v>
      </x:c>
      <x:c r="B3" s="412"/>
      <x:c r="C3" s="413"/>
      <x:c r="D3" s="413"/>
      <x:c r="E3" s="413"/>
      <x:c r="F3" s="413"/>
      <x:c r="G3" s="413"/>
      <x:c r="H3" s="413"/>
      <x:c r="I3" s="413"/>
      <x:c r="J3" s="413"/>
    </x:row>
    <x:row r="4" ht="33" customHeight="1">
      <x:c r="A4" s="392"/>
      <x:c r="B4" s="392"/>
      <x:c r="C4" s="393"/>
      <x:c r="D4" s="393"/>
      <x:c r="E4" s="393"/>
      <x:c r="F4" s="393"/>
      <x:c r="G4" s="393" t="str">
        <x:v>(Amount in Rs.)</x:v>
      </x:c>
      <x:c r="H4" s="393"/>
      <x:c r="I4" s="393"/>
      <x:c r="J4" s="393"/>
    </x:row>
    <x:row r="5" ht="15.75" customHeight="1">
      <x:c r="A5" s="392" t="n">
        <x:v>12</x:v>
      </x:c>
      <x:c r="B5" s="392" t="str">
        <x:v>Investments - Non Current and Current</x:v>
      </x:c>
      <x:c r="C5" s="393"/>
      <x:c r="D5" s="393"/>
      <x:c r="E5" s="393" t="str">
        <x:v>As at 31- March- 20XX</x:v>
      </x:c>
      <x:c r="F5" s="393"/>
      <x:c r="G5" s="393"/>
      <x:c r="H5" s="393"/>
      <x:c r="I5" s="393" t="str">
        <x:v>As at 31- March- 20XX</x:v>
      </x:c>
      <x:c r="J5" s="393"/>
    </x:row>
    <x:row r="6" ht="30" customHeight="1">
      <x:c r="A6" s="392"/>
      <x:c r="B6" s="392" t="str">
        <x:v>(valued at historical cost unless stated otherwise)</x:v>
      </x:c>
      <x:c r="C6" s="393"/>
      <x:c r="D6" s="393"/>
      <x:c r="E6" s="393" t="str">
        <x:v>Face Value</x:v>
      </x:c>
      <x:c r="F6" s="393" t="str">
        <x:v>Numbers/ Units/ Shares</x:v>
      </x:c>
      <x:c r="G6" s="393" t="str">
        <x:v>Book Value</x:v>
      </x:c>
      <x:c r="H6" s="393"/>
      <x:c r="I6" s="393" t="str">
        <x:v>Numbers/ Units/ Shares</x:v>
      </x:c>
      <x:c r="J6" s="393" t="str">
        <x:v>Book Value</x:v>
      </x:c>
    </x:row>
    <x:row r="7">
      <x:c r="A7" s="392"/>
      <x:c r="B7" s="392" t="str">
        <x:v>Trade Investments -Quoted</x:v>
      </x:c>
      <x:c r="C7" s="393"/>
      <x:c r="D7" s="393"/>
      <x:c r="E7" s="393"/>
      <x:c r="F7" s="393"/>
      <x:c r="G7" s="393"/>
      <x:c r="H7" s="393"/>
      <x:c r="I7" s="393"/>
      <x:c r="J7" s="393"/>
    </x:row>
    <x:row r="8">
      <x:c r="A8" s="392" t="str">
        <x:v>(a)</x:v>
      </x:c>
      <x:c r="B8" s="392" t="str">
        <x:v>Investments in Other Entities</x:v>
      </x:c>
      <x:c r="C8" s="393"/>
      <x:c r="D8" s="393"/>
      <x:c r="E8" s="393"/>
      <x:c r="F8" s="393"/>
      <x:c r="G8" s="393"/>
      <x:c r="H8" s="393"/>
      <x:c r="I8" s="393"/>
      <x:c r="J8" s="393"/>
    </x:row>
    <x:row r="9">
      <x:c r="A9" s="392"/>
      <x:c r="B9" s="392" t="str">
        <x:v>Less: Provision for diminution in value of investments</x:v>
      </x:c>
      <x:c r="C9" s="393"/>
      <x:c r="D9" s="393"/>
      <x:c r="E9" s="393"/>
      <x:c r="F9" s="393"/>
      <x:c r="G9" s="393" t="n">
        <x:v>0</x:v>
      </x:c>
      <x:c r="H9" s="393"/>
      <x:c r="I9" s="393"/>
      <x:c r="J9" s="393" t="n">
        <x:v>0</x:v>
      </x:c>
    </x:row>
    <x:row r="10">
      <x:c r="A10" s="392" t="str">
        <x:v>(b)</x:v>
      </x:c>
      <x:c r="B10" s="392" t="str">
        <x:v>Investments in partnership firm (Refer footnote 1)</x:v>
      </x:c>
      <x:c r="C10" s="393"/>
      <x:c r="D10" s="393"/>
      <x:c r="E10" s="393"/>
      <x:c r="F10" s="393"/>
      <x:c r="G10" s="393" t="n">
        <x:v>0</x:v>
      </x:c>
      <x:c r="H10" s="393"/>
      <x:c r="I10" s="393"/>
      <x:c r="J10" s="393" t="n">
        <x:v>0</x:v>
      </x:c>
    </x:row>
    <x:row r="11">
      <x:c r="A11" s="392"/>
      <x:c r="B11" s="392"/>
      <x:c r="C11" s="393"/>
      <x:c r="D11" s="393"/>
      <x:c r="E11" s="393"/>
      <x:c r="F11" s="393"/>
      <x:c r="G11" s="393"/>
      <x:c r="H11" s="393"/>
      <x:c r="I11" s="393"/>
      <x:c r="J11" s="393"/>
    </x:row>
    <x:row r="12">
      <x:c r="A12" s="392"/>
      <x:c r="B12" s="392" t="str">
        <x:v>Other Investments</x:v>
      </x:c>
      <x:c r="C12" s="393"/>
      <x:c r="D12" s="393"/>
      <x:c r="E12" s="393"/>
      <x:c r="F12" s="393"/>
      <x:c r="G12" s="393"/>
      <x:c r="H12" s="393"/>
      <x:c r="I12" s="393"/>
      <x:c r="J12" s="393"/>
    </x:row>
    <x:row r="13">
      <x:c r="A13" s="392" t="str">
        <x:v>(c)</x:v>
      </x:c>
      <x:c r="B13" s="392" t="str">
        <x:v>Investments in preference shares </x:v>
      </x:c>
      <x:c r="C13" s="393"/>
      <x:c r="D13" s="393"/>
      <x:c r="E13" s="393"/>
      <x:c r="F13" s="393"/>
      <x:c r="G13" s="393" t="n">
        <x:v>0</x:v>
      </x:c>
      <x:c r="H13" s="393"/>
      <x:c r="I13" s="393"/>
      <x:c r="J13" s="393" t="n">
        <x:v>0</x:v>
      </x:c>
    </x:row>
    <x:row r="14">
      <x:c r="A14" s="392" t="str">
        <x:v>(d)</x:v>
      </x:c>
      <x:c r="B14" s="392" t="str">
        <x:v>Investments in equity instruments</x:v>
      </x:c>
      <x:c r="C14" s="393"/>
      <x:c r="D14" s="393"/>
      <x:c r="E14" s="393"/>
      <x:c r="F14" s="393"/>
      <x:c r="G14" s="393" t="n">
        <x:v>0</x:v>
      </x:c>
      <x:c r="H14" s="393"/>
      <x:c r="I14" s="393"/>
      <x:c r="J14" s="393" t="n">
        <x:v>0</x:v>
      </x:c>
    </x:row>
    <x:row r="15">
      <x:c r="A15" s="392" t="str">
        <x:v>(e)</x:v>
      </x:c>
      <x:c r="B15" s="392" t="str">
        <x:v>Investments in government or trust securities </x:v>
      </x:c>
      <x:c r="C15" s="393"/>
      <x:c r="D15" s="393"/>
      <x:c r="E15" s="393"/>
      <x:c r="F15" s="393"/>
      <x:c r="G15" s="393" t="n">
        <x:v>0</x:v>
      </x:c>
      <x:c r="H15" s="393"/>
      <x:c r="I15" s="393"/>
      <x:c r="J15" s="393" t="n">
        <x:v>0</x:v>
      </x:c>
    </x:row>
    <x:row r="16">
      <x:c r="A16" s="392" t="str">
        <x:v>(f)</x:v>
      </x:c>
      <x:c r="B16" s="392" t="str">
        <x:v>Investments in debentures or bonds </x:v>
      </x:c>
      <x:c r="C16" s="393"/>
      <x:c r="D16" s="393"/>
      <x:c r="E16" s="393"/>
      <x:c r="F16" s="393"/>
      <x:c r="G16" s="393" t="n">
        <x:v>0</x:v>
      </x:c>
      <x:c r="H16" s="393"/>
      <x:c r="I16" s="393"/>
      <x:c r="J16" s="393" t="n">
        <x:v>0</x:v>
      </x:c>
    </x:row>
    <x:row r="17">
      <x:c r="A17" s="392" t="str">
        <x:v>(g)</x:v>
      </x:c>
      <x:c r="B17" s="392" t="str">
        <x:v>Investments in mutual funds </x:v>
      </x:c>
      <x:c r="C17" s="393"/>
      <x:c r="D17" s="393"/>
      <x:c r="E17" s="393"/>
      <x:c r="F17" s="393"/>
      <x:c r="G17" s="393" t="n">
        <x:v>0</x:v>
      </x:c>
      <x:c r="H17" s="393"/>
      <x:c r="I17" s="393"/>
      <x:c r="J17" s="393" t="n">
        <x:v>0</x:v>
      </x:c>
    </x:row>
    <x:row r="18">
      <x:c r="A18" s="392" t="str">
        <x:v>(h)</x:v>
      </x:c>
      <x:c r="B18" s="392" t="str">
        <x:v>Investments property</x:v>
      </x:c>
      <x:c r="C18" s="393"/>
      <x:c r="D18" s="393"/>
      <x:c r="E18" s="393"/>
      <x:c r="F18" s="393"/>
      <x:c r="G18" s="393" t="n">
        <x:v>0</x:v>
      </x:c>
      <x:c r="H18" s="393"/>
      <x:c r="I18" s="393"/>
      <x:c r="J18" s="393" t="n">
        <x:v>0</x:v>
      </x:c>
    </x:row>
    <x:row r="19">
      <x:c r="A19" s="392" t="str">
        <x:v>(i)</x:v>
      </x:c>
      <x:c r="B19" s="392" t="str">
        <x:v>Other non-current investments (specify nature)</x:v>
      </x:c>
      <x:c r="C19" s="393"/>
      <x:c r="D19" s="393"/>
      <x:c r="E19" s="393"/>
      <x:c r="F19" s="393"/>
      <x:c r="G19" s="393" t="n">
        <x:v>0</x:v>
      </x:c>
      <x:c r="H19" s="393"/>
      <x:c r="I19" s="393"/>
      <x:c r="J19" s="393" t="n">
        <x:v>0</x:v>
      </x:c>
    </x:row>
    <x:row r="20">
      <x:c r="A20" s="396"/>
      <x:c r="B20" s="396" t="str">
        <x:v>Total Investments</x:v>
      </x:c>
      <x:c r="C20" s="397"/>
      <x:c r="D20" s="397"/>
      <x:c r="E20" s="397"/>
      <x:c r="F20" s="397"/>
      <x:c r="G20" s="397" t="n">
        <x:v>0</x:v>
      </x:c>
      <x:c r="H20" s="397"/>
      <x:c r="I20" s="397"/>
      <x:c r="J20" s="397" t="n">
        <x:v>0</x:v>
      </x:c>
    </x:row>
    <x:row r="21">
      <x:c r="A21" s="392"/>
      <x:c r="B21" s="392"/>
      <x:c r="C21" s="393"/>
      <x:c r="D21" s="393"/>
      <x:c r="E21" s="393"/>
      <x:c r="F21" s="393"/>
      <x:c r="G21" s="393"/>
      <x:c r="H21" s="393"/>
      <x:c r="I21" s="393"/>
      <x:c r="J21" s="393"/>
    </x:row>
    <x:row r="22">
      <x:c r="A22" s="392"/>
      <x:c r="B22" s="392" t="str">
        <x:v>Trade Investments - Unquoted</x:v>
      </x:c>
      <x:c r="C22" s="393"/>
      <x:c r="D22" s="393"/>
      <x:c r="E22" s="393"/>
      <x:c r="F22" s="393"/>
      <x:c r="G22" s="393"/>
      <x:c r="H22" s="393"/>
      <x:c r="I22" s="393"/>
      <x:c r="J22" s="393"/>
    </x:row>
    <x:row r="23">
      <x:c r="A23" s="392" t="str">
        <x:v>(a)</x:v>
      </x:c>
      <x:c r="B23" s="392" t="str">
        <x:v>Investments in Other Entities</x:v>
      </x:c>
      <x:c r="C23" s="393"/>
      <x:c r="D23" s="393"/>
      <x:c r="E23" s="393"/>
      <x:c r="F23" s="393"/>
      <x:c r="G23" s="393" t="n">
        <x:v>0</x:v>
      </x:c>
      <x:c r="H23" s="393"/>
      <x:c r="I23" s="393"/>
      <x:c r="J23" s="393" t="n">
        <x:v>0</x:v>
      </x:c>
    </x:row>
    <x:row r="24">
      <x:c r="A24" s="392"/>
      <x:c r="B24" s="392" t="str">
        <x:v>Less: Provision for diminution in value of investments</x:v>
      </x:c>
      <x:c r="C24" s="393"/>
      <x:c r="D24" s="393"/>
      <x:c r="E24" s="393"/>
      <x:c r="F24" s="393"/>
      <x:c r="G24" s="393" t="n">
        <x:v>0</x:v>
      </x:c>
      <x:c r="H24" s="393"/>
      <x:c r="I24" s="393"/>
      <x:c r="J24" s="393" t="n">
        <x:v>0</x:v>
      </x:c>
    </x:row>
    <x:row r="25">
      <x:c r="A25" s="392"/>
      <x:c r="B25" s="392"/>
      <x:c r="C25" s="393"/>
      <x:c r="D25" s="393"/>
      <x:c r="E25" s="393"/>
      <x:c r="F25" s="393"/>
      <x:c r="G25" s="393"/>
      <x:c r="H25" s="393"/>
      <x:c r="I25" s="393"/>
      <x:c r="J25" s="393"/>
    </x:row>
    <x:row r="26">
      <x:c r="A26" s="392" t="str">
        <x:v>(b)</x:v>
      </x:c>
      <x:c r="B26" s="392" t="str">
        <x:v>Investments in partnership firm (Refer footnote 1)</x:v>
      </x:c>
      <x:c r="C26" s="393"/>
      <x:c r="D26" s="393"/>
      <x:c r="E26" s="393"/>
      <x:c r="F26" s="393"/>
      <x:c r="G26" s="393" t="n">
        <x:v>0</x:v>
      </x:c>
      <x:c r="H26" s="393"/>
      <x:c r="I26" s="393"/>
      <x:c r="J26" s="393" t="n">
        <x:v>0</x:v>
      </x:c>
    </x:row>
    <x:row r="27">
      <x:c r="A27" s="392"/>
      <x:c r="B27" s="392"/>
      <x:c r="C27" s="393"/>
      <x:c r="D27" s="393"/>
      <x:c r="E27" s="393"/>
      <x:c r="F27" s="393"/>
      <x:c r="G27" s="393"/>
      <x:c r="H27" s="393"/>
      <x:c r="I27" s="393"/>
      <x:c r="J27" s="393"/>
    </x:row>
    <x:row r="28">
      <x:c r="A28" s="392"/>
      <x:c r="B28" s="392" t="str">
        <x:v>Other Investments</x:v>
      </x:c>
      <x:c r="C28" s="393"/>
      <x:c r="D28" s="393"/>
      <x:c r="E28" s="393"/>
      <x:c r="F28" s="393"/>
      <x:c r="G28" s="393"/>
      <x:c r="H28" s="393"/>
      <x:c r="I28" s="393"/>
      <x:c r="J28" s="393"/>
    </x:row>
    <x:row r="29">
      <x:c r="A29" s="392" t="str">
        <x:v>(c)</x:v>
      </x:c>
      <x:c r="B29" s="392" t="str">
        <x:v>Investments in preference shares </x:v>
      </x:c>
      <x:c r="C29" s="393"/>
      <x:c r="D29" s="393"/>
      <x:c r="E29" s="393"/>
      <x:c r="F29" s="393"/>
      <x:c r="G29" s="393" t="n">
        <x:v>0</x:v>
      </x:c>
      <x:c r="H29" s="393"/>
      <x:c r="I29" s="393"/>
      <x:c r="J29" s="393" t="n">
        <x:v>0</x:v>
      </x:c>
    </x:row>
    <x:row r="30">
      <x:c r="A30" s="392" t="str">
        <x:v>(d)</x:v>
      </x:c>
      <x:c r="B30" s="392" t="str">
        <x:v>Investments in equity instruments</x:v>
      </x:c>
      <x:c r="C30" s="393"/>
      <x:c r="D30" s="393"/>
      <x:c r="E30" s="393"/>
      <x:c r="F30" s="393"/>
      <x:c r="G30" s="393" t="n">
        <x:v>0</x:v>
      </x:c>
      <x:c r="H30" s="393"/>
      <x:c r="I30" s="393"/>
      <x:c r="J30" s="393" t="n">
        <x:v>0</x:v>
      </x:c>
    </x:row>
    <x:row r="31">
      <x:c r="A31" s="392" t="str">
        <x:v>(e)</x:v>
      </x:c>
      <x:c r="B31" s="392" t="str">
        <x:v>Investments in government or trust securities </x:v>
      </x:c>
      <x:c r="C31" s="393"/>
      <x:c r="D31" s="393"/>
      <x:c r="E31" s="393"/>
      <x:c r="F31" s="393"/>
      <x:c r="G31" s="393" t="n">
        <x:v>0</x:v>
      </x:c>
      <x:c r="H31" s="393"/>
      <x:c r="I31" s="393"/>
      <x:c r="J31" s="393" t="n">
        <x:v>0</x:v>
      </x:c>
    </x:row>
    <x:row r="32">
      <x:c r="A32" s="392" t="str">
        <x:v>(f)</x:v>
      </x:c>
      <x:c r="B32" s="392" t="str">
        <x:v>Investments in debentures or bonds </x:v>
      </x:c>
      <x:c r="C32" s="393"/>
      <x:c r="D32" s="393"/>
      <x:c r="E32" s="393"/>
      <x:c r="F32" s="393"/>
      <x:c r="G32" s="393" t="n">
        <x:v>0</x:v>
      </x:c>
      <x:c r="H32" s="393"/>
      <x:c r="I32" s="393"/>
      <x:c r="J32" s="393" t="n">
        <x:v>0</x:v>
      </x:c>
    </x:row>
    <x:row r="33">
      <x:c r="A33" s="392" t="str">
        <x:v>(g)</x:v>
      </x:c>
      <x:c r="B33" s="392" t="str">
        <x:v>Investments in mutual funds </x:v>
      </x:c>
      <x:c r="C33" s="393"/>
      <x:c r="D33" s="393"/>
      <x:c r="E33" s="393"/>
      <x:c r="F33" s="393"/>
      <x:c r="G33" s="393" t="n">
        <x:v>0</x:v>
      </x:c>
      <x:c r="H33" s="393"/>
      <x:c r="I33" s="393"/>
      <x:c r="J33" s="393" t="n">
        <x:v>0</x:v>
      </x:c>
    </x:row>
    <x:row r="34">
      <x:c r="A34" s="392" t="str">
        <x:v>(h)</x:v>
      </x:c>
      <x:c r="B34" s="392" t="str">
        <x:v>Other non-current investments (specify nature)</x:v>
      </x:c>
      <x:c r="C34" s="393"/>
      <x:c r="D34" s="393"/>
      <x:c r="E34" s="393"/>
      <x:c r="F34" s="393"/>
      <x:c r="G34" s="393" t="n">
        <x:v>0</x:v>
      </x:c>
      <x:c r="H34" s="393"/>
      <x:c r="I34" s="393"/>
      <x:c r="J34" s="393" t="n">
        <x:v>0</x:v>
      </x:c>
    </x:row>
    <x:row r="35">
      <x:c r="A35" s="392" t="str">
        <x:v>(i)</x:v>
      </x:c>
      <x:c r="B35" s="392" t="str">
        <x:v>Investments property</x:v>
      </x:c>
      <x:c r="C35" s="393"/>
      <x:c r="D35" s="393"/>
      <x:c r="E35" s="393"/>
      <x:c r="F35" s="393"/>
      <x:c r="G35" s="393" t="n">
        <x:v>0</x:v>
      </x:c>
      <x:c r="H35" s="393"/>
      <x:c r="I35" s="393"/>
      <x:c r="J35" s="393" t="n">
        <x:v>0</x:v>
      </x:c>
    </x:row>
    <x:row r="36">
      <x:c r="A36" s="396"/>
      <x:c r="B36" s="396" t="str">
        <x:v>Total Investments</x:v>
      </x:c>
      <x:c r="C36" s="397"/>
      <x:c r="D36" s="397"/>
      <x:c r="E36" s="397"/>
      <x:c r="F36" s="397"/>
      <x:c r="G36" s="397" t="n">
        <x:v>0</x:v>
      </x:c>
      <x:c r="H36" s="397"/>
      <x:c r="I36" s="397"/>
      <x:c r="J36" s="397" t="n">
        <x:v>0</x:v>
      </x:c>
    </x:row>
    <x:row r="37">
      <x:c r="A37" s="392"/>
      <x:c r="B37" s="392"/>
      <x:c r="C37" s="393"/>
      <x:c r="D37" s="393"/>
      <x:c r="E37" s="393"/>
      <x:c r="F37" s="393"/>
      <x:c r="G37" s="393"/>
      <x:c r="H37" s="393"/>
      <x:c r="I37" s="393"/>
      <x:c r="J37" s="393"/>
    </x:row>
    <x:row r="38">
      <x:c r="A38" s="392"/>
      <x:c r="B38" s="392" t="str">
        <x:v>Aggregate market value as at the end of the year:</x:v>
      </x:c>
      <x:c r="C38" s="393"/>
      <x:c r="D38" s="393"/>
      <x:c r="E38" s="393"/>
      <x:c r="F38" s="393"/>
      <x:c r="G38" s="393"/>
      <x:c r="H38" s="393"/>
      <x:c r="I38" s="393"/>
      <x:c r="J38" s="393"/>
    </x:row>
    <x:row r="39">
      <x:c r="A39" s="392"/>
      <x:c r="B39" s="392" t="str">
        <x:v>Aggregate amount of quoted investments and market value thereof</x:v>
      </x:c>
      <x:c r="C39" s="393"/>
      <x:c r="D39" s="393"/>
      <x:c r="E39" s="393"/>
      <x:c r="F39" s="393"/>
      <x:c r="G39" s="393" t="n">
        <x:v>0</x:v>
      </x:c>
      <x:c r="H39" s="393"/>
      <x:c r="I39" s="393"/>
      <x:c r="J39" s="393" t="n">
        <x:v>0</x:v>
      </x:c>
    </x:row>
    <x:row r="40">
      <x:c r="A40" s="392"/>
      <x:c r="B40" s="392" t="str">
        <x:v>Aggregate amount of Un-quoted investments</x:v>
      </x:c>
      <x:c r="C40" s="393"/>
      <x:c r="D40" s="393"/>
      <x:c r="E40" s="393"/>
      <x:c r="F40" s="393"/>
      <x:c r="G40" s="393" t="n">
        <x:v>0</x:v>
      </x:c>
      <x:c r="H40" s="393"/>
      <x:c r="I40" s="393"/>
      <x:c r="J40" s="393" t="n">
        <x:v>0</x:v>
      </x:c>
    </x:row>
    <x:row r="41">
      <x:c r="A41" s="392"/>
      <x:c r="B41" s="392" t="str">
        <x:v>Aggreagte Provision for diminution in value of investments</x:v>
      </x:c>
      <x:c r="C41" s="393"/>
      <x:c r="D41" s="393"/>
      <x:c r="E41" s="393"/>
      <x:c r="F41" s="393"/>
      <x:c r="G41" s="393"/>
      <x:c r="H41" s="393"/>
      <x:c r="I41" s="393"/>
      <x:c r="J41" s="393"/>
    </x:row>
    <x:row r="42">
      <x:c r="A42" s="392"/>
      <x:c r="B42" s="392"/>
      <x:c r="C42" s="393"/>
      <x:c r="D42" s="393"/>
      <x:c r="E42" s="393"/>
      <x:c r="F42" s="393"/>
      <x:c r="G42" s="393"/>
      <x:c r="H42" s="393"/>
      <x:c r="I42" s="393"/>
      <x:c r="J42" s="393"/>
    </x:row>
    <x:row r="43">
      <x:c r="A43" s="392"/>
      <x:c r="B43" s="392" t="str">
        <x:v>Footnote 1: Details of investment in partnership firm</x:v>
      </x:c>
      <x:c r="C43" s="393"/>
      <x:c r="D43" s="393"/>
      <x:c r="E43" s="393"/>
      <x:c r="F43" s="393"/>
      <x:c r="G43" s="393" t="str">
        <x:v>31-March-20XX</x:v>
      </x:c>
      <x:c r="H43" s="393"/>
      <x:c r="I43" s="393"/>
      <x:c r="J43" s="393" t="str">
        <x:v>31-March-20XX</x:v>
      </x:c>
    </x:row>
    <x:row r="44">
      <x:c r="A44" s="392"/>
      <x:c r="B44" s="392" t="str">
        <x:v>Name of partner with % share in profits of such firm</x:v>
      </x:c>
      <x:c r="C44" s="393"/>
      <x:c r="D44" s="393"/>
      <x:c r="E44" s="393"/>
      <x:c r="F44" s="393"/>
      <x:c r="G44" s="393"/>
      <x:c r="H44" s="393"/>
      <x:c r="I44" s="393"/>
      <x:c r="J44" s="393"/>
    </x:row>
    <x:row r="45">
      <x:c r="A45" s="392"/>
      <x:c r="B45" s="392" t="str">
        <x:v>ABC </x:v>
      </x:c>
      <x:c r="C45" s="393"/>
      <x:c r="D45" s="393"/>
      <x:c r="E45" s="393"/>
      <x:c r="F45" s="393"/>
      <x:c r="G45" s="393" t="n">
        <x:v>0</x:v>
      </x:c>
      <x:c r="H45" s="393"/>
      <x:c r="I45" s="393"/>
      <x:c r="J45" s="393" t="n">
        <x:v>0</x:v>
      </x:c>
    </x:row>
    <x:row r="46">
      <x:c r="A46" s="392"/>
      <x:c r="B46" s="392" t="str">
        <x:v>XYZ</x:v>
      </x:c>
      <x:c r="C46" s="393"/>
      <x:c r="D46" s="393"/>
      <x:c r="E46" s="393"/>
      <x:c r="F46" s="393"/>
      <x:c r="G46" s="393" t="n">
        <x:v>0</x:v>
      </x:c>
      <x:c r="H46" s="393"/>
      <x:c r="I46" s="393"/>
      <x:c r="J46" s="393" t="n">
        <x:v>0</x:v>
      </x:c>
    </x:row>
    <x:row r="47">
      <x:c r="A47" s="392"/>
      <x:c r="B47" s="392" t="str">
        <x:v>Mr. A</x:v>
      </x:c>
      <x:c r="C47" s="393"/>
      <x:c r="D47" s="393"/>
      <x:c r="E47" s="393"/>
      <x:c r="F47" s="393"/>
      <x:c r="G47" s="393" t="n">
        <x:v>0</x:v>
      </x:c>
      <x:c r="H47" s="393"/>
      <x:c r="I47" s="393"/>
      <x:c r="J47" s="393" t="n">
        <x:v>0</x:v>
      </x:c>
    </x:row>
    <x:row r="48">
      <x:c r="A48" s="392"/>
      <x:c r="B48" s="392"/>
      <x:c r="C48" s="393"/>
      <x:c r="D48" s="393"/>
      <x:c r="E48" s="393"/>
      <x:c r="F48" s="393"/>
      <x:c r="G48" s="393"/>
      <x:c r="H48" s="393"/>
      <x:c r="I48" s="393"/>
      <x:c r="J48" s="393"/>
    </x:row>
    <x:row r="49">
      <x:c r="A49" s="396"/>
      <x:c r="B49" s="396" t="str">
        <x:v>Total capital of the firm (Amount in  Rs.)</x:v>
      </x:c>
      <x:c r="C49" s="397"/>
      <x:c r="D49" s="397"/>
      <x:c r="E49" s="397"/>
      <x:c r="F49" s="397"/>
      <x:c r="G49" s="397" t="str">
        <x:v>-</x:v>
      </x:c>
      <x:c r="H49" s="397"/>
      <x:c r="I49" s="397"/>
      <x:c r="J49" s="397" t="str">
        <x:v>-</x:v>
      </x:c>
    </x:row>
    <x:row r="50" ht="4.5" customHeight="1">
      <x:c r="A50" s="392"/>
      <x:c r="B50" s="392"/>
      <x:c r="C50" s="393"/>
      <x:c r="D50" s="393"/>
      <x:c r="E50" s="393"/>
      <x:c r="F50" s="393"/>
      <x:c r="G50" s="393"/>
      <x:c r="H50" s="393"/>
      <x:c r="I50" s="393"/>
      <x:c r="J50" s="393"/>
    </x:row>
    <x:row r="51">
      <x:c r="A51" s="392"/>
      <x:c r="B51" s="392" t="str">
        <x:v>Current Investments</x:v>
      </x:c>
      <x:c r="C51" s="393"/>
      <x:c r="D51" s="393"/>
      <x:c r="E51" s="393"/>
      <x:c r="F51" s="393" t="str">
        <x:v>As at 31- March- 20XX</x:v>
      </x:c>
      <x:c r="G51" s="393"/>
      <x:c r="H51" s="393"/>
      <x:c r="I51" s="393" t="str">
        <x:v>As at 31- March- 20XX</x:v>
      </x:c>
      <x:c r="J51" s="393"/>
    </x:row>
    <x:row r="52" ht="30" customHeight="1">
      <x:c r="A52" s="392"/>
      <x:c r="B52" s="392"/>
      <x:c r="C52" s="393"/>
      <x:c r="D52" s="393"/>
      <x:c r="E52" s="393" t="str">
        <x:v>Face Value</x:v>
      </x:c>
      <x:c r="F52" s="393" t="str">
        <x:v>Numbers/ Units/ Shares</x:v>
      </x:c>
      <x:c r="G52" s="393" t="str">
        <x:v>Book Value</x:v>
      </x:c>
      <x:c r="H52" s="393"/>
      <x:c r="I52" s="393" t="str">
        <x:v>Numbers/ Units/ Shares</x:v>
      </x:c>
      <x:c r="J52" s="393" t="str">
        <x:v>Book Value</x:v>
      </x:c>
    </x:row>
    <x:row r="53">
      <x:c r="A53" s="392"/>
      <x:c r="B53" s="392" t="str">
        <x:v>Trade  (valued at lower of cost or market value) - Quoted</x:v>
      </x:c>
      <x:c r="C53" s="393"/>
      <x:c r="D53" s="393"/>
      <x:c r="E53" s="393"/>
      <x:c r="F53" s="393"/>
      <x:c r="G53" s="393"/>
      <x:c r="H53" s="393"/>
      <x:c r="I53" s="393"/>
      <x:c r="J53" s="393"/>
    </x:row>
    <x:row r="54">
      <x:c r="A54" s="392" t="str">
        <x:v>(a)</x:v>
      </x:c>
      <x:c r="B54" s="392" t="str">
        <x:v>Current maturities of long term investments</x:v>
      </x:c>
      <x:c r="C54" s="393"/>
      <x:c r="D54" s="393"/>
      <x:c r="E54" s="393"/>
      <x:c r="F54" s="393"/>
      <x:c r="G54" s="393" t="n">
        <x:v>0</x:v>
      </x:c>
      <x:c r="H54" s="393"/>
      <x:c r="I54" s="393"/>
      <x:c r="J54" s="393" t="n">
        <x:v>0</x:v>
      </x:c>
    </x:row>
    <x:row r="55">
      <x:c r="A55" s="392" t="str">
        <x:v>(b)</x:v>
      </x:c>
      <x:c r="B55" s="392" t="str">
        <x:v>Investments in equity instruments </x:v>
      </x:c>
      <x:c r="C55" s="393"/>
      <x:c r="D55" s="393"/>
      <x:c r="E55" s="393"/>
      <x:c r="F55" s="393"/>
      <x:c r="G55" s="393" t="n">
        <x:v>0</x:v>
      </x:c>
      <x:c r="H55" s="393"/>
      <x:c r="I55" s="393"/>
      <x:c r="J55" s="393" t="n">
        <x:v>0</x:v>
      </x:c>
    </x:row>
    <x:row r="56">
      <x:c r="A56" s="392" t="str">
        <x:v>(c)</x:v>
      </x:c>
      <x:c r="B56" s="392" t="str">
        <x:v>Investments in preference shares </x:v>
      </x:c>
      <x:c r="C56" s="393"/>
      <x:c r="D56" s="393"/>
      <x:c r="E56" s="393"/>
      <x:c r="F56" s="393"/>
      <x:c r="G56" s="393" t="n">
        <x:v>0</x:v>
      </x:c>
      <x:c r="H56" s="393"/>
      <x:c r="I56" s="393"/>
      <x:c r="J56" s="393" t="n">
        <x:v>0</x:v>
      </x:c>
    </x:row>
    <x:row r="57">
      <x:c r="A57" s="392" t="str">
        <x:v>(d)</x:v>
      </x:c>
      <x:c r="B57" s="392" t="str">
        <x:v>Investments in government or trust securities </x:v>
      </x:c>
      <x:c r="C57" s="393"/>
      <x:c r="D57" s="393"/>
      <x:c r="E57" s="393"/>
      <x:c r="F57" s="393"/>
      <x:c r="G57" s="393" t="n">
        <x:v>0</x:v>
      </x:c>
      <x:c r="H57" s="393"/>
      <x:c r="I57" s="393"/>
      <x:c r="J57" s="393" t="n">
        <x:v>0</x:v>
      </x:c>
    </x:row>
    <x:row r="58">
      <x:c r="A58" s="392" t="str">
        <x:v>(e)</x:v>
      </x:c>
      <x:c r="B58" s="392" t="str">
        <x:v>Investments in debentures or bonds </x:v>
      </x:c>
      <x:c r="C58" s="393"/>
      <x:c r="D58" s="393"/>
      <x:c r="E58" s="393"/>
      <x:c r="F58" s="393"/>
      <x:c r="G58" s="393" t="n">
        <x:v>0</x:v>
      </x:c>
      <x:c r="H58" s="393"/>
      <x:c r="I58" s="393"/>
      <x:c r="J58" s="393" t="n">
        <x:v>0</x:v>
      </x:c>
    </x:row>
    <x:row r="59">
      <x:c r="A59" s="392" t="str">
        <x:v>(f)</x:v>
      </x:c>
      <x:c r="B59" s="392" t="str">
        <x:v>Investments in mutual funds </x:v>
      </x:c>
      <x:c r="C59" s="393"/>
      <x:c r="D59" s="393"/>
      <x:c r="E59" s="393"/>
      <x:c r="F59" s="393"/>
      <x:c r="G59" s="393" t="n">
        <x:v>0</x:v>
      </x:c>
      <x:c r="H59" s="393"/>
      <x:c r="I59" s="393"/>
      <x:c r="J59" s="393" t="n">
        <x:v>0</x:v>
      </x:c>
    </x:row>
    <x:row r="60">
      <x:c r="A60" s="392" t="str">
        <x:v>(g)</x:v>
      </x:c>
      <x:c r="B60" s="392" t="str">
        <x:v>Other Short term investments (specify nature)</x:v>
      </x:c>
      <x:c r="C60" s="393"/>
      <x:c r="D60" s="393"/>
      <x:c r="E60" s="393"/>
      <x:c r="F60" s="393"/>
      <x:c r="G60" s="393" t="n">
        <x:v>0</x:v>
      </x:c>
      <x:c r="H60" s="393"/>
      <x:c r="I60" s="393"/>
      <x:c r="J60" s="393" t="n">
        <x:v>0</x:v>
      </x:c>
    </x:row>
    <x:row r="61">
      <x:c r="A61" s="392"/>
      <x:c r="B61" s="392" t="str">
        <x:v>Net current investments</x:v>
      </x:c>
      <x:c r="C61" s="393"/>
      <x:c r="D61" s="393"/>
      <x:c r="E61" s="393"/>
      <x:c r="F61" s="393"/>
      <x:c r="G61" s="393" t="n">
        <x:v>0</x:v>
      </x:c>
      <x:c r="H61" s="393"/>
      <x:c r="I61" s="393"/>
      <x:c r="J61" s="393" t="n">
        <x:v>0</x:v>
      </x:c>
    </x:row>
    <x:row r="62">
      <x:c r="A62" s="392"/>
      <x:c r="B62" s="392"/>
      <x:c r="C62" s="393"/>
      <x:c r="D62" s="393"/>
      <x:c r="E62" s="393"/>
      <x:c r="F62" s="393"/>
      <x:c r="G62" s="393"/>
      <x:c r="H62" s="393"/>
      <x:c r="I62" s="393"/>
      <x:c r="J62" s="393"/>
    </x:row>
    <x:row r="63">
      <x:c r="A63" s="392"/>
      <x:c r="B63" s="392" t="str">
        <x:v>Trade (valued at lower of cost or market value) - Unquoted</x:v>
      </x:c>
      <x:c r="C63" s="393"/>
      <x:c r="D63" s="393"/>
      <x:c r="E63" s="393"/>
      <x:c r="F63" s="393"/>
      <x:c r="G63" s="393"/>
      <x:c r="H63" s="393"/>
      <x:c r="I63" s="393"/>
      <x:c r="J63" s="393"/>
    </x:row>
    <x:row r="64">
      <x:c r="A64" s="392" t="str">
        <x:v>(a)</x:v>
      </x:c>
      <x:c r="B64" s="392" t="str">
        <x:v>Current maturities of long-term investments (Refer note 12)</x:v>
      </x:c>
      <x:c r="C64" s="393"/>
      <x:c r="D64" s="393"/>
      <x:c r="E64" s="393"/>
      <x:c r="F64" s="393"/>
      <x:c r="G64" s="393"/>
      <x:c r="H64" s="393"/>
      <x:c r="I64" s="393"/>
      <x:c r="J64" s="393"/>
    </x:row>
    <x:row r="65">
      <x:c r="A65" s="392" t="str">
        <x:v>(b)</x:v>
      </x:c>
      <x:c r="B65" s="392" t="str">
        <x:v>Investments in equity instruments </x:v>
      </x:c>
      <x:c r="C65" s="393"/>
      <x:c r="D65" s="393"/>
      <x:c r="E65" s="393"/>
      <x:c r="F65" s="393"/>
      <x:c r="G65" s="393" t="n">
        <x:v>0</x:v>
      </x:c>
      <x:c r="H65" s="393"/>
      <x:c r="I65" s="393"/>
      <x:c r="J65" s="393" t="n">
        <x:v>0</x:v>
      </x:c>
    </x:row>
    <x:row r="66">
      <x:c r="A66" s="392" t="str">
        <x:v>(c)</x:v>
      </x:c>
      <x:c r="B66" s="392" t="str">
        <x:v>Investments in preference shares </x:v>
      </x:c>
      <x:c r="C66" s="393"/>
      <x:c r="D66" s="393"/>
      <x:c r="E66" s="393"/>
      <x:c r="F66" s="393"/>
      <x:c r="G66" s="393" t="n">
        <x:v>0</x:v>
      </x:c>
      <x:c r="H66" s="393"/>
      <x:c r="I66" s="393"/>
      <x:c r="J66" s="393" t="n">
        <x:v>0</x:v>
      </x:c>
    </x:row>
    <x:row r="67">
      <x:c r="A67" s="392" t="str">
        <x:v>(d)</x:v>
      </x:c>
      <x:c r="B67" s="392" t="str">
        <x:v>Investments in government or trust securities </x:v>
      </x:c>
      <x:c r="C67" s="393"/>
      <x:c r="D67" s="393"/>
      <x:c r="E67" s="393"/>
      <x:c r="F67" s="393"/>
      <x:c r="G67" s="393" t="n">
        <x:v>0</x:v>
      </x:c>
      <x:c r="H67" s="393"/>
      <x:c r="I67" s="393"/>
      <x:c r="J67" s="393" t="n">
        <x:v>0</x:v>
      </x:c>
    </x:row>
    <x:row r="68">
      <x:c r="A68" s="392" t="str">
        <x:v>(e)</x:v>
      </x:c>
      <x:c r="B68" s="392" t="str">
        <x:v>Investments in debentures or bonds </x:v>
      </x:c>
      <x:c r="C68" s="393"/>
      <x:c r="D68" s="393"/>
      <x:c r="E68" s="393"/>
      <x:c r="F68" s="393"/>
      <x:c r="G68" s="393" t="n">
        <x:v>0</x:v>
      </x:c>
      <x:c r="H68" s="393"/>
      <x:c r="I68" s="393"/>
      <x:c r="J68" s="393" t="n">
        <x:v>0</x:v>
      </x:c>
    </x:row>
    <x:row r="69">
      <x:c r="A69" s="392" t="str">
        <x:v>(f)</x:v>
      </x:c>
      <x:c r="B69" s="392" t="str">
        <x:v>Investments in mutual funds </x:v>
      </x:c>
      <x:c r="C69" s="393"/>
      <x:c r="D69" s="393"/>
      <x:c r="E69" s="393"/>
      <x:c r="F69" s="393"/>
      <x:c r="G69" s="393" t="n">
        <x:v>0</x:v>
      </x:c>
      <x:c r="H69" s="393"/>
      <x:c r="I69" s="393"/>
      <x:c r="J69" s="393" t="n">
        <x:v>0</x:v>
      </x:c>
    </x:row>
    <x:row r="70">
      <x:c r="A70" s="392" t="str">
        <x:v>(g)</x:v>
      </x:c>
      <x:c r="B70" s="392" t="str">
        <x:v>Other Short term investments (specify nature)</x:v>
      </x:c>
      <x:c r="C70" s="393"/>
      <x:c r="D70" s="393"/>
      <x:c r="E70" s="393"/>
      <x:c r="F70" s="393"/>
      <x:c r="G70" s="393" t="n">
        <x:v>0</x:v>
      </x:c>
      <x:c r="H70" s="393"/>
      <x:c r="I70" s="393"/>
      <x:c r="J70" s="393" t="n">
        <x:v>0</x:v>
      </x:c>
    </x:row>
    <x:row r="71">
      <x:c r="A71" s="392"/>
      <x:c r="B71" s="392" t="str">
        <x:v>Net current investments</x:v>
      </x:c>
      <x:c r="C71" s="393"/>
      <x:c r="D71" s="393"/>
      <x:c r="E71" s="393"/>
      <x:c r="F71" s="393"/>
      <x:c r="G71" s="393" t="n">
        <x:v>0</x:v>
      </x:c>
      <x:c r="H71" s="393"/>
      <x:c r="I71" s="393"/>
      <x:c r="J71" s="393" t="n">
        <x:v>0</x:v>
      </x:c>
    </x:row>
    <x:row r="72" ht="4.5" customHeight="1">
      <x:c r="A72" s="392"/>
      <x:c r="B72" s="392"/>
      <x:c r="C72" s="393"/>
      <x:c r="D72" s="393"/>
      <x:c r="E72" s="393"/>
      <x:c r="F72" s="393"/>
      <x:c r="G72" s="393"/>
      <x:c r="H72" s="393"/>
      <x:c r="I72" s="393"/>
      <x:c r="J72" s="393"/>
    </x:row>
    <x:row r="73" ht="15.75" customHeight="1">
      <x:c r="A73" s="396"/>
      <x:c r="B73" s="396" t="str">
        <x:v>Grand Total</x:v>
      </x:c>
      <x:c r="C73" s="397"/>
      <x:c r="D73" s="397"/>
      <x:c r="E73" s="397"/>
      <x:c r="F73" s="397"/>
      <x:c r="G73" s="397" t="n">
        <x:v>0</x:v>
      </x:c>
      <x:c r="H73" s="397"/>
      <x:c r="I73" s="397"/>
      <x:c r="J73" s="397" t="n">
        <x:v>0</x:v>
      </x:c>
    </x:row>
    <x:row r="74" ht="15.75" customHeight="1">
      <x:c r="A74" s="392"/>
      <x:c r="B74" s="392"/>
      <x:c r="C74" s="393"/>
      <x:c r="D74" s="393"/>
      <x:c r="E74" s="393"/>
      <x:c r="F74" s="393"/>
      <x:c r="G74" s="393"/>
      <x:c r="H74" s="393"/>
      <x:c r="I74" s="393"/>
      <x:c r="J74" s="393"/>
    </x:row>
    <x:row r="75">
      <x:c r="A75" s="392"/>
      <x:c r="B75" s="392" t="str">
        <x:v>Aggregate value of quoted investments and market value thereof</x:v>
      </x:c>
      <x:c r="C75" s="393"/>
      <x:c r="D75" s="393"/>
      <x:c r="E75" s="393"/>
      <x:c r="F75" s="393"/>
      <x:c r="G75" s="393" t="n">
        <x:v>0</x:v>
      </x:c>
      <x:c r="H75" s="393"/>
      <x:c r="I75" s="393"/>
      <x:c r="J75" s="393" t="n">
        <x:v>0</x:v>
      </x:c>
    </x:row>
    <x:row r="76">
      <x:c r="A76" s="392"/>
      <x:c r="B76" s="392" t="str">
        <x:v>Aggregate value of quoted investments</x:v>
      </x:c>
      <x:c r="C76" s="393"/>
      <x:c r="D76" s="393"/>
      <x:c r="E76" s="393"/>
      <x:c r="F76" s="393"/>
      <x:c r="G76" s="393" t="n">
        <x:v>0</x:v>
      </x:c>
      <x:c r="H76" s="393"/>
      <x:c r="I76" s="393"/>
      <x:c r="J76" s="393" t="n">
        <x:v>0</x:v>
      </x:c>
    </x:row>
    <x:row r="77">
      <x:c r="A77" s="392"/>
      <x:c r="B77" s="392" t="str">
        <x:v>Aggregate Provision for diminution in value of investments</x:v>
      </x:c>
      <x:c r="C77" s="393"/>
      <x:c r="D77" s="393"/>
      <x:c r="E77" s="393"/>
      <x:c r="F77" s="393"/>
      <x:c r="G77" s="393" t="n">
        <x:v>0</x:v>
      </x:c>
      <x:c r="H77" s="393"/>
      <x:c r="I77" s="393"/>
      <x:c r="J77" s="393" t="n">
        <x:v>0</x:v>
      </x:c>
    </x:row>
    <x:row r="78">
      <x:c r="A78" s="392"/>
      <x:c r="B78" s="392"/>
      <x:c r="C78" s="393"/>
      <x:c r="D78" s="393"/>
      <x:c r="E78" s="393"/>
      <x:c r="F78" s="393"/>
      <x:c r="G78" s="393"/>
      <x:c r="H78" s="393"/>
      <x:c r="I78" s="393"/>
      <x:c r="J78" s="393"/>
    </x:row>
    <x:row r="79">
      <x:c r="A79" s="392"/>
      <x:c r="B79" s="392"/>
      <x:c r="C79" s="393"/>
      <x:c r="D79" s="393"/>
      <x:c r="E79" s="393"/>
      <x:c r="F79" s="393" t="str">
        <x:v>Long Term</x:v>
      </x:c>
      <x:c r="G79" s="393"/>
      <x:c r="H79" s="393"/>
      <x:c r="I79" s="393" t="str">
        <x:v>Short Term</x:v>
      </x:c>
      <x:c r="J79" s="393"/>
    </x:row>
    <x:row r="80" ht="15.75" customHeight="1">
      <x:c r="A80" s="392" t="n">
        <x:v>13</x:v>
      </x:c>
      <x:c r="B80" s="392" t="str">
        <x:v>Loans and advances</x:v>
      </x:c>
      <x:c r="C80" s="393"/>
      <x:c r="D80" s="393"/>
      <x:c r="E80" s="393"/>
      <x:c r="F80" s="393" t="str">
        <x:v>31-March-20XX</x:v>
      </x:c>
      <x:c r="G80" s="393" t="str">
        <x:v>31-March-20XX</x:v>
      </x:c>
      <x:c r="H80" s="393"/>
      <x:c r="I80" s="393" t="str">
        <x:v>31-March-20XX</x:v>
      </x:c>
      <x:c r="J80" s="393" t="str">
        <x:v>31-March-20XX</x:v>
      </x:c>
    </x:row>
    <x:row r="81" ht="15.75" customHeight="1">
      <x:c r="A81" s="392" t="str">
        <x:v>A</x:v>
      </x:c>
      <x:c r="B81" s="392" t="str">
        <x:v>(Secured)</x:v>
      </x:c>
      <x:c r="C81" s="393"/>
      <x:c r="D81" s="393"/>
      <x:c r="E81" s="393"/>
      <x:c r="F81" s="393"/>
      <x:c r="G81" s="393"/>
      <x:c r="H81" s="393"/>
      <x:c r="I81" s="393"/>
      <x:c r="J81" s="393"/>
    </x:row>
    <x:row r="82" ht="15.75" customHeight="1">
      <x:c r="A82" s="392"/>
      <x:c r="B82" s="392"/>
      <x:c r="C82" s="393"/>
      <x:c r="D82" s="393"/>
      <x:c r="E82" s="393"/>
      <x:c r="F82" s="393"/>
      <x:c r="G82" s="393"/>
      <x:c r="H82" s="393"/>
      <x:c r="I82" s="393"/>
      <x:c r="J82" s="393"/>
    </x:row>
    <x:row r="83">
      <x:c r="A83" s="392" t="str">
        <x:v>(a)</x:v>
      </x:c>
      <x:c r="B83" s="392" t="str">
        <x:v>Capital advances</x:v>
      </x:c>
      <x:c r="C83" s="393"/>
      <x:c r="D83" s="393"/>
      <x:c r="E83" s="393"/>
      <x:c r="F83" s="393"/>
      <x:c r="G83" s="393"/>
      <x:c r="H83" s="393"/>
      <x:c r="I83" s="393"/>
      <x:c r="J83" s="393"/>
    </x:row>
    <x:row r="84">
      <x:c r="A84" s="392"/>
      <x:c r="B84" s="392" t="str">
        <x:v>Considered good</x:v>
      </x:c>
      <x:c r="C84" s="393"/>
      <x:c r="D84" s="393"/>
      <x:c r="E84" s="393"/>
      <x:c r="F84" s="393" t="n">
        <x:v>0</x:v>
      </x:c>
      <x:c r="G84" s="393" t="n">
        <x:v>0</x:v>
      </x:c>
      <x:c r="H84" s="393"/>
      <x:c r="I84" s="393" t="n">
        <x:v>0</x:v>
      </x:c>
      <x:c r="J84" s="393" t="n">
        <x:v>0</x:v>
      </x:c>
    </x:row>
    <x:row r="85">
      <x:c r="A85" s="392"/>
      <x:c r="B85" s="392" t="str">
        <x:v>Doubtful</x:v>
      </x:c>
      <x:c r="C85" s="393"/>
      <x:c r="D85" s="393"/>
      <x:c r="E85" s="393"/>
      <x:c r="F85" s="393" t="n">
        <x:v>0</x:v>
      </x:c>
      <x:c r="G85" s="393" t="n">
        <x:v>0</x:v>
      </x:c>
      <x:c r="H85" s="393"/>
      <x:c r="I85" s="393" t="n">
        <x:v>0</x:v>
      </x:c>
      <x:c r="J85" s="393" t="n">
        <x:v>0</x:v>
      </x:c>
    </x:row>
    <x:row r="86">
      <x:c r="A86" s="392"/>
      <x:c r="B86" s="392" t="str">
        <x:v>Less: Provision for doubtful advances</x:v>
      </x:c>
      <x:c r="C86" s="393"/>
      <x:c r="D86" s="393"/>
      <x:c r="E86" s="393"/>
      <x:c r="F86" s="393" t="n">
        <x:v>0</x:v>
      </x:c>
      <x:c r="G86" s="393" t="n">
        <x:v>0</x:v>
      </x:c>
      <x:c r="H86" s="393"/>
      <x:c r="I86" s="393" t="n">
        <x:v>0</x:v>
      </x:c>
      <x:c r="J86" s="393" t="n">
        <x:v>0</x:v>
      </x:c>
    </x:row>
    <x:row r="87">
      <x:c r="A87" s="392"/>
      <x:c r="B87" s="392"/>
      <x:c r="C87" s="393"/>
      <x:c r="D87" s="393" t="str">
        <x:v>(a)</x:v>
      </x:c>
      <x:c r="E87" s="393"/>
      <x:c r="F87" s="393" t="n">
        <x:v>0</x:v>
      </x:c>
      <x:c r="G87" s="393" t="n">
        <x:v>0</x:v>
      </x:c>
      <x:c r="H87" s="393"/>
      <x:c r="I87" s="393" t="n">
        <x:v>0</x:v>
      </x:c>
      <x:c r="J87" s="393" t="n">
        <x:v>0</x:v>
      </x:c>
    </x:row>
    <x:row r="88">
      <x:c r="A88" s="392" t="str">
        <x:v>(b)</x:v>
      </x:c>
      <x:c r="B88" s="392" t="str">
        <x:v>Loans advances to partners or relative of partners</x:v>
      </x:c>
      <x:c r="C88" s="393"/>
      <x:c r="D88" s="393"/>
      <x:c r="E88" s="393"/>
      <x:c r="F88" s="393" t="n">
        <x:v>0</x:v>
      </x:c>
      <x:c r="G88" s="393" t="n">
        <x:v>0</x:v>
      </x:c>
      <x:c r="H88" s="393"/>
      <x:c r="I88" s="393" t="n">
        <x:v>0</x:v>
      </x:c>
      <x:c r="J88" s="393" t="n">
        <x:v>0</x:v>
      </x:c>
    </x:row>
    <x:row r="89">
      <x:c r="A89" s="392"/>
      <x:c r="B89" s="392"/>
      <x:c r="C89" s="393"/>
      <x:c r="D89" s="393"/>
      <x:c r="E89" s="393"/>
      <x:c r="F89" s="393"/>
      <x:c r="G89" s="393"/>
      <x:c r="H89" s="393"/>
      <x:c r="I89" s="393"/>
      <x:c r="J89" s="393"/>
    </x:row>
    <x:row r="90">
      <x:c r="A90" s="392" t="str">
        <x:v>(c)</x:v>
      </x:c>
      <x:c r="B90" s="392" t="str">
        <x:v>Other loans and advances (specify nature)</x:v>
      </x:c>
      <x:c r="C90" s="393"/>
      <x:c r="D90" s="393"/>
      <x:c r="E90" s="393"/>
      <x:c r="F90" s="393" t="n">
        <x:v>0</x:v>
      </x:c>
      <x:c r="G90" s="393" t="n">
        <x:v>0</x:v>
      </x:c>
      <x:c r="H90" s="393"/>
      <x:c r="I90" s="393" t="n">
        <x:v>0</x:v>
      </x:c>
      <x:c r="J90" s="393" t="n">
        <x:v>0</x:v>
      </x:c>
    </x:row>
    <x:row r="91">
      <x:c r="A91" s="392"/>
      <x:c r="B91" s="392" t="str">
        <x:v>Prepaid expenses</x:v>
      </x:c>
      <x:c r="C91" s="393"/>
      <x:c r="D91" s="393"/>
      <x:c r="E91" s="393"/>
      <x:c r="F91" s="393" t="n">
        <x:v>0</x:v>
      </x:c>
      <x:c r="G91" s="393" t="n">
        <x:v>0</x:v>
      </x:c>
      <x:c r="H91" s="393"/>
      <x:c r="I91" s="393" t="n">
        <x:v>0</x:v>
      </x:c>
      <x:c r="J91" s="393" t="n">
        <x:v>0</x:v>
      </x:c>
    </x:row>
    <x:row r="92" ht="31.5" customHeight="1">
      <x:c r="A92" s="398"/>
      <x:c r="B92" s="398" t="str">
        <x:v>Advance tax and tax deducted at source [Net of provision for income tax of Rs. ___  (previous year Rs. ___)]</x:v>
      </x:c>
      <x:c r="C92" s="399"/>
      <x:c r="D92" s="399"/>
      <x:c r="E92" s="399"/>
      <x:c r="F92" s="399" t="n">
        <x:v>0</x:v>
      </x:c>
      <x:c r="G92" s="399" t="n">
        <x:v>0</x:v>
      </x:c>
      <x:c r="H92" s="399"/>
      <x:c r="I92" s="399" t="n">
        <x:v>0</x:v>
      </x:c>
      <x:c r="J92" s="399" t="n">
        <x:v>0</x:v>
      </x:c>
    </x:row>
    <x:row r="93">
      <x:c r="A93" s="392"/>
      <x:c r="B93" s="392" t="str">
        <x:v>CENVAT credit receivable</x:v>
      </x:c>
      <x:c r="C93" s="393"/>
      <x:c r="D93" s="393"/>
      <x:c r="E93" s="393"/>
      <x:c r="F93" s="393"/>
      <x:c r="G93" s="393"/>
      <x:c r="H93" s="393"/>
      <x:c r="I93" s="393"/>
      <x:c r="J93" s="393"/>
    </x:row>
    <x:row r="94">
      <x:c r="A94" s="392"/>
      <x:c r="B94" s="392" t="str">
        <x:v>VAT credit receivable</x:v>
      </x:c>
      <x:c r="C94" s="393"/>
      <x:c r="D94" s="393"/>
      <x:c r="E94" s="393"/>
      <x:c r="F94" s="393"/>
      <x:c r="G94" s="393"/>
      <x:c r="H94" s="393"/>
      <x:c r="I94" s="393"/>
      <x:c r="J94" s="393"/>
    </x:row>
    <x:row r="95">
      <x:c r="A95" s="392"/>
      <x:c r="B95" s="392" t="str">
        <x:v>Service tax credit receivable</x:v>
      </x:c>
      <x:c r="C95" s="393"/>
      <x:c r="D95" s="393"/>
      <x:c r="E95" s="393"/>
      <x:c r="F95" s="393"/>
      <x:c r="G95" s="393"/>
      <x:c r="H95" s="393"/>
      <x:c r="I95" s="393"/>
      <x:c r="J95" s="393"/>
    </x:row>
    <x:row r="96">
      <x:c r="A96" s="392"/>
      <x:c r="B96" s="392" t="str">
        <x:v>GST input credit receivable</x:v>
      </x:c>
      <x:c r="C96" s="393"/>
      <x:c r="D96" s="393"/>
      <x:c r="E96" s="393"/>
      <x:c r="F96" s="393"/>
      <x:c r="G96" s="393"/>
      <x:c r="H96" s="393"/>
      <x:c r="I96" s="393"/>
      <x:c r="J96" s="393"/>
    </x:row>
    <x:row r="97">
      <x:c r="A97" s="392"/>
      <x:c r="B97" s="392" t="str">
        <x:v>Security Deposits</x:v>
      </x:c>
      <x:c r="C97" s="393"/>
      <x:c r="D97" s="393"/>
      <x:c r="E97" s="393"/>
      <x:c r="F97" s="393"/>
      <x:c r="G97" s="393"/>
      <x:c r="H97" s="393"/>
      <x:c r="I97" s="393"/>
      <x:c r="J97" s="393"/>
    </x:row>
    <x:row r="98">
      <x:c r="A98" s="392"/>
      <x:c r="B98" s="392" t="str">
        <x:v>Balance with government authorities</x:v>
      </x:c>
      <x:c r="C98" s="393"/>
      <x:c r="D98" s="393"/>
      <x:c r="E98" s="393"/>
      <x:c r="F98" s="393"/>
      <x:c r="G98" s="393"/>
      <x:c r="H98" s="393"/>
      <x:c r="I98" s="393"/>
      <x:c r="J98" s="393"/>
    </x:row>
    <x:row r="99">
      <x:c r="A99" s="392"/>
      <x:c r="B99" s="392"/>
      <x:c r="C99" s="393"/>
      <x:c r="D99" s="393" t="str">
        <x:v>(b)</x:v>
      </x:c>
      <x:c r="E99" s="393"/>
      <x:c r="F99" s="393" t="n">
        <x:v>0</x:v>
      </x:c>
      <x:c r="G99" s="393" t="n">
        <x:v>0</x:v>
      </x:c>
      <x:c r="H99" s="393"/>
      <x:c r="I99" s="393" t="n">
        <x:v>0</x:v>
      </x:c>
      <x:c r="J99" s="393" t="n">
        <x:v>0</x:v>
      </x:c>
    </x:row>
    <x:row r="100" ht="15.75" customHeight="1">
      <x:c r="A100" s="396"/>
      <x:c r="B100" s="396" t="str">
        <x:v>Total (a)+(b) (A)</x:v>
      </x:c>
      <x:c r="C100" s="397"/>
      <x:c r="D100" s="397"/>
      <x:c r="E100" s="397"/>
      <x:c r="F100" s="397" t="n">
        <x:v>0</x:v>
      </x:c>
      <x:c r="G100" s="397" t="n">
        <x:v>0</x:v>
      </x:c>
      <x:c r="H100" s="397"/>
      <x:c r="I100" s="397" t="n">
        <x:v>0</x:v>
      </x:c>
      <x:c r="J100" s="397" t="n">
        <x:v>0</x:v>
      </x:c>
    </x:row>
    <x:row r="101" ht="15.75" customHeight="1">
      <x:c r="A101" s="392"/>
      <x:c r="B101" s="392"/>
      <x:c r="C101" s="393"/>
      <x:c r="D101" s="393"/>
      <x:c r="E101" s="393"/>
      <x:c r="F101" s="393" t="str">
        <x:v>Long Term</x:v>
      </x:c>
      <x:c r="G101" s="393"/>
      <x:c r="H101" s="393"/>
      <x:c r="I101" s="393" t="str">
        <x:v>Short Term</x:v>
      </x:c>
      <x:c r="J101" s="393"/>
    </x:row>
    <x:row r="102">
      <x:c r="A102" s="392" t="str">
        <x:v>B</x:v>
      </x:c>
      <x:c r="B102" s="392" t="str">
        <x:v>Loans and advances</x:v>
      </x:c>
      <x:c r="C102" s="393"/>
      <x:c r="D102" s="393"/>
      <x:c r="E102" s="393"/>
      <x:c r="F102" s="393" t="str">
        <x:v>31-March-20XX</x:v>
      </x:c>
      <x:c r="G102" s="393" t="str">
        <x:v>31-March-20XX</x:v>
      </x:c>
      <x:c r="H102" s="393"/>
      <x:c r="I102" s="393" t="str">
        <x:v>31-March-20XX</x:v>
      </x:c>
      <x:c r="J102" s="393" t="str">
        <x:v>31-March-20XX</x:v>
      </x:c>
    </x:row>
    <x:row r="103">
      <x:c r="A103" s="392"/>
      <x:c r="B103" s="392" t="str">
        <x:v>(Unsecured)</x:v>
      </x:c>
      <x:c r="C103" s="393"/>
      <x:c r="D103" s="393"/>
      <x:c r="E103" s="393"/>
      <x:c r="F103" s="393"/>
      <x:c r="G103" s="393"/>
      <x:c r="H103" s="393"/>
      <x:c r="I103" s="393"/>
      <x:c r="J103" s="393"/>
    </x:row>
    <x:row r="104">
      <x:c r="A104" s="392" t="str">
        <x:v>(a)</x:v>
      </x:c>
      <x:c r="B104" s="392" t="str">
        <x:v>Capital advances</x:v>
      </x:c>
      <x:c r="C104" s="393"/>
      <x:c r="D104" s="393"/>
      <x:c r="E104" s="393"/>
      <x:c r="F104" s="393"/>
      <x:c r="G104" s="393"/>
      <x:c r="H104" s="393"/>
      <x:c r="I104" s="393"/>
      <x:c r="J104" s="393"/>
    </x:row>
    <x:row r="105">
      <x:c r="A105" s="392"/>
      <x:c r="B105" s="392" t="str">
        <x:v>Considered good</x:v>
      </x:c>
      <x:c r="C105" s="393"/>
      <x:c r="D105" s="393"/>
      <x:c r="E105" s="393"/>
      <x:c r="F105" s="393" t="n">
        <x:v>0</x:v>
      </x:c>
      <x:c r="G105" s="393" t="n">
        <x:v>0</x:v>
      </x:c>
      <x:c r="H105" s="393"/>
      <x:c r="I105" s="393" t="n">
        <x:v>0</x:v>
      </x:c>
      <x:c r="J105" s="393" t="n">
        <x:v>0</x:v>
      </x:c>
    </x:row>
    <x:row r="106">
      <x:c r="A106" s="392"/>
      <x:c r="B106" s="392" t="str">
        <x:v>Doubtful</x:v>
      </x:c>
      <x:c r="C106" s="393"/>
      <x:c r="D106" s="393"/>
      <x:c r="E106" s="393"/>
      <x:c r="F106" s="393" t="n">
        <x:v>0</x:v>
      </x:c>
      <x:c r="G106" s="393" t="n">
        <x:v>0</x:v>
      </x:c>
      <x:c r="H106" s="393"/>
      <x:c r="I106" s="393" t="n">
        <x:v>0</x:v>
      </x:c>
      <x:c r="J106" s="393" t="n">
        <x:v>0</x:v>
      </x:c>
    </x:row>
    <x:row r="107">
      <x:c r="A107" s="392"/>
      <x:c r="B107" s="392" t="str">
        <x:v>Less: Provision for doubtful advances</x:v>
      </x:c>
      <x:c r="C107" s="393"/>
      <x:c r="D107" s="393"/>
      <x:c r="E107" s="393"/>
      <x:c r="F107" s="393" t="n">
        <x:v>0</x:v>
      </x:c>
      <x:c r="G107" s="393" t="n">
        <x:v>0</x:v>
      </x:c>
      <x:c r="H107" s="393"/>
      <x:c r="I107" s="393" t="n">
        <x:v>0</x:v>
      </x:c>
      <x:c r="J107" s="393" t="n">
        <x:v>0</x:v>
      </x:c>
    </x:row>
    <x:row r="108">
      <x:c r="A108" s="392"/>
      <x:c r="B108" s="392"/>
      <x:c r="C108" s="393"/>
      <x:c r="D108" s="393" t="str">
        <x:v>(a)</x:v>
      </x:c>
      <x:c r="E108" s="393"/>
      <x:c r="F108" s="393" t="n">
        <x:v>0</x:v>
      </x:c>
      <x:c r="G108" s="393" t="n">
        <x:v>0</x:v>
      </x:c>
      <x:c r="H108" s="393"/>
      <x:c r="I108" s="393" t="n">
        <x:v>0</x:v>
      </x:c>
      <x:c r="J108" s="393" t="n">
        <x:v>0</x:v>
      </x:c>
    </x:row>
    <x:row r="109">
      <x:c r="A109" s="392" t="str">
        <x:v>(b)</x:v>
      </x:c>
      <x:c r="B109" s="392" t="str">
        <x:v>Loans advances to partners or relative of partners</x:v>
      </x:c>
      <x:c r="C109" s="393"/>
      <x:c r="D109" s="393"/>
      <x:c r="E109" s="393"/>
      <x:c r="F109" s="393" t="n">
        <x:v>0</x:v>
      </x:c>
      <x:c r="G109" s="393" t="n">
        <x:v>0</x:v>
      </x:c>
      <x:c r="H109" s="393"/>
      <x:c r="I109" s="393" t="n">
        <x:v>0</x:v>
      </x:c>
      <x:c r="J109" s="393" t="n">
        <x:v>0</x:v>
      </x:c>
    </x:row>
    <x:row r="110">
      <x:c r="A110" s="392"/>
      <x:c r="B110" s="392"/>
      <x:c r="C110" s="393"/>
      <x:c r="D110" s="393"/>
      <x:c r="E110" s="393"/>
      <x:c r="F110" s="393"/>
      <x:c r="G110" s="393"/>
      <x:c r="H110" s="393"/>
      <x:c r="I110" s="393"/>
      <x:c r="J110" s="393"/>
    </x:row>
    <x:row r="111">
      <x:c r="A111" s="392" t="str">
        <x:v>(c)</x:v>
      </x:c>
      <x:c r="B111" s="392" t="str">
        <x:v>Other loans and advances (specify nature)</x:v>
      </x:c>
      <x:c r="C111" s="393"/>
      <x:c r="D111" s="393"/>
      <x:c r="E111" s="393"/>
      <x:c r="F111" s="393" t="n">
        <x:v>0</x:v>
      </x:c>
      <x:c r="G111" s="393" t="n">
        <x:v>0</x:v>
      </x:c>
      <x:c r="H111" s="393"/>
      <x:c r="I111" s="393" t="n">
        <x:v>0</x:v>
      </x:c>
      <x:c r="J111" s="393" t="n">
        <x:v>0</x:v>
      </x:c>
    </x:row>
    <x:row r="112">
      <x:c r="A112" s="392"/>
      <x:c r="B112" s="392" t="str">
        <x:v>Prepaid expenses</x:v>
      </x:c>
      <x:c r="C112" s="393"/>
      <x:c r="D112" s="393"/>
      <x:c r="E112" s="393"/>
      <x:c r="F112" s="393" t="n">
        <x:v>0</x:v>
      </x:c>
      <x:c r="G112" s="393" t="n">
        <x:v>0</x:v>
      </x:c>
      <x:c r="H112" s="393"/>
      <x:c r="I112" s="393" t="n">
        <x:v>0</x:v>
      </x:c>
      <x:c r="J112" s="393" t="n">
        <x:v>0</x:v>
      </x:c>
    </x:row>
    <x:row r="113" ht="30" customHeight="1">
      <x:c r="A113" s="398"/>
      <x:c r="B113" s="398" t="str">
        <x:v>Advance tax and tax deducted at source [Net of provision for income tax of Rs. ___  (previous year Rs. ___)]</x:v>
      </x:c>
      <x:c r="C113" s="399"/>
      <x:c r="D113" s="399"/>
      <x:c r="E113" s="399"/>
      <x:c r="F113" s="399" t="n">
        <x:v>0</x:v>
      </x:c>
      <x:c r="G113" s="399" t="n">
        <x:v>0</x:v>
      </x:c>
      <x:c r="H113" s="399"/>
      <x:c r="I113" s="399" t="n">
        <x:v>0</x:v>
      </x:c>
      <x:c r="J113" s="399" t="n">
        <x:v>0</x:v>
      </x:c>
    </x:row>
    <x:row r="114">
      <x:c r="A114" s="392"/>
      <x:c r="B114" s="392" t="str">
        <x:v>CENVAT credit receivable</x:v>
      </x:c>
      <x:c r="C114" s="393"/>
      <x:c r="D114" s="393"/>
      <x:c r="E114" s="393"/>
      <x:c r="F114" s="393"/>
      <x:c r="G114" s="393"/>
      <x:c r="H114" s="393"/>
      <x:c r="I114" s="393"/>
      <x:c r="J114" s="393"/>
    </x:row>
    <x:row r="115">
      <x:c r="A115" s="392"/>
      <x:c r="B115" s="392" t="str">
        <x:v>VAT credit receivable</x:v>
      </x:c>
      <x:c r="C115" s="393"/>
      <x:c r="D115" s="393"/>
      <x:c r="E115" s="393"/>
      <x:c r="F115" s="393"/>
      <x:c r="G115" s="393"/>
      <x:c r="H115" s="393"/>
      <x:c r="I115" s="393"/>
      <x:c r="J115" s="393"/>
    </x:row>
    <x:row r="116">
      <x:c r="A116" s="392"/>
      <x:c r="B116" s="392" t="str">
        <x:v>Service tax credit receivable</x:v>
      </x:c>
      <x:c r="C116" s="393"/>
      <x:c r="D116" s="393"/>
      <x:c r="E116" s="393"/>
      <x:c r="F116" s="393"/>
      <x:c r="G116" s="393"/>
      <x:c r="H116" s="393"/>
      <x:c r="I116" s="393"/>
      <x:c r="J116" s="393"/>
    </x:row>
    <x:row r="117">
      <x:c r="A117" s="392"/>
      <x:c r="B117" s="392" t="str">
        <x:v>GST input credit receivable</x:v>
      </x:c>
      <x:c r="C117" s="393"/>
      <x:c r="D117" s="393"/>
      <x:c r="E117" s="393"/>
      <x:c r="F117" s="393"/>
      <x:c r="G117" s="393"/>
      <x:c r="H117" s="393"/>
      <x:c r="I117" s="393"/>
      <x:c r="J117" s="393"/>
    </x:row>
    <x:row r="118">
      <x:c r="A118" s="392"/>
      <x:c r="B118" s="392" t="str">
        <x:v>Security Deposits</x:v>
      </x:c>
      <x:c r="C118" s="393"/>
      <x:c r="D118" s="393"/>
      <x:c r="E118" s="393"/>
      <x:c r="F118" s="393"/>
      <x:c r="G118" s="393"/>
      <x:c r="H118" s="393"/>
      <x:c r="I118" s="393"/>
      <x:c r="J118" s="393"/>
    </x:row>
    <x:row r="119">
      <x:c r="A119" s="392"/>
      <x:c r="B119" s="392" t="str">
        <x:v>Balance with government authorities</x:v>
      </x:c>
      <x:c r="C119" s="393"/>
      <x:c r="D119" s="393"/>
      <x:c r="E119" s="393"/>
      <x:c r="F119" s="393"/>
      <x:c r="G119" s="393"/>
      <x:c r="H119" s="393"/>
      <x:c r="I119" s="393"/>
      <x:c r="J119" s="393"/>
    </x:row>
    <x:row r="120">
      <x:c r="A120" s="392"/>
      <x:c r="B120" s="392"/>
      <x:c r="C120" s="393"/>
      <x:c r="D120" s="393" t="str">
        <x:v>(b)</x:v>
      </x:c>
      <x:c r="E120" s="393"/>
      <x:c r="F120" s="393" t="n">
        <x:v>0</x:v>
      </x:c>
      <x:c r="G120" s="393" t="n">
        <x:v>0</x:v>
      </x:c>
      <x:c r="H120" s="393"/>
      <x:c r="I120" s="393" t="n">
        <x:v>0</x:v>
      </x:c>
      <x:c r="J120" s="393" t="n">
        <x:v>0</x:v>
      </x:c>
    </x:row>
    <x:row r="121" ht="15.75" customHeight="1">
      <x:c r="A121" s="396"/>
      <x:c r="B121" s="396" t="str">
        <x:v>Total (a)+(b) (B)</x:v>
      </x:c>
      <x:c r="C121" s="397"/>
      <x:c r="D121" s="397"/>
      <x:c r="E121" s="397"/>
      <x:c r="F121" s="397" t="n">
        <x:v>0</x:v>
      </x:c>
      <x:c r="G121" s="397" t="n">
        <x:v>0</x:v>
      </x:c>
      <x:c r="H121" s="397"/>
      <x:c r="I121" s="397" t="n">
        <x:v>0</x:v>
      </x:c>
      <x:c r="J121" s="397" t="n">
        <x:v>0</x:v>
      </x:c>
    </x:row>
    <x:row r="122" ht="15.75" customHeight="1">
      <x:c r="A122" s="392"/>
      <x:c r="B122" s="392"/>
      <x:c r="C122" s="393"/>
      <x:c r="D122" s="393"/>
      <x:c r="E122" s="393"/>
      <x:c r="F122" s="393"/>
      <x:c r="G122" s="393"/>
      <x:c r="H122" s="393"/>
      <x:c r="I122" s="393"/>
      <x:c r="J122" s="393"/>
    </x:row>
    <x:row r="123" ht="15.75" customHeight="1">
      <x:c r="A123" s="396"/>
      <x:c r="B123" s="396" t="str">
        <x:v>Total (A + B)</x:v>
      </x:c>
      <x:c r="C123" s="397"/>
      <x:c r="D123" s="397"/>
      <x:c r="E123" s="397"/>
      <x:c r="F123" s="397" t="n">
        <x:v>0</x:v>
      </x:c>
      <x:c r="G123" s="397" t="n">
        <x:v>0</x:v>
      </x:c>
      <x:c r="H123" s="397"/>
      <x:c r="I123" s="397" t="n">
        <x:v>0</x:v>
      </x:c>
      <x:c r="J123" s="397" t="n">
        <x:v>0</x:v>
      </x:c>
    </x:row>
    <x:row r="124" ht="15.75" customHeight="1">
      <x:c r="A124" s="392"/>
      <x:c r="B124" s="392"/>
      <x:c r="C124" s="393"/>
      <x:c r="D124" s="393"/>
      <x:c r="E124" s="393"/>
      <x:c r="F124" s="393"/>
      <x:c r="G124" s="393"/>
      <x:c r="H124" s="393"/>
      <x:c r="I124" s="393"/>
      <x:c r="J124" s="393"/>
    </x:row>
    <x:row r="125">
      <x:c r="A125" s="392" t="n">
        <x:v>14</x:v>
      </x:c>
      <x:c r="B125" s="392" t="str">
        <x:v>Other non-current assets</x:v>
      </x:c>
      <x:c r="C125" s="393"/>
      <x:c r="D125" s="393"/>
      <x:c r="E125" s="393"/>
      <x:c r="F125" s="393"/>
      <x:c r="G125" s="393"/>
      <x:c r="H125" s="393"/>
      <x:c r="I125" s="393" t="str">
        <x:v>31-March-20XX</x:v>
      </x:c>
      <x:c r="J125" s="393" t="str">
        <x:v>31-March-20XX</x:v>
      </x:c>
    </x:row>
    <x:row r="126">
      <x:c r="A126" s="392" t="str">
        <x:v>(a)</x:v>
      </x:c>
      <x:c r="B126" s="392" t="str">
        <x:v>Security Deposits</x:v>
      </x:c>
      <x:c r="C126" s="393"/>
      <x:c r="D126" s="393"/>
      <x:c r="E126" s="393"/>
      <x:c r="F126" s="393"/>
      <x:c r="G126" s="393"/>
      <x:c r="H126" s="393"/>
      <x:c r="I126" s="393" t="n">
        <x:v>0</x:v>
      </x:c>
      <x:c r="J126" s="393" t="n">
        <x:v>0</x:v>
      </x:c>
    </x:row>
    <x:row r="127">
      <x:c r="A127" s="392" t="str">
        <x:v>(b)</x:v>
      </x:c>
      <x:c r="B127" s="392" t="str">
        <x:v>Prepaid expenses</x:v>
      </x:c>
      <x:c r="C127" s="393"/>
      <x:c r="D127" s="393"/>
      <x:c r="E127" s="393"/>
      <x:c r="F127" s="393"/>
      <x:c r="G127" s="393"/>
      <x:c r="H127" s="393"/>
      <x:c r="I127" s="393" t="n">
        <x:v>0</x:v>
      </x:c>
      <x:c r="J127" s="393" t="n">
        <x:v>0</x:v>
      </x:c>
    </x:row>
    <x:row r="128">
      <x:c r="A128" s="392" t="str">
        <x:v>(c)</x:v>
      </x:c>
      <x:c r="B128" s="392" t="str">
        <x:v>Others (Specify nature)</x:v>
      </x:c>
      <x:c r="C128" s="393"/>
      <x:c r="D128" s="393"/>
      <x:c r="E128" s="393"/>
      <x:c r="F128" s="393"/>
      <x:c r="G128" s="393"/>
      <x:c r="H128" s="393"/>
      <x:c r="I128" s="393" t="n">
        <x:v>0</x:v>
      </x:c>
      <x:c r="J128" s="393" t="n">
        <x:v>0</x:v>
      </x:c>
    </x:row>
    <x:row r="129" ht="15.75" customHeight="1">
      <x:c r="A129" s="396"/>
      <x:c r="B129" s="396" t="str">
        <x:v>Total other non-current other assets</x:v>
      </x:c>
      <x:c r="C129" s="397"/>
      <x:c r="D129" s="397"/>
      <x:c r="E129" s="397"/>
      <x:c r="F129" s="397"/>
      <x:c r="G129" s="397"/>
      <x:c r="H129" s="397"/>
      <x:c r="I129" s="397" t="n">
        <x:v>0</x:v>
      </x:c>
      <x:c r="J129" s="397" t="n">
        <x:v>0</x:v>
      </x:c>
    </x:row>
    <x:row r="130" ht="15.75" customHeight="1">
      <x:c r="A130" s="392"/>
      <x:c r="B130" s="392"/>
      <x:c r="C130" s="393"/>
      <x:c r="D130" s="393"/>
      <x:c r="E130" s="393"/>
      <x:c r="F130" s="393"/>
      <x:c r="G130" s="393"/>
      <x:c r="H130" s="393"/>
      <x:c r="I130" s="393"/>
      <x:c r="J130" s="393"/>
    </x:row>
    <x:row r="131">
      <x:c r="A131" s="392" t="n">
        <x:v>15</x:v>
      </x:c>
      <x:c r="B131" s="392" t="str">
        <x:v>Inventories</x:v>
      </x:c>
      <x:c r="C131" s="393"/>
      <x:c r="D131" s="393"/>
      <x:c r="E131" s="393"/>
      <x:c r="F131" s="393"/>
      <x:c r="G131" s="393"/>
      <x:c r="H131" s="393"/>
      <x:c r="I131" s="393" t="str">
        <x:v>31-March-20XX</x:v>
      </x:c>
      <x:c r="J131" s="393" t="str">
        <x:v>31-March-20XX</x:v>
      </x:c>
    </x:row>
    <x:row r="132">
      <x:c r="A132" s="392" t="str">
        <x:v>(a)</x:v>
      </x:c>
      <x:c r="B132" s="392" t="str">
        <x:v>Raw materials</x:v>
      </x:c>
      <x:c r="C132" s="393"/>
      <x:c r="D132" s="393"/>
      <x:c r="E132" s="393"/>
      <x:c r="F132" s="393"/>
      <x:c r="G132" s="393"/>
      <x:c r="H132" s="393"/>
      <x:c r="I132" s="393" t="n">
        <x:v>0</x:v>
      </x:c>
      <x:c r="J132" s="393" t="n">
        <x:v>0</x:v>
      </x:c>
    </x:row>
    <x:row r="133">
      <x:c r="A133" s="392" t="str">
        <x:v>(b)</x:v>
      </x:c>
      <x:c r="B133" s="392" t="str">
        <x:v>Work-in-progress</x:v>
      </x:c>
      <x:c r="C133" s="393"/>
      <x:c r="D133" s="393"/>
      <x:c r="E133" s="393"/>
      <x:c r="F133" s="393"/>
      <x:c r="G133" s="393"/>
      <x:c r="H133" s="393"/>
      <x:c r="I133" s="393" t="n">
        <x:v>0</x:v>
      </x:c>
      <x:c r="J133" s="393" t="n">
        <x:v>0</x:v>
      </x:c>
    </x:row>
    <x:row r="134">
      <x:c r="A134" s="392" t="str">
        <x:v>(c)</x:v>
      </x:c>
      <x:c r="B134" s="392" t="str">
        <x:v>Finished goods</x:v>
      </x:c>
      <x:c r="C134" s="393"/>
      <x:c r="D134" s="393"/>
      <x:c r="E134" s="393"/>
      <x:c r="F134" s="393"/>
      <x:c r="G134" s="393"/>
      <x:c r="H134" s="393"/>
      <x:c r="I134" s="393" t="n">
        <x:v>0</x:v>
      </x:c>
      <x:c r="J134" s="393" t="n">
        <x:v>0</x:v>
      </x:c>
    </x:row>
    <x:row r="135">
      <x:c r="A135" s="392" t="str">
        <x:v>(d)</x:v>
      </x:c>
      <x:c r="B135" s="392" t="str">
        <x:v>Stock-in-trade</x:v>
      </x:c>
      <x:c r="C135" s="393"/>
      <x:c r="D135" s="393"/>
      <x:c r="E135" s="393"/>
      <x:c r="F135" s="393"/>
      <x:c r="G135" s="393"/>
      <x:c r="H135" s="393"/>
      <x:c r="I135" s="393" t="n">
        <x:v>0</x:v>
      </x:c>
      <x:c r="J135" s="393" t="n">
        <x:v>0</x:v>
      </x:c>
    </x:row>
    <x:row r="136">
      <x:c r="A136" s="392" t="str">
        <x:v>(e)</x:v>
      </x:c>
      <x:c r="B136" s="392" t="str">
        <x:v>Stores and spares</x:v>
      </x:c>
      <x:c r="C136" s="393"/>
      <x:c r="D136" s="393"/>
      <x:c r="E136" s="393"/>
      <x:c r="F136" s="393"/>
      <x:c r="G136" s="393"/>
      <x:c r="H136" s="393"/>
      <x:c r="I136" s="393" t="n">
        <x:v>0</x:v>
      </x:c>
      <x:c r="J136" s="393" t="n">
        <x:v>0</x:v>
      </x:c>
    </x:row>
    <x:row r="137">
      <x:c r="A137" s="392" t="str">
        <x:v>(f)</x:v>
      </x:c>
      <x:c r="B137" s="392" t="str">
        <x:v>Loose Tools</x:v>
      </x:c>
      <x:c r="C137" s="393"/>
      <x:c r="D137" s="393"/>
      <x:c r="E137" s="393"/>
      <x:c r="F137" s="393"/>
      <x:c r="G137" s="393"/>
      <x:c r="H137" s="393"/>
      <x:c r="I137" s="393" t="n">
        <x:v>0</x:v>
      </x:c>
      <x:c r="J137" s="393" t="n">
        <x:v>0</x:v>
      </x:c>
    </x:row>
    <x:row r="138">
      <x:c r="A138" s="392" t="str">
        <x:v>(g)</x:v>
      </x:c>
      <x:c r="B138" s="392" t="str">
        <x:v>Others (Specify nature)</x:v>
      </x:c>
      <x:c r="C138" s="393"/>
      <x:c r="D138" s="393"/>
      <x:c r="E138" s="393"/>
      <x:c r="F138" s="393"/>
      <x:c r="G138" s="393"/>
      <x:c r="H138" s="393"/>
      <x:c r="I138" s="393" t="n">
        <x:v>0</x:v>
      </x:c>
      <x:c r="J138" s="393" t="n">
        <x:v>0</x:v>
      </x:c>
    </x:row>
    <x:row r="139">
      <x:c r="A139" s="392"/>
      <x:c r="B139" s="392" t="str">
        <x:v>[Goods-in-transit to be disclosed under relevant sub-head of inventories]</x:v>
      </x:c>
      <x:c r="C139" s="393"/>
      <x:c r="D139" s="393"/>
      <x:c r="E139" s="393"/>
      <x:c r="F139" s="393"/>
      <x:c r="G139" s="393"/>
      <x:c r="H139" s="393"/>
      <x:c r="I139" s="393"/>
      <x:c r="J139" s="393"/>
    </x:row>
    <x:row r="140" ht="15.75" customHeight="1">
      <x:c r="A140" s="396"/>
      <x:c r="B140" s="396" t="str">
        <x:v>Total </x:v>
      </x:c>
      <x:c r="C140" s="397"/>
      <x:c r="D140" s="397"/>
      <x:c r="E140" s="397"/>
      <x:c r="F140" s="397"/>
      <x:c r="G140" s="397"/>
      <x:c r="H140" s="397"/>
      <x:c r="I140" s="397" t="n">
        <x:v>0</x:v>
      </x:c>
      <x:c r="J140" s="397" t="n">
        <x:v>0</x:v>
      </x:c>
    </x:row>
    <x:row r="141" ht="15.75" customHeight="1">
      <x:c r="A141" s="392"/>
      <x:c r="B141" s="392"/>
      <x:c r="C141" s="393"/>
      <x:c r="D141" s="393"/>
      <x:c r="E141" s="393"/>
      <x:c r="F141" s="393"/>
      <x:c r="G141" s="393"/>
      <x:c r="H141" s="393"/>
      <x:c r="I141" s="393"/>
      <x:c r="J141" s="393"/>
    </x:row>
    <x:row r="142">
      <x:c r="A142" s="392" t="n">
        <x:v>16</x:v>
      </x:c>
      <x:c r="B142" s="392" t="str">
        <x:v>Trade receivables</x:v>
      </x:c>
      <x:c r="C142" s="393"/>
      <x:c r="D142" s="393"/>
      <x:c r="E142" s="393"/>
      <x:c r="F142" s="393"/>
      <x:c r="G142" s="393"/>
      <x:c r="H142" s="393"/>
      <x:c r="I142" s="393" t="str">
        <x:v>31-March-20XX</x:v>
      </x:c>
      <x:c r="J142" s="393" t="str">
        <x:v>31-March-20XX</x:v>
      </x:c>
    </x:row>
    <x:row r="143">
      <x:c r="A143" s="392"/>
      <x:c r="B143" s="392" t="str">
        <x:v>Outstanding for a period less than 6 months from the date they are due for receipt</x:v>
      </x:c>
      <x:c r="C143" s="393"/>
      <x:c r="D143" s="393"/>
      <x:c r="E143" s="393"/>
      <x:c r="F143" s="393"/>
      <x:c r="G143" s="393"/>
      <x:c r="H143" s="393"/>
      <x:c r="I143" s="393"/>
      <x:c r="J143" s="393"/>
    </x:row>
    <x:row r="144">
      <x:c r="A144" s="392" t="str">
        <x:v>(a)</x:v>
      </x:c>
      <x:c r="B144" s="392" t="str">
        <x:v>Secured Considered good</x:v>
      </x:c>
      <x:c r="C144" s="393"/>
      <x:c r="D144" s="393"/>
      <x:c r="E144" s="393"/>
      <x:c r="F144" s="393"/>
      <x:c r="G144" s="393"/>
      <x:c r="H144" s="393"/>
      <x:c r="I144" s="393" t="n">
        <x:v>0</x:v>
      </x:c>
      <x:c r="J144" s="393" t="n">
        <x:v>0</x:v>
      </x:c>
    </x:row>
    <x:row r="145">
      <x:c r="A145" s="392" t="str">
        <x:v>(b)</x:v>
      </x:c>
      <x:c r="B145" s="392" t="str">
        <x:v>Unsecured Considered good</x:v>
      </x:c>
      <x:c r="C145" s="393"/>
      <x:c r="D145" s="393"/>
      <x:c r="E145" s="393"/>
      <x:c r="F145" s="393"/>
      <x:c r="G145" s="393"/>
      <x:c r="H145" s="393"/>
      <x:c r="I145" s="393" t="n">
        <x:v>0</x:v>
      </x:c>
      <x:c r="J145" s="393" t="n">
        <x:v>0</x:v>
      </x:c>
    </x:row>
    <x:row r="146">
      <x:c r="A146" s="392" t="str">
        <x:v>(c)</x:v>
      </x:c>
      <x:c r="B146" s="392" t="str">
        <x:v>Doubtful</x:v>
      </x:c>
      <x:c r="C146" s="393"/>
      <x:c r="D146" s="393"/>
      <x:c r="E146" s="393"/>
      <x:c r="F146" s="393"/>
      <x:c r="G146" s="393"/>
      <x:c r="H146" s="393"/>
      <x:c r="I146" s="393" t="n">
        <x:v>0</x:v>
      </x:c>
      <x:c r="J146" s="393" t="n">
        <x:v>0</x:v>
      </x:c>
    </x:row>
    <x:row r="147">
      <x:c r="A147" s="392"/>
      <x:c r="B147" s="392" t="str">
        <x:v>Less: Provision for doubtful receivables</x:v>
      </x:c>
      <x:c r="C147" s="393"/>
      <x:c r="D147" s="393"/>
      <x:c r="E147" s="393"/>
      <x:c r="F147" s="393"/>
      <x:c r="G147" s="393"/>
      <x:c r="H147" s="393"/>
      <x:c r="I147" s="393" t="n">
        <x:v>0</x:v>
      </x:c>
      <x:c r="J147" s="393" t="n">
        <x:v>0</x:v>
      </x:c>
    </x:row>
    <x:row r="148">
      <x:c r="A148" s="392"/>
      <x:c r="B148" s="392"/>
      <x:c r="C148" s="393"/>
      <x:c r="D148" s="393"/>
      <x:c r="E148" s="393"/>
      <x:c r="F148" s="393"/>
      <x:c r="G148" s="393"/>
      <x:c r="H148" s="393"/>
      <x:c r="I148" s="393" t="n">
        <x:v>0</x:v>
      </x:c>
      <x:c r="J148" s="393" t="n">
        <x:v>0</x:v>
      </x:c>
    </x:row>
    <x:row r="149">
      <x:c r="A149" s="392"/>
      <x:c r="B149" s="392" t="str">
        <x:v>Outstanding for a period exceeding 6 months from the date they are due for receipt</x:v>
      </x:c>
      <x:c r="C149" s="393"/>
      <x:c r="D149" s="393"/>
      <x:c r="E149" s="393"/>
      <x:c r="F149" s="393"/>
      <x:c r="G149" s="393"/>
      <x:c r="H149" s="393"/>
      <x:c r="I149" s="393"/>
      <x:c r="J149" s="393"/>
    </x:row>
    <x:row r="150">
      <x:c r="A150" s="392" t="str">
        <x:v>(a)</x:v>
      </x:c>
      <x:c r="B150" s="392" t="str">
        <x:v>Secured Considered good</x:v>
      </x:c>
      <x:c r="C150" s="393"/>
      <x:c r="D150" s="393"/>
      <x:c r="E150" s="393"/>
      <x:c r="F150" s="393"/>
      <x:c r="G150" s="393"/>
      <x:c r="H150" s="393"/>
      <x:c r="I150" s="393" t="n">
        <x:v>0</x:v>
      </x:c>
      <x:c r="J150" s="393" t="n">
        <x:v>0</x:v>
      </x:c>
    </x:row>
    <x:row r="151">
      <x:c r="A151" s="392" t="str">
        <x:v>(b)</x:v>
      </x:c>
      <x:c r="B151" s="392" t="str">
        <x:v>Unsecured Considered good</x:v>
      </x:c>
      <x:c r="C151" s="393"/>
      <x:c r="D151" s="393"/>
      <x:c r="E151" s="393"/>
      <x:c r="F151" s="393"/>
      <x:c r="G151" s="393"/>
      <x:c r="H151" s="393"/>
      <x:c r="I151" s="393" t="n">
        <x:v>0</x:v>
      </x:c>
      <x:c r="J151" s="393" t="n">
        <x:v>0</x:v>
      </x:c>
    </x:row>
    <x:row r="152">
      <x:c r="A152" s="392" t="str">
        <x:v>(c)</x:v>
      </x:c>
      <x:c r="B152" s="392" t="str">
        <x:v>Doubtful</x:v>
      </x:c>
      <x:c r="C152" s="393"/>
      <x:c r="D152" s="393"/>
      <x:c r="E152" s="393"/>
      <x:c r="F152" s="393"/>
      <x:c r="G152" s="393"/>
      <x:c r="H152" s="393"/>
      <x:c r="I152" s="393" t="n">
        <x:v>0</x:v>
      </x:c>
      <x:c r="J152" s="393" t="n">
        <x:v>0</x:v>
      </x:c>
    </x:row>
    <x:row r="153">
      <x:c r="A153" s="392"/>
      <x:c r="B153" s="392" t="str">
        <x:v>Less: Provision for doubtful receivables</x:v>
      </x:c>
      <x:c r="C153" s="393"/>
      <x:c r="D153" s="393"/>
      <x:c r="E153" s="393"/>
      <x:c r="F153" s="393"/>
      <x:c r="G153" s="393"/>
      <x:c r="H153" s="393"/>
      <x:c r="I153" s="393" t="n">
        <x:v>0</x:v>
      </x:c>
      <x:c r="J153" s="393" t="n">
        <x:v>0</x:v>
      </x:c>
    </x:row>
    <x:row r="154">
      <x:c r="A154" s="392"/>
      <x:c r="B154" s="392" t="str">
        <x:v>Unbilled receivables</x:v>
      </x:c>
      <x:c r="C154" s="393"/>
      <x:c r="D154" s="393"/>
      <x:c r="E154" s="393"/>
      <x:c r="F154" s="393"/>
      <x:c r="G154" s="393"/>
      <x:c r="H154" s="393"/>
      <x:c r="I154" s="393" t="n">
        <x:v>0</x:v>
      </x:c>
      <x:c r="J154" s="393" t="n">
        <x:v>0</x:v>
      </x:c>
    </x:row>
    <x:row r="155">
      <x:c r="A155" s="392"/>
      <x:c r="B155" s="392"/>
      <x:c r="C155" s="393"/>
      <x:c r="D155" s="393"/>
      <x:c r="E155" s="393"/>
      <x:c r="F155" s="393"/>
      <x:c r="G155" s="393"/>
      <x:c r="H155" s="393"/>
      <x:c r="I155" s="393" t="n">
        <x:v>0</x:v>
      </x:c>
      <x:c r="J155" s="393" t="n">
        <x:v>0</x:v>
      </x:c>
    </x:row>
    <x:row r="156" ht="15.75" customHeight="1">
      <x:c r="A156" s="396"/>
      <x:c r="B156" s="396" t="str">
        <x:v>Total</x:v>
      </x:c>
      <x:c r="C156" s="397"/>
      <x:c r="D156" s="397"/>
      <x:c r="E156" s="397"/>
      <x:c r="F156" s="397"/>
      <x:c r="G156" s="397"/>
      <x:c r="H156" s="397"/>
      <x:c r="I156" s="397" t="n">
        <x:v>0</x:v>
      </x:c>
      <x:c r="J156" s="397" t="n">
        <x:v>0</x:v>
      </x:c>
    </x:row>
    <x:row r="157" ht="15.75" customHeight="1">
      <x:c r="A157" s="392"/>
      <x:c r="B157" s="392"/>
      <x:c r="C157" s="393"/>
      <x:c r="D157" s="393"/>
      <x:c r="E157" s="393"/>
      <x:c r="F157" s="393"/>
      <x:c r="G157" s="393"/>
      <x:c r="H157" s="393"/>
      <x:c r="I157" s="393"/>
      <x:c r="J157" s="393"/>
    </x:row>
    <x:row r="158">
      <x:c r="A158" s="392" t="n">
        <x:v>17</x:v>
      </x:c>
      <x:c r="B158" s="392" t="str">
        <x:v>Cash and Bank Balances</x:v>
      </x:c>
      <x:c r="C158" s="393"/>
      <x:c r="D158" s="393"/>
      <x:c r="E158" s="393"/>
      <x:c r="F158" s="393"/>
      <x:c r="G158" s="393"/>
      <x:c r="H158" s="393"/>
      <x:c r="I158" s="393" t="str">
        <x:v>31-March-20XX</x:v>
      </x:c>
      <x:c r="J158" s="393" t="str">
        <x:v>31-March-20XX</x:v>
      </x:c>
    </x:row>
    <x:row r="159">
      <x:c r="A159" s="392" t="str">
        <x:v>A</x:v>
      </x:c>
      <x:c r="B159" s="392" t="str">
        <x:v>Cash and cash equivalents</x:v>
      </x:c>
      <x:c r="C159" s="393"/>
      <x:c r="D159" s="393"/>
      <x:c r="E159" s="393"/>
      <x:c r="F159" s="393"/>
      <x:c r="G159" s="393"/>
      <x:c r="H159" s="393"/>
      <x:c r="I159" s="393"/>
      <x:c r="J159" s="393"/>
    </x:row>
    <x:row r="160">
      <x:c r="A160" s="392" t="str">
        <x:v>(a)</x:v>
      </x:c>
      <x:c r="B160" s="392" t="str">
        <x:v>   On current accounts</x:v>
      </x:c>
      <x:c r="C160" s="393"/>
      <x:c r="D160" s="393"/>
      <x:c r="E160" s="393"/>
      <x:c r="F160" s="393"/>
      <x:c r="G160" s="393"/>
      <x:c r="H160" s="393"/>
      <x:c r="I160" s="393" t="n">
        <x:v>0</x:v>
      </x:c>
      <x:c r="J160" s="393" t="n">
        <x:v>0</x:v>
      </x:c>
    </x:row>
    <x:row r="161">
      <x:c r="A161" s="392" t="str">
        <x:v>(b)</x:v>
      </x:c>
      <x:c r="B161" s="392" t="str">
        <x:v>Cash credit account (Debit balance)</x:v>
      </x:c>
      <x:c r="C161" s="393"/>
      <x:c r="D161" s="393"/>
      <x:c r="E161" s="393"/>
      <x:c r="F161" s="393"/>
      <x:c r="G161" s="393"/>
      <x:c r="H161" s="393"/>
      <x:c r="I161" s="393" t="n">
        <x:v>0</x:v>
      </x:c>
      <x:c r="J161" s="393" t="n">
        <x:v>0</x:v>
      </x:c>
    </x:row>
    <x:row r="162">
      <x:c r="A162" s="392" t="str">
        <x:v>(c)</x:v>
      </x:c>
      <x:c r="B162" s="392" t="str">
        <x:v>Fixed Deposits</x:v>
      </x:c>
      <x:c r="C162" s="393"/>
      <x:c r="D162" s="393"/>
      <x:c r="E162" s="393"/>
      <x:c r="F162" s="393"/>
      <x:c r="G162" s="393"/>
      <x:c r="H162" s="393"/>
      <x:c r="I162" s="393"/>
      <x:c r="J162" s="393"/>
    </x:row>
    <x:row r="163">
      <x:c r="A163" s="392"/>
      <x:c r="B163" s="392" t="str">
        <x:v>  Deposits with original maturity of less than three months</x:v>
      </x:c>
      <x:c r="C163" s="393"/>
      <x:c r="D163" s="393"/>
      <x:c r="E163" s="393"/>
      <x:c r="F163" s="393"/>
      <x:c r="G163" s="393"/>
      <x:c r="H163" s="393"/>
      <x:c r="I163" s="393" t="n">
        <x:v>0</x:v>
      </x:c>
      <x:c r="J163" s="393" t="n">
        <x:v>0</x:v>
      </x:c>
    </x:row>
    <x:row r="164">
      <x:c r="A164" s="392" t="str">
        <x:v>(d)</x:v>
      </x:c>
      <x:c r="B164" s="392" t="str">
        <x:v>Cheques, drafts on hand</x:v>
      </x:c>
      <x:c r="C164" s="393"/>
      <x:c r="D164" s="393"/>
      <x:c r="E164" s="393"/>
      <x:c r="F164" s="393"/>
      <x:c r="G164" s="393"/>
      <x:c r="H164" s="393"/>
      <x:c r="I164" s="393" t="n">
        <x:v>0</x:v>
      </x:c>
      <x:c r="J164" s="393" t="n">
        <x:v>0</x:v>
      </x:c>
    </x:row>
    <x:row r="165">
      <x:c r="A165" s="392" t="str">
        <x:v>(e)</x:v>
      </x:c>
      <x:c r="B165" s="392" t="str">
        <x:v>Cash on hand</x:v>
      </x:c>
      <x:c r="C165" s="393"/>
      <x:c r="D165" s="393"/>
      <x:c r="E165" s="393"/>
      <x:c r="F165" s="393"/>
      <x:c r="G165" s="393"/>
      <x:c r="H165" s="393"/>
      <x:c r="I165" s="393" t="n">
        <x:v>0</x:v>
      </x:c>
      <x:c r="J165" s="393" t="n">
        <x:v>0</x:v>
      </x:c>
    </x:row>
    <x:row r="166" ht="15.75" customHeight="1">
      <x:c r="A166" s="396"/>
      <x:c r="B166" s="396" t="str">
        <x:v>Total </x:v>
      </x:c>
      <x:c r="C166" s="397" t="str">
        <x:v>(I)</x:v>
      </x:c>
      <x:c r="D166" s="397"/>
      <x:c r="E166" s="397"/>
      <x:c r="F166" s="397"/>
      <x:c r="G166" s="397"/>
      <x:c r="H166" s="397"/>
      <x:c r="I166" s="397" t="n">
        <x:v>0</x:v>
      </x:c>
      <x:c r="J166" s="397" t="n">
        <x:v>0</x:v>
      </x:c>
    </x:row>
    <x:row r="167" ht="15.75" customHeight="1">
      <x:c r="A167" s="392"/>
      <x:c r="B167" s="392"/>
      <x:c r="C167" s="393"/>
      <x:c r="D167" s="393"/>
      <x:c r="E167" s="393"/>
      <x:c r="F167" s="393"/>
      <x:c r="G167" s="393"/>
      <x:c r="H167" s="393"/>
      <x:c r="I167" s="393"/>
      <x:c r="J167" s="393"/>
    </x:row>
    <x:row r="168">
      <x:c r="A168" s="392" t="str">
        <x:v>B</x:v>
      </x:c>
      <x:c r="B168" s="392" t="str">
        <x:v>Other bank balances</x:v>
      </x:c>
      <x:c r="C168" s="393"/>
      <x:c r="D168" s="393"/>
      <x:c r="E168" s="393"/>
      <x:c r="F168" s="393"/>
      <x:c r="G168" s="393"/>
      <x:c r="H168" s="393"/>
      <x:c r="I168" s="393"/>
      <x:c r="J168" s="393"/>
    </x:row>
    <x:row r="169">
      <x:c r="A169" s="392" t="str">
        <x:v>(a)</x:v>
      </x:c>
      <x:c r="B169" s="392" t="str">
        <x:v>Bank Deposits</x:v>
      </x:c>
      <x:c r="C169" s="393"/>
      <x:c r="D169" s="393"/>
      <x:c r="E169" s="393"/>
      <x:c r="F169" s="393"/>
      <x:c r="G169" s="393"/>
      <x:c r="H169" s="393"/>
      <x:c r="I169" s="393"/>
      <x:c r="J169" s="393"/>
    </x:row>
    <x:row r="170">
      <x:c r="A170" s="392" t="str">
        <x:v>(i)</x:v>
      </x:c>
      <x:c r="B170" s="392" t="str">
        <x:v>Earmarked Bank Deposits</x:v>
      </x:c>
      <x:c r="C170" s="393"/>
      <x:c r="D170" s="393"/>
      <x:c r="E170" s="393"/>
      <x:c r="F170" s="393"/>
      <x:c r="G170" s="393"/>
      <x:c r="H170" s="393"/>
      <x:c r="I170" s="393" t="n">
        <x:v>0</x:v>
      </x:c>
      <x:c r="J170" s="393" t="n">
        <x:v>0</x:v>
      </x:c>
    </x:row>
    <x:row r="171" ht="30" customHeight="1">
      <x:c r="A171" s="392" t="str">
        <x:v>(ii)</x:v>
      </x:c>
      <x:c r="B171" s="392" t="str">
        <x:v>Deposits with original maturity for more than 3 months but less than 12 months from reporting date</x:v>
      </x:c>
      <x:c r="C171" s="393"/>
      <x:c r="D171" s="393"/>
      <x:c r="E171" s="393"/>
      <x:c r="F171" s="393"/>
      <x:c r="G171" s="393"/>
      <x:c r="H171" s="393"/>
      <x:c r="I171" s="393" t="n">
        <x:v>0</x:v>
      </x:c>
      <x:c r="J171" s="393" t="n">
        <x:v>0</x:v>
      </x:c>
    </x:row>
    <x:row r="172">
      <x:c r="A172" s="392" t="str">
        <x:v>(iii)</x:v>
      </x:c>
      <x:c r="B172" s="392" t="str">
        <x:v>Margin money or deposits under lien </x:v>
      </x:c>
      <x:c r="C172" s="393"/>
      <x:c r="D172" s="393"/>
      <x:c r="E172" s="393"/>
      <x:c r="F172" s="393"/>
      <x:c r="G172" s="393"/>
      <x:c r="H172" s="393"/>
      <x:c r="I172" s="393" t="n">
        <x:v>0</x:v>
      </x:c>
      <x:c r="J172" s="393" t="n">
        <x:v>0</x:v>
      </x:c>
    </x:row>
    <x:row r="173">
      <x:c r="A173" s="392" t="str">
        <x:v>(iv)</x:v>
      </x:c>
      <x:c r="B173" s="392" t="str">
        <x:v>Others (specify nature)</x:v>
      </x:c>
      <x:c r="C173" s="393"/>
      <x:c r="D173" s="393"/>
      <x:c r="E173" s="393"/>
      <x:c r="F173" s="393"/>
      <x:c r="G173" s="393"/>
      <x:c r="H173" s="393"/>
      <x:c r="I173" s="393" t="n">
        <x:v>0</x:v>
      </x:c>
      <x:c r="J173" s="393" t="n">
        <x:v>0</x:v>
      </x:c>
    </x:row>
    <x:row r="174">
      <x:c r="A174" s="396"/>
      <x:c r="B174" s="396" t="str">
        <x:v>Total other bank balances</x:v>
      </x:c>
      <x:c r="C174" s="397" t="str">
        <x:v>(II)</x:v>
      </x:c>
      <x:c r="D174" s="397"/>
      <x:c r="E174" s="397"/>
      <x:c r="F174" s="397"/>
      <x:c r="G174" s="397"/>
      <x:c r="H174" s="397"/>
      <x:c r="I174" s="397" t="n">
        <x:v>0</x:v>
      </x:c>
      <x:c r="J174" s="397" t="n">
        <x:v>0</x:v>
      </x:c>
    </x:row>
    <x:row r="175" ht="15.75" customHeight="1">
      <x:c r="A175" s="396"/>
      <x:c r="B175" s="396" t="str">
        <x:v>Total Cash and bank balances</x:v>
      </x:c>
      <x:c r="C175" s="397" t="str">
        <x:v>(I+II)</x:v>
      </x:c>
      <x:c r="D175" s="397"/>
      <x:c r="E175" s="397"/>
      <x:c r="F175" s="397"/>
      <x:c r="G175" s="397"/>
      <x:c r="H175" s="397"/>
      <x:c r="I175" s="397" t="n">
        <x:v>0</x:v>
      </x:c>
      <x:c r="J175" s="397" t="n">
        <x:v>0</x:v>
      </x:c>
    </x:row>
    <x:row r="176" ht="15.75" customHeight="1">
      <x:c r="A176" s="392"/>
      <x:c r="B176" s="392"/>
      <x:c r="C176" s="393"/>
      <x:c r="D176" s="393"/>
      <x:c r="E176" s="393"/>
      <x:c r="F176" s="393"/>
      <x:c r="G176" s="393"/>
      <x:c r="H176" s="393"/>
      <x:c r="I176" s="393"/>
      <x:c r="J176" s="393"/>
    </x:row>
    <x:row r="177">
      <x:c r="A177" s="392" t="n">
        <x:v>18</x:v>
      </x:c>
      <x:c r="B177" s="392" t="str">
        <x:v>Other current assets</x:v>
      </x:c>
      <x:c r="C177" s="393"/>
      <x:c r="D177" s="393"/>
      <x:c r="E177" s="393"/>
      <x:c r="F177" s="393"/>
      <x:c r="G177" s="393"/>
      <x:c r="H177" s="393"/>
      <x:c r="I177" s="393" t="str">
        <x:v>31-March-20XX</x:v>
      </x:c>
      <x:c r="J177" s="393" t="str">
        <x:v>31-March-20XX</x:v>
      </x:c>
    </x:row>
    <x:row r="178">
      <x:c r="A178" s="392"/>
      <x:c r="B178" s="392" t="str">
        <x:v>(Specify nature)</x:v>
      </x:c>
      <x:c r="C178" s="393"/>
      <x:c r="D178" s="393"/>
      <x:c r="E178" s="393"/>
      <x:c r="F178" s="393"/>
      <x:c r="G178" s="393"/>
      <x:c r="H178" s="393"/>
      <x:c r="I178" s="393"/>
      <x:c r="J178" s="393"/>
    </x:row>
    <x:row r="179">
      <x:c r="A179" s="392"/>
      <x:c r="B179" s="392" t="str">
        <x:v>(This is an all-inclusive heading, which incorporates current assets that do not fit into any other asset categories)</x:v>
      </x:c>
      <x:c r="C179" s="393"/>
      <x:c r="D179" s="393"/>
      <x:c r="E179" s="393"/>
      <x:c r="F179" s="393"/>
      <x:c r="G179" s="393"/>
      <x:c r="H179" s="393"/>
      <x:c r="I179" s="393"/>
      <x:c r="J179" s="393"/>
    </x:row>
    <x:row r="180">
      <x:c r="A180" s="392" t="str">
        <x:v>(a)</x:v>
      </x:c>
      <x:c r="B180" s="392" t="str">
        <x:v>Interest accrued but not due on deposits</x:v>
      </x:c>
      <x:c r="C180" s="393"/>
      <x:c r="D180" s="393"/>
      <x:c r="E180" s="393"/>
      <x:c r="F180" s="393"/>
      <x:c r="G180" s="393"/>
      <x:c r="H180" s="393"/>
      <x:c r="I180" s="393" t="n">
        <x:v>0</x:v>
      </x:c>
      <x:c r="J180" s="393" t="n">
        <x:v>0</x:v>
      </x:c>
    </x:row>
    <x:row r="181">
      <x:c r="A181" s="392" t="str">
        <x:v>(b)</x:v>
      </x:c>
      <x:c r="B181" s="392" t="str">
        <x:v>Interest accrued and due on deposits</x:v>
      </x:c>
      <x:c r="C181" s="393"/>
      <x:c r="D181" s="393"/>
      <x:c r="E181" s="393"/>
      <x:c r="F181" s="393"/>
      <x:c r="G181" s="393"/>
      <x:c r="H181" s="393"/>
      <x:c r="I181" s="393" t="n">
        <x:v>0</x:v>
      </x:c>
      <x:c r="J181" s="393" t="n">
        <x:v>0</x:v>
      </x:c>
    </x:row>
    <x:row r="182" ht="15.75" customHeight="1">
      <x:c r="A182" s="396"/>
      <x:c r="B182" s="396" t="str">
        <x:v>Total </x:v>
      </x:c>
      <x:c r="C182" s="397"/>
      <x:c r="D182" s="397"/>
      <x:c r="E182" s="397"/>
      <x:c r="F182" s="397"/>
      <x:c r="G182" s="397"/>
      <x:c r="H182" s="397"/>
      <x:c r="I182" s="397" t="n">
        <x:v>0</x:v>
      </x:c>
      <x:c r="J182" s="397" t="n">
        <x:v>0</x:v>
      </x:c>
    </x:row>
    <x:row r="184">
      <x:c r="A184" s="79"/>
      <x:c r="B184" s="79"/>
      <x:c r="C184" s="79"/>
      <x:c r="D184" s="79"/>
      <x:c r="E184" s="79"/>
      <x:c r="F184" s="79"/>
    </x:row>
    <x:row r="190">
      <x:c r="A190"/>
      <x:c r="B190"/>
      <x:c r="C190"/>
      <x:c r="D190"/>
      <x:c r="E190"/>
      <x:c r="F190"/>
      <x:c r="G190"/>
    </x:row>
    <x:row r="191">
      <x:c r="A191" t="n">
        <x:f>'Basic Info'!C13</x:f>
        <x:v>0</x:v>
      </x:c>
      <x:c r="B191"/>
      <x:c r="C191"/>
      <x:c r="D191"/>
      <x:c r="E191"/>
      <x:c r="F191"/>
      <x:c r="G191"/>
    </x:row>
    <x:row r="192">
      <x:c r="A192" t="str">
        <x:f>"Notes forming part of the Statement of Profit and Loss for the year ended "&amp;TEXT('Basic Info'!C8,"dd-mmm-yyyy")</x:f>
        <x:v>Notes forming part of the Statement of Profit and Loss for the year ended </x:v>
      </x:c>
      <x:c r="B192"/>
      <x:c r="C192"/>
      <x:c r="D192"/>
      <x:c r="E192"/>
      <x:c r="F192"/>
      <x:c r="G192"/>
    </x:row>
    <x:row r="193">
      <x:c r="A193"/>
      <x:c r="B193"/>
      <x:c r="C193"/>
      <x:c r="D193"/>
      <x:c r="E193" t="str">
        <x:v>(Amount in Rs.)</x:v>
      </x:c>
      <x:c r="F193"/>
      <x:c r="G193"/>
    </x:row>
    <x:row r="194">
      <x:c r="A194" t="n">
        <x:v>19</x:v>
      </x:c>
      <x:c r="B194" t="str">
        <x:v>Revenue from operations</x:v>
      </x:c>
      <x:c r="C194"/>
      <x:c r="D194"/>
      <x:c r="E194" t="str">
        <x:v>31 March 20XX</x:v>
      </x:c>
      <x:c r="F194"/>
      <x:c r="G194" t="str">
        <x:v>31 March 20XX</x:v>
      </x:c>
    </x:row>
    <x:row r="195">
      <x:c r="A195" t="str">
        <x:v>(a)</x:v>
      </x:c>
      <x:c r="B195" t="str">
        <x:v>Sale of products</x:v>
      </x:c>
      <x:c r="C195"/>
      <x:c r="D195"/>
      <x:c r="E195" t="n">
        <x:v>0</x:v>
      </x:c>
      <x:c r="F195"/>
      <x:c r="G195" t="n">
        <x:v>0</x:v>
      </x:c>
    </x:row>
    <x:row r="196">
      <x:c r="A196" t="str">
        <x:v>(b)</x:v>
      </x:c>
      <x:c r="B196" t="str">
        <x:v>Sale of services</x:v>
      </x:c>
      <x:c r="C196"/>
      <x:c r="D196"/>
      <x:c r="E196" t="n">
        <x:v>0</x:v>
      </x:c>
      <x:c r="F196"/>
      <x:c r="G196" t="n">
        <x:v>0</x:v>
      </x:c>
    </x:row>
    <x:row r="197">
      <x:c r="A197" t="str">
        <x:v>(c)</x:v>
      </x:c>
      <x:c r="B197" t="str">
        <x:v>Grants or donations received </x:v>
      </x:c>
      <x:c r="C197"/>
      <x:c r="D197"/>
      <x:c r="E197" t="n">
        <x:v>0</x:v>
      </x:c>
      <x:c r="F197"/>
      <x:c r="G197" t="n">
        <x:v>0</x:v>
      </x:c>
    </x:row>
    <x:row r="198">
      <x:c r="A198" t="str">
        <x:v>(d)</x:v>
      </x:c>
      <x:c r="B198" t="str">
        <x:v>Other operating revenue</x:v>
      </x:c>
      <x:c r="C198"/>
      <x:c r="D198"/>
      <x:c r="E198" t="n">
        <x:v>0</x:v>
      </x:c>
      <x:c r="F198"/>
      <x:c r="G198" t="n">
        <x:v>0</x:v>
      </x:c>
    </x:row>
    <x:row r="199">
      <x:c r="A199"/>
      <x:c r="B199" t="str">
        <x:v>Revenue from operations (Gross)</x:v>
      </x:c>
      <x:c r="C199"/>
      <x:c r="D199"/>
      <x:c r="E199" t="n">
        <x:v>0</x:v>
      </x:c>
      <x:c r="F199"/>
      <x:c r="G199" t="n">
        <x:v>0</x:v>
      </x:c>
    </x:row>
    <x:row r="200">
      <x:c r="A200"/>
      <x:c r="B200" t="str">
        <x:v>Less: Excise duty</x:v>
      </x:c>
      <x:c r="C200"/>
      <x:c r="D200"/>
      <x:c r="E200" t="n">
        <x:v>0</x:v>
      </x:c>
      <x:c r="F200"/>
      <x:c r="G200" t="n">
        <x:v>0</x:v>
      </x:c>
    </x:row>
    <x:row r="201">
      <x:c r="A201"/>
      <x:c r="B201" t="str">
        <x:v>Revenue from operations (Net)</x:v>
      </x:c>
      <x:c r="C201"/>
      <x:c r="D201"/>
      <x:c r="E201" t="n">
        <x:v>0</x:v>
      </x:c>
      <x:c r="F201"/>
      <x:c r="G201" t="n">
        <x:v>0</x:v>
      </x:c>
    </x:row>
    <x:row r="202">
      <x:c r="A202"/>
      <x:c r="B202"/>
      <x:c r="C202"/>
      <x:c r="D202"/>
      <x:c r="E202"/>
      <x:c r="F202"/>
      <x:c r="G202"/>
    </x:row>
    <x:row r="203">
      <x:c r="A203" t="n">
        <x:v>20</x:v>
      </x:c>
      <x:c r="B203" t="str">
        <x:v>Other income</x:v>
      </x:c>
      <x:c r="C203"/>
      <x:c r="D203"/>
      <x:c r="E203" t="str">
        <x:v>31 March 20XX</x:v>
      </x:c>
      <x:c r="F203"/>
      <x:c r="G203" t="str">
        <x:v>31 March 20XX</x:v>
      </x:c>
    </x:row>
    <x:row r="204">
      <x:c r="A204" t="str">
        <x:v>(a)</x:v>
      </x:c>
      <x:c r="B204" t="str">
        <x:v>Interest income </x:v>
      </x:c>
      <x:c r="C204"/>
      <x:c r="D204"/>
      <x:c r="E204" t="n">
        <x:v>0</x:v>
      </x:c>
      <x:c r="F204"/>
      <x:c r="G204" t="n">
        <x:v>0</x:v>
      </x:c>
    </x:row>
    <x:row r="205">
      <x:c r="A205" t="str">
        <x:v>(b)</x:v>
      </x:c>
      <x:c r="B205" t="str">
        <x:v>Dividend income</x:v>
      </x:c>
      <x:c r="C205"/>
      <x:c r="D205"/>
      <x:c r="E205" t="n">
        <x:v>0</x:v>
      </x:c>
      <x:c r="F205"/>
      <x:c r="G205" t="n">
        <x:v>0</x:v>
      </x:c>
    </x:row>
    <x:row r="206">
      <x:c r="A206" t="str">
        <x:v>(c)</x:v>
      </x:c>
      <x:c r="B206" t="str">
        <x:v>Net gain on sale of investments</x:v>
      </x:c>
      <x:c r="C206"/>
      <x:c r="D206"/>
      <x:c r="E206" t="n">
        <x:v>0</x:v>
      </x:c>
      <x:c r="F206"/>
      <x:c r="G206" t="n">
        <x:v>0</x:v>
      </x:c>
    </x:row>
    <x:row r="207">
      <x:c r="A207" t="str">
        <x:v>(d)</x:v>
      </x:c>
      <x:c r="B207" t="str">
        <x:v>Other non-operating income (Please specify)</x:v>
      </x:c>
      <x:c r="C207"/>
      <x:c r="D207"/>
      <x:c r="E207" t="n">
        <x:v>0</x:v>
      </x:c>
      <x:c r="F207"/>
      <x:c r="G207" t="n">
        <x:v>0</x:v>
      </x:c>
    </x:row>
    <x:row r="208">
      <x:c r="A208"/>
      <x:c r="B208" t="str">
        <x:v>Total other income</x:v>
      </x:c>
      <x:c r="C208"/>
      <x:c r="D208"/>
      <x:c r="E208" t="n">
        <x:v>0</x:v>
      </x:c>
      <x:c r="F208"/>
      <x:c r="G208" t="n">
        <x:v>0</x:v>
      </x:c>
    </x:row>
    <x:row r="209">
      <x:c r="A209"/>
      <x:c r="B209"/>
      <x:c r="C209"/>
      <x:c r="D209"/>
      <x:c r="E209"/>
      <x:c r="F209"/>
      <x:c r="G209"/>
    </x:row>
    <x:row r="210">
      <x:c r="A210" t="n">
        <x:v>21</x:v>
      </x:c>
      <x:c r="B210" t="str">
        <x:v>Cost of goods sold (Delete whatever is not applicable)</x:v>
      </x:c>
      <x:c r="C210"/>
      <x:c r="D210"/>
      <x:c r="E210" t="str">
        <x:v>31 March 20XX</x:v>
      </x:c>
      <x:c r="F210"/>
      <x:c r="G210" t="str">
        <x:v>31 March 20XX</x:v>
      </x:c>
    </x:row>
    <x:row r="211">
      <x:c r="A211" t="str">
        <x:v>(A)</x:v>
      </x:c>
      <x:c r="B211" t="str">
        <x:v>Cost of raw material consumed</x:v>
      </x:c>
      <x:c r="C211"/>
      <x:c r="D211"/>
      <x:c r="E211"/>
      <x:c r="F211"/>
      <x:c r="G211"/>
    </x:row>
    <x:row r="212">
      <x:c r="A212"/>
      <x:c r="B212" t="str">
        <x:v>Raw material consumed</x:v>
      </x:c>
      <x:c r="C212"/>
      <x:c r="D212"/>
      <x:c r="E212"/>
      <x:c r="F212"/>
      <x:c r="G212"/>
    </x:row>
    <x:row r="213">
      <x:c r="A213" t="str">
        <x:v>(i)</x:v>
      </x:c>
      <x:c r="B213" t="str">
        <x:v>Inventory at the beginning of the year</x:v>
      </x:c>
      <x:c r="C213"/>
      <x:c r="D213"/>
      <x:c r="E213" t="n">
        <x:v>0</x:v>
      </x:c>
      <x:c r="F213"/>
      <x:c r="G213" t="n">
        <x:v>0</x:v>
      </x:c>
    </x:row>
    <x:row r="214">
      <x:c r="A214" t="str">
        <x:v>(ii)</x:v>
      </x:c>
      <x:c r="B214" t="str">
        <x:v>Add : Purchases during the year</x:v>
      </x:c>
      <x:c r="C214"/>
      <x:c r="D214"/>
      <x:c r="E214" t="n">
        <x:v>0</x:v>
      </x:c>
      <x:c r="F214"/>
      <x:c r="G214" t="n">
        <x:v>0</x:v>
      </x:c>
    </x:row>
    <x:row r="215">
      <x:c r="A215" t="str">
        <x:v>(iii)</x:v>
      </x:c>
      <x:c r="B215" t="str">
        <x:v>Less: Inventory at the end of the year</x:v>
      </x:c>
      <x:c r="C215"/>
      <x:c r="D215"/>
      <x:c r="E215" t="n">
        <x:v>0</x:v>
      </x:c>
      <x:c r="F215"/>
      <x:c r="G215" t="n">
        <x:v>0</x:v>
      </x:c>
    </x:row>
    <x:row r="216">
      <x:c r="A216"/>
      <x:c r="B216" t="str">
        <x:v>Cost of raw material consumed</x:v>
      </x:c>
      <x:c r="C216"/>
      <x:c r="D216" t="str">
        <x:v>(I)</x:v>
      </x:c>
      <x:c r="E216" t="n">
        <x:v>0</x:v>
      </x:c>
      <x:c r="F216"/>
      <x:c r="G216" t="n">
        <x:v>0</x:v>
      </x:c>
    </x:row>
    <x:row r="217">
      <x:c r="A217"/>
      <x:c r="B217"/>
      <x:c r="C217"/>
      <x:c r="D217"/>
      <x:c r="E217"/>
      <x:c r="F217"/>
      <x:c r="G217"/>
    </x:row>
    <x:row r="218">
      <x:c r="A218"/>
      <x:c r="B218" t="str">
        <x:v>Packing material consumed (if considered as part of raw material)</x:v>
      </x:c>
      <x:c r="C218"/>
      <x:c r="D218"/>
      <x:c r="E218"/>
      <x:c r="F218"/>
      <x:c r="G218"/>
    </x:row>
    <x:row r="219">
      <x:c r="A219" t="str">
        <x:v>(i)</x:v>
      </x:c>
      <x:c r="B219" t="str">
        <x:v>Inventory at the beginning of the year</x:v>
      </x:c>
      <x:c r="C219"/>
      <x:c r="D219"/>
      <x:c r="E219" t="n">
        <x:v>0</x:v>
      </x:c>
      <x:c r="F219"/>
      <x:c r="G219" t="n">
        <x:v>0</x:v>
      </x:c>
    </x:row>
    <x:row r="220">
      <x:c r="A220" t="str">
        <x:v>(ii)</x:v>
      </x:c>
      <x:c r="B220" t="str">
        <x:v>Add : Purchases during the year</x:v>
      </x:c>
      <x:c r="C220"/>
      <x:c r="D220"/>
      <x:c r="E220" t="n">
        <x:v>0</x:v>
      </x:c>
      <x:c r="F220"/>
      <x:c r="G220" t="n">
        <x:v>0</x:v>
      </x:c>
    </x:row>
    <x:row r="221">
      <x:c r="A221" t="str">
        <x:v>(iii)</x:v>
      </x:c>
      <x:c r="B221" t="str">
        <x:v>Less: Inventory at the end of the year</x:v>
      </x:c>
      <x:c r="C221"/>
      <x:c r="D221"/>
      <x:c r="E221" t="n">
        <x:v>0</x:v>
      </x:c>
      <x:c r="F221"/>
      <x:c r="G221" t="n">
        <x:v>0</x:v>
      </x:c>
    </x:row>
    <x:row r="222">
      <x:c r="A222"/>
      <x:c r="B222" t="str">
        <x:v>Cost of packing material consumed</x:v>
      </x:c>
      <x:c r="C222"/>
      <x:c r="D222" t="str">
        <x:v>(II)</x:v>
      </x:c>
      <x:c r="E222" t="n">
        <x:v>0</x:v>
      </x:c>
      <x:c r="F222"/>
      <x:c r="G222" t="n">
        <x:v>0</x:v>
      </x:c>
    </x:row>
    <x:row r="223">
      <x:c r="A223"/>
      <x:c r="B223"/>
      <x:c r="C223"/>
      <x:c r="D223"/>
      <x:c r="E223"/>
      <x:c r="F223"/>
      <x:c r="G223"/>
    </x:row>
    <x:row r="224">
      <x:c r="A224"/>
      <x:c r="B224" t="str">
        <x:v>Other materials (purchased intermediates and components)</x:v>
      </x:c>
      <x:c r="C224"/>
      <x:c r="D224"/>
      <x:c r="E224"/>
      <x:c r="F224"/>
      <x:c r="G224"/>
    </x:row>
    <x:row r="225">
      <x:c r="A225" t="str">
        <x:v>(i)</x:v>
      </x:c>
      <x:c r="B225" t="str">
        <x:v>Inventory at the beginning of the year</x:v>
      </x:c>
      <x:c r="C225"/>
      <x:c r="D225"/>
      <x:c r="E225" t="n">
        <x:v>0</x:v>
      </x:c>
      <x:c r="F225"/>
      <x:c r="G225" t="n">
        <x:v>0</x:v>
      </x:c>
    </x:row>
    <x:row r="226">
      <x:c r="A226" t="str">
        <x:v>(ii)</x:v>
      </x:c>
      <x:c r="B226" t="str">
        <x:v>Add : Purchases during the year</x:v>
      </x:c>
      <x:c r="C226"/>
      <x:c r="D226"/>
      <x:c r="E226" t="n">
        <x:v>0</x:v>
      </x:c>
      <x:c r="F226"/>
      <x:c r="G226" t="n">
        <x:v>0</x:v>
      </x:c>
    </x:row>
    <x:row r="227">
      <x:c r="A227" t="str">
        <x:v>(iii)</x:v>
      </x:c>
      <x:c r="B227" t="str">
        <x:v>Less: Inventory at the end of the year</x:v>
      </x:c>
      <x:c r="C227"/>
      <x:c r="D227"/>
      <x:c r="E227" t="n">
        <x:v>0</x:v>
      </x:c>
      <x:c r="F227"/>
      <x:c r="G227" t="n">
        <x:v>0</x:v>
      </x:c>
    </x:row>
    <x:row r="228">
      <x:c r="A228"/>
      <x:c r="B228" t="str">
        <x:v>Cost of other material consumed</x:v>
      </x:c>
      <x:c r="C228"/>
      <x:c r="D228" t="str">
        <x:v>(III)</x:v>
      </x:c>
      <x:c r="E228" t="n">
        <x:v>0</x:v>
      </x:c>
      <x:c r="F228"/>
      <x:c r="G228" t="n">
        <x:v>0</x:v>
      </x:c>
    </x:row>
    <x:row r="229">
      <x:c r="A229"/>
      <x:c r="B229" t="str">
        <x:v>Total raw material consumed (A)</x:v>
      </x:c>
      <x:c r="C229"/>
      <x:c r="D229" t="str">
        <x:v>(I+II+III)</x:v>
      </x:c>
      <x:c r="E229" t="n">
        <x:v>0</x:v>
      </x:c>
      <x:c r="F229"/>
      <x:c r="G229" t="n">
        <x:v>0</x:v>
      </x:c>
    </x:row>
    <x:row r="230">
      <x:c r="A230"/>
      <x:c r="B230"/>
      <x:c r="C230"/>
      <x:c r="D230"/>
      <x:c r="E230"/>
      <x:c r="F230"/>
      <x:c r="G230"/>
    </x:row>
    <x:row r="231">
      <x:c r="A231"/>
      <x:c r="B231"/>
      <x:c r="C231"/>
      <x:c r="D231"/>
      <x:c r="E231"/>
      <x:c r="F231"/>
      <x:c r="G231"/>
    </x:row>
    <x:row r="232">
      <x:c r="A232"/>
      <x:c r="B232"/>
      <x:c r="C232"/>
      <x:c r="D232"/>
      <x:c r="E232"/>
      <x:c r="F232"/>
      <x:c r="G232"/>
    </x:row>
    <x:row r="233">
      <x:c r="A233" t="str">
        <x:v>B</x:v>
      </x:c>
      <x:c r="B233" t="str">
        <x:v>Purchases of stock-in-trade</x:v>
      </x:c>
      <x:c r="C233"/>
      <x:c r="D233"/>
      <x:c r="E233" t="str">
        <x:v>31 March 20XX</x:v>
      </x:c>
      <x:c r="F233"/>
      <x:c r="G233" t="str">
        <x:v>31 March 20XX</x:v>
      </x:c>
    </x:row>
    <x:row r="234">
      <x:c r="A234" t="str">
        <x:v>(i)</x:v>
      </x:c>
      <x:c r="B234" t="str">
        <x:v>…</x:v>
      </x:c>
      <x:c r="C234"/>
      <x:c r="D234"/>
      <x:c r="E234" t="n">
        <x:v>0</x:v>
      </x:c>
      <x:c r="F234"/>
      <x:c r="G234" t="n">
        <x:v>0</x:v>
      </x:c>
    </x:row>
    <x:row r="235">
      <x:c r="A235" t="str">
        <x:v>(ii)</x:v>
      </x:c>
      <x:c r="B235" t="str">
        <x:v>…</x:v>
      </x:c>
      <x:c r="C235"/>
      <x:c r="D235"/>
      <x:c r="E235" t="n">
        <x:v>0</x:v>
      </x:c>
      <x:c r="F235"/>
      <x:c r="G235" t="n">
        <x:v>0</x:v>
      </x:c>
    </x:row>
    <x:row r="236">
      <x:c r="A236" t="str">
        <x:v>(iii)</x:v>
      </x:c>
      <x:c r="B236" t="str">
        <x:v>…</x:v>
      </x:c>
      <x:c r="C236"/>
      <x:c r="D236"/>
      <x:c r="E236" t="n">
        <x:v>0</x:v>
      </x:c>
      <x:c r="F236"/>
      <x:c r="G236" t="n">
        <x:v>0</x:v>
      </x:c>
    </x:row>
    <x:row r="237">
      <x:c r="A237"/>
      <x:c r="B237" t="str">
        <x:v>Total (B)</x:v>
      </x:c>
      <x:c r="C237"/>
      <x:c r="D237"/>
      <x:c r="E237" t="n">
        <x:v>0</x:v>
      </x:c>
      <x:c r="F237"/>
      <x:c r="G237" t="n">
        <x:v>0</x:v>
      </x:c>
    </x:row>
    <x:row r="238">
      <x:c r="A238"/>
      <x:c r="B238"/>
      <x:c r="C238"/>
      <x:c r="D238"/>
      <x:c r="E238"/>
      <x:c r="F238"/>
      <x:c r="G238"/>
    </x:row>
    <x:row r="239">
      <x:c r="A239" t="str">
        <x:v>C</x:v>
      </x:c>
      <x:c r="B239" t="str">
        <x:v>Changes in inventories of finished goods, work in progress and stock-in trade</x:v>
      </x:c>
      <x:c r="C239"/>
      <x:c r="D239"/>
      <x:c r="E239" t="str">
        <x:v>31 March 20XX</x:v>
      </x:c>
      <x:c r="F239"/>
      <x:c r="G239" t="str">
        <x:v>31 March 20XX</x:v>
      </x:c>
    </x:row>
    <x:row r="240">
      <x:c r="A240"/>
      <x:c r="B240"/>
      <x:c r="C240"/>
      <x:c r="D240"/>
      <x:c r="E240"/>
      <x:c r="F240"/>
      <x:c r="G240"/>
    </x:row>
    <x:row r="241">
      <x:c r="A241"/>
      <x:c r="B241" t="str">
        <x:v>Inventories at the beginning of the year:</x:v>
      </x:c>
      <x:c r="C241"/>
      <x:c r="D241"/>
      <x:c r="E241"/>
      <x:c r="F241"/>
      <x:c r="G241"/>
    </x:row>
    <x:row r="242">
      <x:c r="A242" t="str">
        <x:v>(i)</x:v>
      </x:c>
      <x:c r="B242" t="str">
        <x:v>Stock-in-trade</x:v>
      </x:c>
      <x:c r="C242"/>
      <x:c r="D242"/>
      <x:c r="E242" t="n">
        <x:v>0</x:v>
      </x:c>
      <x:c r="F242"/>
      <x:c r="G242" t="n">
        <x:v>0</x:v>
      </x:c>
    </x:row>
    <x:row r="243">
      <x:c r="A243" t="str">
        <x:v>(ii)</x:v>
      </x:c>
      <x:c r="B243" t="str">
        <x:v>Work in progress </x:v>
      </x:c>
      <x:c r="C243"/>
      <x:c r="D243"/>
      <x:c r="E243" t="n">
        <x:v>0</x:v>
      </x:c>
      <x:c r="F243"/>
      <x:c r="G243" t="n">
        <x:v>0</x:v>
      </x:c>
    </x:row>
    <x:row r="244">
      <x:c r="A244" t="str">
        <x:v>(iii)</x:v>
      </x:c>
      <x:c r="B244" t="str">
        <x:v>Finished goods</x:v>
      </x:c>
      <x:c r="C244"/>
      <x:c r="D244"/>
      <x:c r="E244" t="n">
        <x:v>0</x:v>
      </x:c>
      <x:c r="F244"/>
      <x:c r="G244" t="n">
        <x:v>0</x:v>
      </x:c>
    </x:row>
    <x:row r="245">
      <x:c r="A245"/>
      <x:c r="B245"/>
      <x:c r="C245"/>
      <x:c r="D245" t="str">
        <x:v>(I)</x:v>
      </x:c>
      <x:c r="E245" t="n">
        <x:v>0</x:v>
      </x:c>
      <x:c r="F245"/>
      <x:c r="G245" t="n">
        <x:v>0</x:v>
      </x:c>
    </x:row>
    <x:row r="246">
      <x:c r="A246"/>
      <x:c r="B246" t="str">
        <x:v>Inventories at the end of the year:</x:v>
      </x:c>
      <x:c r="C246"/>
      <x:c r="D246"/>
      <x:c r="E246"/>
      <x:c r="F246"/>
      <x:c r="G246"/>
    </x:row>
    <x:row r="247">
      <x:c r="A247" t="str">
        <x:v>(i)</x:v>
      </x:c>
      <x:c r="B247" t="str">
        <x:v>Stock-in-trade</x:v>
      </x:c>
      <x:c r="C247"/>
      <x:c r="D247"/>
      <x:c r="E247" t="n">
        <x:v>0</x:v>
      </x:c>
      <x:c r="F247"/>
      <x:c r="G247" t="n">
        <x:v>0</x:v>
      </x:c>
    </x:row>
    <x:row r="248">
      <x:c r="A248" t="str">
        <x:v>(ii)</x:v>
      </x:c>
      <x:c r="B248" t="str">
        <x:v>Work in progress </x:v>
      </x:c>
      <x:c r="C248"/>
      <x:c r="D248"/>
      <x:c r="E248" t="n">
        <x:v>0</x:v>
      </x:c>
      <x:c r="F248"/>
      <x:c r="G248" t="n">
        <x:v>0</x:v>
      </x:c>
    </x:row>
    <x:row r="249">
      <x:c r="A249" t="str">
        <x:v>(iii)</x:v>
      </x:c>
      <x:c r="B249" t="str">
        <x:v>Finished goods</x:v>
      </x:c>
      <x:c r="C249"/>
      <x:c r="D249"/>
      <x:c r="E249" t="n">
        <x:v>0</x:v>
      </x:c>
      <x:c r="F249"/>
      <x:c r="G249" t="n">
        <x:v>0</x:v>
      </x:c>
    </x:row>
    <x:row r="250">
      <x:c r="A250"/>
      <x:c r="B250"/>
      <x:c r="C250"/>
      <x:c r="D250" t="str">
        <x:v>(II)</x:v>
      </x:c>
      <x:c r="E250" t="n">
        <x:v>0</x:v>
      </x:c>
      <x:c r="F250"/>
      <x:c r="G250" t="n">
        <x:v>0</x:v>
      </x:c>
    </x:row>
    <x:row r="251">
      <x:c r="A251"/>
      <x:c r="B251"/>
      <x:c r="C251"/>
      <x:c r="D251"/>
      <x:c r="E251"/>
      <x:c r="F251"/>
      <x:c r="G251"/>
    </x:row>
    <x:row r="252">
      <x:c r="A252"/>
      <x:c r="B252" t="str">
        <x:v>(Increase)/decrease in inventories of finished goods, work-in-progress and  stock-in-trade (C)</x:v>
      </x:c>
      <x:c r="C252"/>
      <x:c r="D252"/>
      <x:c r="E252" t="n">
        <x:v>0</x:v>
      </x:c>
      <x:c r="F252"/>
      <x:c r="G252" t="n">
        <x:v>0</x:v>
      </x:c>
    </x:row>
    <x:row r="253">
      <x:c r="A253"/>
      <x:c r="B253" t="str">
        <x:v>Total (A+B+C)</x:v>
      </x:c>
      <x:c r="C253"/>
      <x:c r="D253"/>
      <x:c r="E253" t="n">
        <x:v>0</x:v>
      </x:c>
      <x:c r="F253"/>
      <x:c r="G253" t="n">
        <x:v>0</x:v>
      </x:c>
    </x:row>
    <x:row r="254">
      <x:c r="A254"/>
      <x:c r="B254"/>
      <x:c r="C254"/>
      <x:c r="D254"/>
      <x:c r="E254"/>
      <x:c r="F254"/>
      <x:c r="G254"/>
    </x:row>
    <x:row r="255">
      <x:c r="A255"/>
      <x:c r="B255"/>
      <x:c r="C255"/>
      <x:c r="D255"/>
      <x:c r="E255"/>
      <x:c r="F255"/>
      <x:c r="G255"/>
    </x:row>
    <x:row r="256">
      <x:c r="A256" t="n">
        <x:v>22</x:v>
      </x:c>
      <x:c r="B256" t="str">
        <x:v>Employee benefits expense</x:v>
      </x:c>
      <x:c r="C256"/>
      <x:c r="D256"/>
      <x:c r="E256" t="str">
        <x:v>31 March 20XX</x:v>
      </x:c>
      <x:c r="F256"/>
      <x:c r="G256" t="str">
        <x:v>31 March 20XX</x:v>
      </x:c>
    </x:row>
    <x:row r="257">
      <x:c r="A257"/>
      <x:c r="B257" t="str">
        <x:v>(Including contract labour)</x:v>
      </x:c>
      <x:c r="C257"/>
      <x:c r="D257"/>
      <x:c r="E257"/>
      <x:c r="F257"/>
      <x:c r="G257"/>
    </x:row>
    <x:row r="258">
      <x:c r="A258" t="str">
        <x:v>(a)</x:v>
      </x:c>
      <x:c r="B258" t="str">
        <x:v>Salaries, wages, bonus and other allowances</x:v>
      </x:c>
      <x:c r="C258"/>
      <x:c r="D258"/>
      <x:c r="E258" t="n">
        <x:v>0</x:v>
      </x:c>
      <x:c r="F258"/>
      <x:c r="G258" t="n">
        <x:v>0</x:v>
      </x:c>
    </x:row>
    <x:row r="259">
      <x:c r="A259" t="str">
        <x:v>(b)</x:v>
      </x:c>
      <x:c r="B259" t="str">
        <x:v>Contribution to provident and other funds</x:v>
      </x:c>
      <x:c r="C259"/>
      <x:c r="D259"/>
      <x:c r="E259" t="n">
        <x:v>0</x:v>
      </x:c>
      <x:c r="F259"/>
      <x:c r="G259" t="n">
        <x:v>0</x:v>
      </x:c>
    </x:row>
    <x:row r="260">
      <x:c r="A260" t="str">
        <x:v>(c)</x:v>
      </x:c>
      <x:c r="B260" t="str">
        <x:v>Gratuity expenses</x:v>
      </x:c>
      <x:c r="C260"/>
      <x:c r="D260"/>
      <x:c r="E260" t="n">
        <x:v>0</x:v>
      </x:c>
      <x:c r="F260"/>
      <x:c r="G260" t="n">
        <x:v>0</x:v>
      </x:c>
    </x:row>
    <x:row r="261">
      <x:c r="A261" t="str">
        <x:v>(d)</x:v>
      </x:c>
      <x:c r="B261" t="str">
        <x:v>Staff welfare expenses</x:v>
      </x:c>
      <x:c r="C261"/>
      <x:c r="D261"/>
      <x:c r="E261" t="n">
        <x:v>0</x:v>
      </x:c>
      <x:c r="F261"/>
      <x:c r="G261" t="n">
        <x:v>0</x:v>
      </x:c>
    </x:row>
    <x:row r="262">
      <x:c r="A262"/>
      <x:c r="B262" t="str">
        <x:v>Total Employee benefits expense</x:v>
      </x:c>
      <x:c r="C262"/>
      <x:c r="D262"/>
      <x:c r="E262" t="n">
        <x:v>0</x:v>
      </x:c>
      <x:c r="F262"/>
      <x:c r="G262" t="n">
        <x:v>0</x:v>
      </x:c>
    </x:row>
    <x:row r="263">
      <x:c r="A263"/>
      <x:c r="B263"/>
      <x:c r="C263"/>
      <x:c r="D263"/>
      <x:c r="E263"/>
      <x:c r="F263"/>
      <x:c r="G263"/>
    </x:row>
    <x:row r="264">
      <x:c r="A264" t="n">
        <x:v>23</x:v>
      </x:c>
      <x:c r="B264" t="str">
        <x:v>Finance cost</x:v>
      </x:c>
      <x:c r="C264"/>
      <x:c r="D264"/>
      <x:c r="E264" t="str">
        <x:v>31 March 20XX</x:v>
      </x:c>
      <x:c r="F264"/>
      <x:c r="G264" t="str">
        <x:v>31 March 20XX</x:v>
      </x:c>
    </x:row>
    <x:row r="265">
      <x:c r="A265" t="str">
        <x:v>(a)</x:v>
      </x:c>
      <x:c r="B265" t="str">
        <x:v>Interest expense (other than interest on partners’ capital)</x:v>
      </x:c>
      <x:c r="C265"/>
      <x:c r="D265"/>
      <x:c r="E265"/>
      <x:c r="F265"/>
      <x:c r="G265"/>
    </x:row>
    <x:row r="266">
      <x:c r="A266" t="str">
        <x:v>(i)</x:v>
      </x:c>
      <x:c r="B266" t="str">
        <x:v>   On bank loan</x:v>
      </x:c>
      <x:c r="C266"/>
      <x:c r="D266"/>
      <x:c r="E266" t="n">
        <x:v>0</x:v>
      </x:c>
      <x:c r="F266"/>
      <x:c r="G266" t="n">
        <x:v>0</x:v>
      </x:c>
    </x:row>
    <x:row r="267">
      <x:c r="A267" t="str">
        <x:v>(ii)</x:v>
      </x:c>
      <x:c r="B267" t="str">
        <x:v>   On assets on finance lease</x:v>
      </x:c>
      <x:c r="C267"/>
      <x:c r="D267"/>
      <x:c r="E267" t="n">
        <x:v>0</x:v>
      </x:c>
      <x:c r="F267"/>
      <x:c r="G267" t="n">
        <x:v>0</x:v>
      </x:c>
    </x:row>
    <x:row r="268">
      <x:c r="A268" t="str">
        <x:v>(b)</x:v>
      </x:c>
      <x:c r="B268" t="str">
        <x:v>Interest on partners’ capital</x:v>
      </x:c>
      <x:c r="C268"/>
      <x:c r="D268"/>
      <x:c r="E268"/>
      <x:c r="F268"/>
      <x:c r="G268"/>
    </x:row>
    <x:row r="269">
      <x:c r="A269" t="str">
        <x:v>(c)</x:v>
      </x:c>
      <x:c r="B269" t="str">
        <x:v>Other borrowing costs</x:v>
      </x:c>
      <x:c r="C269"/>
      <x:c r="D269"/>
      <x:c r="E269" t="n">
        <x:v>0</x:v>
      </x:c>
      <x:c r="F269"/>
      <x:c r="G269" t="n">
        <x:v>0</x:v>
      </x:c>
    </x:row>
    <x:row r="270">
      <x:c r="A270" t="str">
        <x:v>(d)</x:v>
      </x:c>
      <x:c r="B270" t="str">
        <x:v>Loss on foreign exchange transactions and translations considered as finance cost (net)</x:v>
      </x:c>
      <x:c r="C270"/>
      <x:c r="D270"/>
      <x:c r="E270" t="n">
        <x:v>0</x:v>
      </x:c>
      <x:c r="F270"/>
      <x:c r="G270" t="n">
        <x:v>0</x:v>
      </x:c>
    </x:row>
    <x:row r="271">
      <x:c r="A271"/>
      <x:c r="B271" t="str">
        <x:v>Total Finance cost</x:v>
      </x:c>
      <x:c r="C271"/>
      <x:c r="D271"/>
      <x:c r="E271" t="n">
        <x:v>0</x:v>
      </x:c>
      <x:c r="F271"/>
      <x:c r="G271" t="n">
        <x:v>0</x:v>
      </x:c>
    </x:row>
    <x:row r="272">
      <x:c r="A272"/>
      <x:c r="B272"/>
      <x:c r="C272"/>
      <x:c r="D272"/>
      <x:c r="E272"/>
      <x:c r="F272"/>
      <x:c r="G272"/>
    </x:row>
    <x:row r="273">
      <x:c r="A273" t="n">
        <x:v>24</x:v>
      </x:c>
      <x:c r="B273" t="str">
        <x:v>Depreciation and amortization expense</x:v>
      </x:c>
      <x:c r="C273"/>
      <x:c r="D273"/>
      <x:c r="E273" t="str">
        <x:v>31 March 20XX</x:v>
      </x:c>
      <x:c r="F273"/>
      <x:c r="G273" t="str">
        <x:v>31 March 20XX</x:v>
      </x:c>
    </x:row>
    <x:row r="274">
      <x:c r="A274" t="str">
        <x:v>(a)</x:v>
      </x:c>
      <x:c r="B274" t="str">
        <x:v>   on tangible assets (Refer note 11)</x:v>
      </x:c>
      <x:c r="C274"/>
      <x:c r="D274"/>
      <x:c r="E274" t="n">
        <x:v>0</x:v>
      </x:c>
      <x:c r="F274"/>
      <x:c r="G274" t="n">
        <x:v>0</x:v>
      </x:c>
    </x:row>
    <x:row r="275">
      <x:c r="A275" t="str">
        <x:v>(b)</x:v>
      </x:c>
      <x:c r="B275" t="str">
        <x:v>   on intangible assets (Refer note 11)</x:v>
      </x:c>
      <x:c r="C275"/>
      <x:c r="D275"/>
      <x:c r="E275" t="n">
        <x:v>0</x:v>
      </x:c>
      <x:c r="F275"/>
      <x:c r="G275" t="n">
        <x:v>0</x:v>
      </x:c>
    </x:row>
    <x:row r="276">
      <x:c r="A276"/>
      <x:c r="B276" t="str">
        <x:v>Total Depreciation and amortization expense</x:v>
      </x:c>
      <x:c r="C276"/>
      <x:c r="D276"/>
      <x:c r="E276" t="n">
        <x:v>0</x:v>
      </x:c>
      <x:c r="F276"/>
      <x:c r="G276" t="n">
        <x:v>0</x:v>
      </x:c>
    </x:row>
    <x:row r="277">
      <x:c r="A277"/>
      <x:c r="B277"/>
      <x:c r="C277"/>
      <x:c r="D277"/>
      <x:c r="E277"/>
      <x:c r="F277"/>
      <x:c r="G277"/>
    </x:row>
    <x:row r="278">
      <x:c r="A278" t="n">
        <x:v>25</x:v>
      </x:c>
      <x:c r="B278" t="str">
        <x:v>Other Expenses</x:v>
      </x:c>
      <x:c r="C278"/>
      <x:c r="D278"/>
      <x:c r="E278" t="str">
        <x:v>31 March 20XX</x:v>
      </x:c>
      <x:c r="F278"/>
      <x:c r="G278" t="str">
        <x:v>31 March 20XX</x:v>
      </x:c>
    </x:row>
    <x:row r="279">
      <x:c r="A279"/>
      <x:c r="B279"/>
      <x:c r="C279"/>
      <x:c r="D279"/>
      <x:c r="E279"/>
      <x:c r="F279"/>
      <x:c r="G279"/>
    </x:row>
    <x:row r="280">
      <x:c r="A280" t="str">
        <x:v>(a)</x:v>
      </x:c>
      <x:c r="B280" t="str">
        <x:v>Consumption of stores and spare parts</x:v>
      </x:c>
      <x:c r="C280"/>
      <x:c r="D280"/>
      <x:c r="E280" t="n">
        <x:v>0</x:v>
      </x:c>
      <x:c r="F280"/>
      <x:c r="G280" t="n">
        <x:v>0</x:v>
      </x:c>
    </x:row>
    <x:row r="281">
      <x:c r="A281" t="str">
        <x:v>(b)</x:v>
      </x:c>
      <x:c r="B281" t="str">
        <x:v>Power and fuel </x:v>
      </x:c>
      <x:c r="C281"/>
      <x:c r="D281"/>
      <x:c r="E281" t="n">
        <x:v>0</x:v>
      </x:c>
      <x:c r="F281"/>
      <x:c r="G281" t="n">
        <x:v>0</x:v>
      </x:c>
    </x:row>
    <x:row r="282">
      <x:c r="A282" t="str">
        <x:v>(c)</x:v>
      </x:c>
      <x:c r="B282" t="str">
        <x:v>Rent</x:v>
      </x:c>
      <x:c r="C282"/>
      <x:c r="D282"/>
      <x:c r="E282" t="n">
        <x:v>0</x:v>
      </x:c>
      <x:c r="F282"/>
      <x:c r="G282" t="n">
        <x:v>0</x:v>
      </x:c>
    </x:row>
    <x:row r="283">
      <x:c r="A283" t="str">
        <x:v>(d)</x:v>
      </x:c>
      <x:c r="B283" t="str">
        <x:v>Repairs and maintenance - Buildings</x:v>
      </x:c>
      <x:c r="C283"/>
      <x:c r="D283"/>
      <x:c r="E283" t="n">
        <x:v>0</x:v>
      </x:c>
      <x:c r="F283"/>
      <x:c r="G283" t="n">
        <x:v>0</x:v>
      </x:c>
    </x:row>
    <x:row r="284">
      <x:c r="A284" t="str">
        <x:v>(e)</x:v>
      </x:c>
      <x:c r="B284" t="str">
        <x:v>Repairs and maintenance - Machinery</x:v>
      </x:c>
      <x:c r="C284"/>
      <x:c r="D284"/>
      <x:c r="E284" t="n">
        <x:v>0</x:v>
      </x:c>
      <x:c r="F284"/>
      <x:c r="G284" t="n">
        <x:v>0</x:v>
      </x:c>
    </x:row>
    <x:row r="285">
      <x:c r="A285" t="str">
        <x:v>(f)</x:v>
      </x:c>
      <x:c r="B285" t="str">
        <x:v>Insurance</x:v>
      </x:c>
      <x:c r="C285"/>
      <x:c r="D285"/>
      <x:c r="E285" t="n">
        <x:v>0</x:v>
      </x:c>
      <x:c r="F285"/>
      <x:c r="G285" t="n">
        <x:v>0</x:v>
      </x:c>
    </x:row>
    <x:row r="286">
      <x:c r="A286" t="str">
        <x:v>(g)</x:v>
      </x:c>
      <x:c r="B286" t="str">
        <x:v>Rent, Rates and taxes, excluding, taxes on income</x:v>
      </x:c>
      <x:c r="C286"/>
      <x:c r="D286"/>
      <x:c r="E286" t="n">
        <x:v>0</x:v>
      </x:c>
      <x:c r="F286"/>
      <x:c r="G286" t="n">
        <x:v>0</x:v>
      </x:c>
    </x:row>
    <x:row r="287">
      <x:c r="A287" t="str">
        <x:v>(h)</x:v>
      </x:c>
      <x:c r="B287" t="str">
        <x:v>Labour charges</x:v>
      </x:c>
      <x:c r="C287"/>
      <x:c r="D287"/>
      <x:c r="E287" t="n">
        <x:v>0</x:v>
      </x:c>
      <x:c r="F287"/>
      <x:c r="G287" t="n">
        <x:v>0</x:v>
      </x:c>
    </x:row>
    <x:row r="288">
      <x:c r="A288" t="str">
        <x:v>(i)</x:v>
      </x:c>
      <x:c r="B288" t="str">
        <x:v>Travelling expenses</x:v>
      </x:c>
      <x:c r="C288"/>
      <x:c r="D288"/>
      <x:c r="E288" t="n">
        <x:v>0</x:v>
      </x:c>
      <x:c r="F288"/>
      <x:c r="G288" t="n">
        <x:v>0</x:v>
      </x:c>
    </x:row>
    <x:row r="289">
      <x:c r="A289" t="str">
        <x:v>(j)</x:v>
      </x:c>
      <x:c r="B289" t="str">
        <x:v>Auditor's remuneration (Refer note below)</x:v>
      </x:c>
      <x:c r="C289"/>
      <x:c r="D289"/>
      <x:c r="E289" t="n">
        <x:v>0</x:v>
      </x:c>
      <x:c r="F289"/>
      <x:c r="G289" t="n">
        <x:v>0</x:v>
      </x:c>
    </x:row>
    <x:row r="290">
      <x:c r="A290" t="str">
        <x:v>(k)</x:v>
      </x:c>
      <x:c r="B290" t="str">
        <x:v>Printing and stationery</x:v>
      </x:c>
      <x:c r="C290"/>
      <x:c r="D290"/>
      <x:c r="E290" t="n">
        <x:v>0</x:v>
      </x:c>
      <x:c r="F290"/>
      <x:c r="G290" t="n">
        <x:v>0</x:v>
      </x:c>
    </x:row>
    <x:row r="291">
      <x:c r="A291" t="str">
        <x:v>(l)</x:v>
      </x:c>
      <x:c r="B291" t="str">
        <x:v>Communication expenses </x:v>
      </x:c>
      <x:c r="C291"/>
      <x:c r="D291"/>
      <x:c r="E291" t="n">
        <x:v>0</x:v>
      </x:c>
      <x:c r="F291"/>
      <x:c r="G291" t="n">
        <x:v>0</x:v>
      </x:c>
    </x:row>
    <x:row r="292">
      <x:c r="A292" t="str">
        <x:v>(m)</x:v>
      </x:c>
      <x:c r="B292" t="str">
        <x:v>Legal and professional charges</x:v>
      </x:c>
      <x:c r="C292"/>
      <x:c r="D292"/>
      <x:c r="E292" t="n">
        <x:v>0</x:v>
      </x:c>
      <x:c r="F292"/>
      <x:c r="G292" t="n">
        <x:v>0</x:v>
      </x:c>
    </x:row>
    <x:row r="293">
      <x:c r="A293" t="str">
        <x:v>(n)</x:v>
      </x:c>
      <x:c r="B293" t="str">
        <x:v>Advertisement and publicity</x:v>
      </x:c>
      <x:c r="C293"/>
      <x:c r="D293"/>
      <x:c r="E293" t="n">
        <x:v>0</x:v>
      </x:c>
      <x:c r="F293"/>
      <x:c r="G293" t="n">
        <x:v>0</x:v>
      </x:c>
    </x:row>
    <x:row r="294">
      <x:c r="A294" t="str">
        <x:v>(o)</x:v>
      </x:c>
      <x:c r="B294" t="str">
        <x:v>Business promotion expenses</x:v>
      </x:c>
      <x:c r="C294"/>
      <x:c r="D294"/>
      <x:c r="E294" t="n">
        <x:v>0</x:v>
      </x:c>
      <x:c r="F294"/>
      <x:c r="G294" t="n">
        <x:v>0</x:v>
      </x:c>
    </x:row>
    <x:row r="295">
      <x:c r="A295" t="str">
        <x:v>(p)</x:v>
      </x:c>
      <x:c r="B295" t="str">
        <x:v>Commission</x:v>
      </x:c>
      <x:c r="C295"/>
      <x:c r="D295"/>
      <x:c r="E295" t="n">
        <x:v>0</x:v>
      </x:c>
      <x:c r="F295"/>
      <x:c r="G295" t="n">
        <x:v>0</x:v>
      </x:c>
    </x:row>
    <x:row r="296">
      <x:c r="A296" t="str">
        <x:v>(q)</x:v>
      </x:c>
      <x:c r="B296" t="str">
        <x:v>Clearing and forwarding charges</x:v>
      </x:c>
      <x:c r="C296"/>
      <x:c r="D296"/>
      <x:c r="E296" t="n">
        <x:v>0</x:v>
      </x:c>
      <x:c r="F296"/>
      <x:c r="G296" t="n">
        <x:v>0</x:v>
      </x:c>
    </x:row>
    <x:row r="297">
      <x:c r="A297" t="str">
        <x:v>(r)</x:v>
      </x:c>
      <x:c r="B297" t="str">
        <x:v>Loss on sale of Property, Plant and Equipment</x:v>
      </x:c>
      <x:c r="C297"/>
      <x:c r="D297"/>
      <x:c r="E297" t="n">
        <x:v>0</x:v>
      </x:c>
      <x:c r="F297"/>
      <x:c r="G297" t="n">
        <x:v>0</x:v>
      </x:c>
    </x:row>
    <x:row r="298">
      <x:c r="A298" t="str">
        <x:v>(s)</x:v>
      </x:c>
      <x:c r="B298" t="str">
        <x:v>Loss on foreign exchange transactions (net)</x:v>
      </x:c>
      <x:c r="C298"/>
      <x:c r="D298"/>
      <x:c r="E298" t="n">
        <x:v>0</x:v>
      </x:c>
      <x:c r="F298"/>
      <x:c r="G298" t="n">
        <x:v>0</x:v>
      </x:c>
    </x:row>
    <x:row r="299">
      <x:c r="A299" t="str">
        <x:v>(t)</x:v>
      </x:c>
      <x:c r="B299" t="str">
        <x:v>Loss on cancellation of forward contracts</x:v>
      </x:c>
      <x:c r="C299"/>
      <x:c r="D299"/>
      <x:c r="E299" t="n">
        <x:v>0</x:v>
      </x:c>
      <x:c r="F299"/>
      <x:c r="G299" t="n">
        <x:v>0</x:v>
      </x:c>
    </x:row>
    <x:row r="300">
      <x:c r="A300" t="str">
        <x:v>(u)</x:v>
      </x:c>
      <x:c r="B300" t="str">
        <x:v>Loss on sale of investments (net)</x:v>
      </x:c>
      <x:c r="C300"/>
      <x:c r="D300"/>
      <x:c r="E300" t="n">
        <x:v>0</x:v>
      </x:c>
      <x:c r="F300"/>
      <x:c r="G300" t="n">
        <x:v>0</x:v>
      </x:c>
    </x:row>
    <x:row r="301">
      <x:c r="A301" t="str">
        <x:v>(v)</x:v>
      </x:c>
      <x:c r="B301" t="str">
        <x:v>Provision for diminution in value of investments</x:v>
      </x:c>
      <x:c r="C301"/>
      <x:c r="D301"/>
      <x:c r="E301" t="n">
        <x:v>0</x:v>
      </x:c>
      <x:c r="F301"/>
      <x:c r="G301" t="n">
        <x:v>0</x:v>
      </x:c>
    </x:row>
    <x:row r="302">
      <x:c r="A302" t="str">
        <x:v>(w)</x:v>
      </x:c>
      <x:c r="B302" t="str">
        <x:v>Provision for doubtful debts</x:v>
      </x:c>
      <x:c r="C302"/>
      <x:c r="D302"/>
      <x:c r="E302" t="n">
        <x:v>0</x:v>
      </x:c>
      <x:c r="F302"/>
      <x:c r="G302" t="n">
        <x:v>0</x:v>
      </x:c>
    </x:row>
    <x:row r="303">
      <x:c r="A303" t="str">
        <x:v>(x)</x:v>
      </x:c>
      <x:c r="B303" t="str">
        <x:v>Miscellaneous expenses</x:v>
      </x:c>
      <x:c r="C303"/>
      <x:c r="D303"/>
      <x:c r="E303" t="n">
        <x:v>0</x:v>
      </x:c>
      <x:c r="F303"/>
      <x:c r="G303" t="n">
        <x:v>0</x:v>
      </x:c>
    </x:row>
    <x:row r="304">
      <x:c r="A304"/>
      <x:c r="B304" t="str">
        <x:v>Total</x:v>
      </x:c>
      <x:c r="C304"/>
      <x:c r="D304"/>
      <x:c r="E304" t="n">
        <x:v>0</x:v>
      </x:c>
      <x:c r="F304"/>
      <x:c r="G304" t="n">
        <x:v>0</x:v>
      </x:c>
    </x:row>
  </x:sheetData>
  <x:mergeCells>
    <x:mergeCell ref="B197:E197"/>
    <x:mergeCell ref="G4:J4"/>
    <x:mergeCell ref="I5:J5"/>
    <x:mergeCell ref="F51:G51"/>
    <x:mergeCell ref="I51:J51"/>
    <x:mergeCell ref="I79:J79"/>
    <x:mergeCell ref="F79:G79"/>
    <x:mergeCell ref="E5:G5"/>
    <x:mergeCell ref="F101:G101"/>
    <x:mergeCell ref="I101:J101"/>
  </x:mergeCell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46" hidden="0" customWidth="1"/>
    <x:col min="3" max="3" width="12" hidden="0" customWidth="1"/>
    <x:col min="4" max="4" width="22" hidden="0" customWidth="1"/>
    <x:col min="5" max="5" width="22" hidden="0" customWidth="1"/>
  </x:cols>
  <x:sheetData>
    <x:row r="1">
      <x:c r="A1" s="69" t="str">
        <x:v>Schedule III — Division I (Non-Ind AS)</x:v>
      </x:c>
      <x:c r="B1" s="69"/>
      <x:c r="C1" s="69"/>
      <x:c r="D1" s="73"/>
      <x:c r="E1" s="73"/>
      <x:c r="G1" s="184"/>
    </x:row>
    <x:row r="2">
      <x:c r="A2" s="115" t="str">
        <x:f>"Name of the Company "&amp;'Basic Info'!C13</x:f>
        <x:v>Name of the Company </x:v>
      </x:c>
      <x:c r="B2" s="69"/>
      <x:c r="C2" s="69"/>
      <x:c r="D2" s="73"/>
      <x:c r="E2" s="73"/>
    </x:row>
    <x:row r="3">
      <x:c r="A3" s="115" t="str">
        <x:f>"Balance Sheet as at "&amp;TEXT('Basic Info'!C8,"dd-mmm-yyyy")&amp;"    (Rupees in "&amp;'Basic Info'!C17&amp;")"</x:f>
        <x:v>Balance Sheet as at     (Rupees in Default)</x:v>
      </x:c>
      <x:c r="B3" s="69"/>
      <x:c r="C3" s="69"/>
      <x:c r="D3" s="73"/>
      <x:c r="E3" s="73"/>
    </x:row>
    <x:row r="4">
      <x:c r="A4" s="71"/>
      <x:c r="B4" s="71"/>
      <x:c r="C4" s="71"/>
      <x:c r="D4" s="75"/>
      <x:c r="E4" s="75"/>
    </x:row>
    <x:row r="5" ht="22" customHeight="1">
      <x:c r="A5" s="70" t="str">
        <x:v>Ref.</x:v>
      </x:c>
      <x:c r="B5" s="70" t="str">
        <x:v>Particulars</x:v>
      </x:c>
      <x:c r="C5" s="70" t="str">
        <x:v>Note No.</x:v>
      </x:c>
      <x:c r="D5" s="157" t="n">
        <x:f>'Basic Info'!C8</x:f>
        <x:v>0</x:v>
      </x:c>
      <x:c r="E5" s="157" t="n">
        <x:f>'Basic Info'!C10</x:f>
        <x:v>0</x:v>
      </x:c>
    </x:row>
    <x:row r="6" ht="22" customHeight="1">
      <x:c r="A6" s="71" t="str">
        <x:v>I</x:v>
      </x:c>
      <x:c r="B6" s="71" t="str">
        <x:v>EQUITY AND LIABILITIES</x:v>
      </x:c>
      <x:c r="C6" s="71"/>
      <x:c r="D6" s="162"/>
      <x:c r="E6" s="162"/>
    </x:row>
    <x:row r="7" ht="22" customHeight="1">
      <x:c r="A7" s="82" t="str">
        <x:v>(1)</x:v>
      </x:c>
      <x:c r="B7" s="82" t="str">
        <x:v>Shareholders’ funds</x:v>
      </x:c>
      <x:c r="C7" s="82"/>
      <x:c r="D7" s="83"/>
      <x:c r="E7" s="83"/>
    </x:row>
    <x:row r="8" ht="22" customHeight="1">
      <x:c r="A8" s="71" t="str">
        <x:v>(a)</x:v>
      </x:c>
      <x:c r="B8" s="71" t="str">
        <x:v>    Share capital</x:v>
      </x:c>
      <x:c r="C8" s="71" t="n">
        <x:v>1</x:v>
      </x:c>
      <x:c r="D8" s="162"/>
      <x:c r="E8" s="162"/>
    </x:row>
    <x:row r="9" ht="22" customHeight="1">
      <x:c r="A9" s="71" t="str">
        <x:v>(b)</x:v>
      </x:c>
      <x:c r="B9" s="71" t="str">
        <x:v>    Reserves and surplus</x:v>
      </x:c>
      <x:c r="C9" s="71" t="n">
        <x:v>2</x:v>
      </x:c>
      <x:c r="D9" s="162"/>
      <x:c r="E9" s="162"/>
    </x:row>
    <x:row r="10" ht="22" customHeight="1">
      <x:c r="A10" s="71" t="str">
        <x:v>(c)</x:v>
      </x:c>
      <x:c r="B10" s="71" t="str">
        <x:v>    Money received against share warrants</x:v>
      </x:c>
      <x:c r="C10" s="71" t="n">
        <x:v>3</x:v>
      </x:c>
      <x:c r="D10" s="162"/>
      <x:c r="E10" s="162"/>
    </x:row>
    <x:row r="11" ht="22" customHeight="1">
      <x:c r="A11" s="71" t="str">
        <x:v>(2)</x:v>
      </x:c>
      <x:c r="B11" s="71" t="str">
        <x:v>Share application money pending allotment</x:v>
      </x:c>
      <x:c r="C11" s="71" t="n">
        <x:v>4</x:v>
      </x:c>
      <x:c r="D11" s="162"/>
      <x:c r="E11" s="162"/>
    </x:row>
    <x:row r="12" ht="22" customHeight="1">
      <x:c r="A12" s="82" t="str">
        <x:v>(3)</x:v>
      </x:c>
      <x:c r="B12" s="82" t="str">
        <x:v>Non-current liabilities</x:v>
      </x:c>
      <x:c r="C12" s="82"/>
      <x:c r="D12" s="83"/>
      <x:c r="E12" s="83"/>
    </x:row>
    <x:row r="13" ht="22" customHeight="1">
      <x:c r="A13" s="71" t="str">
        <x:v>(a)</x:v>
      </x:c>
      <x:c r="B13" s="71" t="str">
        <x:v>    Long-term borrowings</x:v>
      </x:c>
      <x:c r="C13" s="71" t="n">
        <x:v>5</x:v>
      </x:c>
      <x:c r="D13" s="162"/>
      <x:c r="E13" s="162"/>
    </x:row>
    <x:row r="14" ht="22" customHeight="1">
      <x:c r="A14" s="71" t="str">
        <x:v>(b)</x:v>
      </x:c>
      <x:c r="B14" s="71" t="str">
        <x:v>    Deferred tax liabilities (Net)</x:v>
      </x:c>
      <x:c r="C14" s="71" t="n">
        <x:v>6</x:v>
      </x:c>
      <x:c r="D14" s="162"/>
      <x:c r="E14" s="162"/>
    </x:row>
    <x:row r="15" ht="22" customHeight="1">
      <x:c r="A15" s="71" t="str">
        <x:v>(c)</x:v>
      </x:c>
      <x:c r="B15" s="71" t="str">
        <x:v>    Other long-term liabilities</x:v>
      </x:c>
      <x:c r="C15" s="71" t="n">
        <x:v>7</x:v>
      </x:c>
      <x:c r="D15" s="162"/>
      <x:c r="E15" s="162"/>
    </x:row>
    <x:row r="16" ht="22" customHeight="1">
      <x:c r="A16" s="71" t="str">
        <x:v>(d)</x:v>
      </x:c>
      <x:c r="B16" s="71" t="str">
        <x:v>    Long-term provisions</x:v>
      </x:c>
      <x:c r="C16" s="71" t="n">
        <x:v>8</x:v>
      </x:c>
      <x:c r="D16" s="162"/>
      <x:c r="E16" s="162"/>
    </x:row>
    <x:row r="17" ht="22" customHeight="1">
      <x:c r="A17" s="82" t="str">
        <x:v>(4)</x:v>
      </x:c>
      <x:c r="B17" s="82" t="str">
        <x:v>Current liabilities</x:v>
      </x:c>
      <x:c r="C17" s="82"/>
      <x:c r="D17" s="83"/>
      <x:c r="E17" s="83"/>
    </x:row>
    <x:row r="18" ht="22" customHeight="1">
      <x:c r="A18" s="71" t="str">
        <x:v>(a)</x:v>
      </x:c>
      <x:c r="B18" s="71" t="str">
        <x:v>    Short-term borrowings</x:v>
      </x:c>
      <x:c r="C18" s="71" t="n">
        <x:v>9</x:v>
      </x:c>
      <x:c r="D18" s="162"/>
      <x:c r="E18" s="162"/>
    </x:row>
    <x:row r="19" ht="22" customHeight="1">
      <x:c r="A19" s="71" t="str">
        <x:v>(b)</x:v>
      </x:c>
      <x:c r="B19" s="71" t="str">
        <x:v>    Trade payables</x:v>
      </x:c>
      <x:c r="C19" s="71"/>
      <x:c r="D19" s="162"/>
      <x:c r="E19" s="162"/>
    </x:row>
    <x:row r="20" ht="22" customHeight="1">
      <x:c r="A20" s="72" t="str">
        <x:v>(A)</x:v>
      </x:c>
      <x:c r="B20" s="72" t="str">
        <x:v>        Total outstanding dues of micro enterprises and small enterprises</x:v>
      </x:c>
      <x:c r="C20" s="72" t="n">
        <x:v>10</x:v>
      </x:c>
      <x:c r="D20" s="163"/>
      <x:c r="E20" s="163"/>
    </x:row>
    <x:row r="21" ht="22" customHeight="1">
      <x:c r="A21" s="72" t="str">
        <x:v>(B)</x:v>
      </x:c>
      <x:c r="B21" s="72" t="str">
        <x:v>        Total outstanding dues of creditors other than micro enterprises and small enterprises</x:v>
      </x:c>
      <x:c r="C21" s="72" t="n">
        <x:v>11</x:v>
      </x:c>
      <x:c r="D21" s="163"/>
      <x:c r="E21" s="163"/>
    </x:row>
    <x:row r="22" ht="22" customHeight="1">
      <x:c r="A22" s="82" t="str">
        <x:v>(c)</x:v>
      </x:c>
      <x:c r="B22" s="82" t="str">
        <x:v>    Other current liabilities</x:v>
      </x:c>
      <x:c r="C22" s="82" t="n">
        <x:v>12</x:v>
      </x:c>
      <x:c r="D22" s="83"/>
      <x:c r="E22" s="83"/>
    </x:row>
    <x:row r="23" ht="22" customHeight="1">
      <x:c r="A23" s="71" t="str">
        <x:v>(d)</x:v>
      </x:c>
      <x:c r="B23" s="71" t="str">
        <x:v>    Short-term provisions</x:v>
      </x:c>
      <x:c r="C23" s="71" t="n">
        <x:v>13</x:v>
      </x:c>
      <x:c r="D23" s="162"/>
      <x:c r="E23" s="162"/>
    </x:row>
    <x:row r="24" ht="22" customHeight="1">
      <x:c r="A24" s="72"/>
      <x:c r="B24" s="72" t="str">
        <x:v>TOTAL EQUITY AND LIABILITIES</x:v>
      </x:c>
      <x:c r="C24" s="72"/>
      <x:c r="D24" s="163"/>
      <x:c r="E24" s="163"/>
    </x:row>
    <x:row r="25" ht="22" customHeight="1">
      <x:c r="A25" s="71" t="str">
        <x:v>II</x:v>
      </x:c>
      <x:c r="B25" s="71" t="str">
        <x:v>ASSETS</x:v>
      </x:c>
      <x:c r="C25" s="71"/>
      <x:c r="D25" s="162"/>
      <x:c r="E25" s="162"/>
    </x:row>
    <x:row r="26" ht="22" customHeight="1">
      <x:c r="A26" s="82" t="str">
        <x:v>(1)</x:v>
      </x:c>
      <x:c r="B26" s="82" t="str">
        <x:v>Non-current assets</x:v>
      </x:c>
      <x:c r="C26" s="82"/>
      <x:c r="D26" s="83"/>
      <x:c r="E26" s="83"/>
    </x:row>
    <x:row r="27" ht="22" customHeight="1">
      <x:c r="A27" s="71" t="str">
        <x:v>(a)</x:v>
      </x:c>
      <x:c r="B27" s="71" t="str">
        <x:v>    Property, Plant and Equipment and Intangible assets</x:v>
      </x:c>
      <x:c r="C27" s="71" t="n">
        <x:v>14</x:v>
      </x:c>
      <x:c r="D27" s="162"/>
      <x:c r="E27" s="162"/>
    </x:row>
    <x:row r="28" ht="22" customHeight="1">
      <x:c r="A28" s="71" t="str">
        <x:v>(i)</x:v>
      </x:c>
      <x:c r="B28" s="71" t="str">
        <x:v>        Property, Plant and Equipment</x:v>
      </x:c>
      <x:c r="C28" s="71"/>
      <x:c r="D28" s="162"/>
      <x:c r="E28" s="162"/>
    </x:row>
    <x:row r="29" ht="22" customHeight="1">
      <x:c r="A29" s="71" t="str">
        <x:v>(ii)</x:v>
      </x:c>
      <x:c r="B29" s="71" t="str">
        <x:v>        Intangible assets</x:v>
      </x:c>
      <x:c r="C29" s="71" t="n">
        <x:v>15</x:v>
      </x:c>
      <x:c r="D29" s="162"/>
      <x:c r="E29" s="162"/>
    </x:row>
    <x:row r="30" ht="22" customHeight="1">
      <x:c r="A30" s="71" t="str">
        <x:v>(iii)</x:v>
      </x:c>
      <x:c r="B30" s="71" t="str">
        <x:v>        Capital work-in-progress</x:v>
      </x:c>
      <x:c r="C30" s="71" t="n">
        <x:v>16</x:v>
      </x:c>
      <x:c r="D30" s="162"/>
      <x:c r="E30" s="162"/>
    </x:row>
    <x:row r="31" ht="22" customHeight="1">
      <x:c r="A31" s="71" t="str">
        <x:v>(iv)</x:v>
      </x:c>
      <x:c r="B31" s="71" t="str">
        <x:v>        Intangible assets under development</x:v>
      </x:c>
      <x:c r="C31" s="71" t="n">
        <x:v>17</x:v>
      </x:c>
      <x:c r="D31" s="162"/>
      <x:c r="E31" s="162"/>
    </x:row>
    <x:row r="32" ht="22" customHeight="1">
      <x:c r="A32" s="71" t="str">
        <x:v>(b)</x:v>
      </x:c>
      <x:c r="B32" s="71" t="str">
        <x:v>    Non-current investments</x:v>
      </x:c>
      <x:c r="C32" s="71" t="n">
        <x:v>18</x:v>
      </x:c>
      <x:c r="D32" s="162"/>
      <x:c r="E32" s="162"/>
    </x:row>
    <x:row r="33" ht="22" customHeight="1">
      <x:c r="A33" s="71" t="str">
        <x:v>(c)</x:v>
      </x:c>
      <x:c r="B33" s="71" t="str">
        <x:v>    Deferred tax assets (Net)</x:v>
      </x:c>
      <x:c r="C33" s="71" t="n">
        <x:v>19</x:v>
      </x:c>
      <x:c r="D33" s="162"/>
      <x:c r="E33" s="162"/>
    </x:row>
    <x:row r="34" ht="22" customHeight="1">
      <x:c r="A34" s="71" t="str">
        <x:v>(d)</x:v>
      </x:c>
      <x:c r="B34" s="71" t="str">
        <x:v>    Long-term loans and advances</x:v>
      </x:c>
      <x:c r="C34" s="71" t="n">
        <x:v>20</x:v>
      </x:c>
      <x:c r="D34" s="162"/>
      <x:c r="E34" s="162"/>
    </x:row>
    <x:row r="35" ht="22" customHeight="1">
      <x:c r="A35" s="82" t="str">
        <x:v>(e)</x:v>
      </x:c>
      <x:c r="B35" s="82" t="str">
        <x:v>    Other non-current assets</x:v>
      </x:c>
      <x:c r="C35" s="82" t="n">
        <x:v>21</x:v>
      </x:c>
      <x:c r="D35" s="83"/>
      <x:c r="E35" s="83"/>
    </x:row>
    <x:row r="36" ht="22" customHeight="1">
      <x:c r="A36" s="82" t="str">
        <x:v>(2)</x:v>
      </x:c>
      <x:c r="B36" s="82" t="str">
        <x:v>Current assets</x:v>
      </x:c>
      <x:c r="C36" s="82"/>
      <x:c r="D36" s="83"/>
      <x:c r="E36" s="83"/>
    </x:row>
    <x:row r="37" ht="22" customHeight="1">
      <x:c r="A37" s="71" t="str">
        <x:v>(a)</x:v>
      </x:c>
      <x:c r="B37" s="71" t="str">
        <x:v>    Current investments</x:v>
      </x:c>
      <x:c r="C37" s="71" t="n">
        <x:v>22</x:v>
      </x:c>
      <x:c r="D37" s="162"/>
      <x:c r="E37" s="162"/>
    </x:row>
    <x:row r="38" ht="22" customHeight="1">
      <x:c r="A38" s="71" t="str">
        <x:v>(b)</x:v>
      </x:c>
      <x:c r="B38" s="71" t="str">
        <x:v>    Inventories</x:v>
      </x:c>
      <x:c r="C38" s="71" t="n">
        <x:v>23</x:v>
      </x:c>
      <x:c r="D38" s="162"/>
      <x:c r="E38" s="162"/>
    </x:row>
    <x:row r="39" ht="22" customHeight="1">
      <x:c r="A39" s="71" t="str">
        <x:v>(c)</x:v>
      </x:c>
      <x:c r="B39" s="71" t="str">
        <x:v>    Trade receivables</x:v>
      </x:c>
      <x:c r="C39" s="71" t="n">
        <x:v>24</x:v>
      </x:c>
      <x:c r="D39" s="162"/>
      <x:c r="E39" s="162"/>
    </x:row>
    <x:row r="40" ht="22" customHeight="1">
      <x:c r="A40" s="71" t="str">
        <x:v>(d)</x:v>
      </x:c>
      <x:c r="B40" s="71" t="str">
        <x:v>    Cash and cash equivalents</x:v>
      </x:c>
      <x:c r="C40" s="71" t="n">
        <x:v>25</x:v>
      </x:c>
      <x:c r="D40" s="162"/>
      <x:c r="E40" s="162"/>
    </x:row>
    <x:row r="41" ht="22" customHeight="1">
      <x:c r="A41" s="71" t="str">
        <x:v>(e)</x:v>
      </x:c>
      <x:c r="B41" s="71" t="str">
        <x:v>    Short-term loans and advances</x:v>
      </x:c>
      <x:c r="C41" s="71" t="n">
        <x:v>26</x:v>
      </x:c>
      <x:c r="D41" s="162"/>
      <x:c r="E41" s="162"/>
    </x:row>
    <x:row r="42" ht="22" customHeight="1">
      <x:c r="A42" s="82" t="str">
        <x:v>(f)</x:v>
      </x:c>
      <x:c r="B42" s="82" t="str">
        <x:v>    Other current assets</x:v>
      </x:c>
      <x:c r="C42" s="82" t="n">
        <x:v>27</x:v>
      </x:c>
      <x:c r="D42" s="83"/>
      <x:c r="E42" s="83"/>
    </x:row>
    <x:row r="43" ht="22" customHeight="1">
      <x:c r="A43" s="72"/>
      <x:c r="B43" s="72" t="str">
        <x:v>TOTAL ASSETS</x:v>
      </x:c>
      <x:c r="C43" s="72"/>
      <x:c r="D43" s="163"/>
      <x:c r="E43" s="163"/>
    </x:row>
    <x:row r="44">
      <x:c r="A44" s="71"/>
      <x:c r="B44" s="71"/>
      <x:c r="C44" s="71"/>
      <x:c r="D44" s="162"/>
      <x:c r="E44" s="162"/>
    </x:row>
    <x:row r="45">
      <x:c r="A45" s="71"/>
      <x:c r="B45" s="71"/>
      <x:c r="C45" s="71"/>
      <x:c r="D45" s="162"/>
      <x:c r="E45" s="162"/>
    </x:row>
    <x:row r="46">
      <x:c r="D46" s="196"/>
      <x:c r="E46" s="196"/>
    </x:row>
    <x:row r="47">
      <x:c r="A47" s="79"/>
      <x:c r="B47" s="79"/>
      <x:c r="C47" s="79"/>
      <x:c r="D47" s="197"/>
      <x:c r="E47" s="197"/>
      <x:c r="F47" s="79"/>
    </x:row>
    <x:row r="48">
      <x:c r="D48" s="196"/>
      <x:c r="E48" s="196"/>
    </x:row>
    <x:row r="49">
      <x:c r="D49" s="196"/>
      <x:c r="E49" s="196"/>
    </x:row>
    <x:row r="50">
      <x:c r="D50" s="196"/>
      <x:c r="E50" s="196"/>
    </x:row>
    <x:row r="51">
      <x:c r="D51" s="196"/>
      <x:c r="E51" s="196"/>
    </x:row>
    <x:row r="52">
      <x:c r="D52" s="196"/>
      <x:c r="E52" s="196"/>
    </x:row>
    <x:row r="53">
      <x:c r="D53" s="196"/>
      <x:c r="E53" s="196"/>
    </x:row>
    <x:row r="54">
      <x:c r="D54" s="196"/>
      <x:c r="E54" s="196"/>
    </x:row>
    <x:row r="55">
      <x:c r="D55" s="196"/>
      <x:c r="E55" s="196"/>
    </x:row>
    <x:row r="56">
      <x:c r="D56" s="196"/>
      <x:c r="E56" s="196"/>
    </x:row>
    <x:row r="57">
      <x:c r="D57" s="196"/>
      <x:c r="E57" s="196"/>
    </x:row>
    <x:row r="58">
      <x:c r="D58" s="196"/>
      <x:c r="E58" s="196"/>
    </x:row>
    <x:row r="59">
      <x:c r="D59" s="196"/>
      <x:c r="E59" s="196"/>
    </x:row>
    <x:row r="60">
      <x:c r="D60" s="196"/>
      <x:c r="E60" s="196"/>
    </x:row>
    <x:row r="61">
      <x:c r="D61" s="196"/>
      <x:c r="E61" s="196"/>
    </x:row>
    <x:row r="62">
      <x:c r="D62" s="196"/>
      <x:c r="E62" s="196"/>
    </x:row>
    <x:row r="63">
      <x:c r="D63" s="196"/>
      <x:c r="E63" s="196"/>
    </x:row>
    <x:row r="64">
      <x:c r="D64" s="196"/>
      <x:c r="E64" s="196"/>
    </x:row>
    <x:row r="65">
      <x:c r="D65" s="196"/>
      <x:c r="E65" s="196"/>
    </x:row>
    <x:row r="66">
      <x:c r="D66" s="196"/>
      <x:c r="E66" s="196"/>
    </x:row>
    <x:row r="67">
      <x:c r="D67" s="196"/>
      <x:c r="E67" s="196"/>
    </x:row>
    <x:row r="68">
      <x:c r="D68" s="196"/>
      <x:c r="E68" s="196"/>
    </x:row>
    <x:row r="69">
      <x:c r="D69" s="196"/>
      <x:c r="E69" s="196"/>
    </x:row>
    <x:row r="70">
      <x:c r="D70" s="196"/>
      <x:c r="E70" s="196"/>
    </x:row>
    <x:row r="71">
      <x:c r="D71" s="196"/>
      <x:c r="E71" s="196"/>
    </x:row>
    <x:row r="72">
      <x:c r="D72" s="196"/>
      <x:c r="E72" s="196"/>
    </x:row>
    <x:row r="73">
      <x:c r="D73" s="196"/>
      <x:c r="E73" s="196"/>
    </x:row>
    <x:row r="74">
      <x:c r="D74" s="196"/>
      <x:c r="E74" s="196"/>
    </x:row>
    <x:row r="75">
      <x:c r="D75" s="196"/>
      <x:c r="E75" s="196"/>
    </x:row>
    <x:row r="76">
      <x:c r="D76" s="196"/>
      <x:c r="E76" s="196"/>
    </x:row>
    <x:row r="77">
      <x:c r="D77" s="196"/>
      <x:c r="E77" s="196"/>
    </x:row>
    <x:row r="78">
      <x:c r="D78" s="196"/>
      <x:c r="E78" s="196"/>
    </x:row>
    <x:row r="79">
      <x:c r="D79" s="196"/>
      <x:c r="E79" s="196"/>
    </x:row>
    <x:row r="80">
      <x:c r="D80" s="196"/>
      <x:c r="E80" s="196"/>
    </x:row>
    <x:row r="81">
      <x:c r="D81" s="196"/>
      <x:c r="E81" s="196"/>
    </x:row>
    <x:row r="82">
      <x:c r="D82" s="196"/>
      <x:c r="E82" s="196"/>
    </x:row>
    <x:row r="83">
      <x:c r="D83" s="196"/>
      <x:c r="E83" s="196"/>
    </x:row>
    <x:row r="84">
      <x:c r="D84" s="196"/>
      <x:c r="E84" s="196"/>
    </x:row>
    <x:row r="85">
      <x:c r="D85" s="196"/>
      <x:c r="E85" s="196"/>
    </x:row>
    <x:row r="86">
      <x:c r="D86" s="196"/>
      <x:c r="E86" s="196"/>
    </x:row>
    <x:row r="87">
      <x:c r="D87" s="196"/>
      <x:c r="E87" s="196"/>
    </x:row>
    <x:row r="88">
      <x:c r="D88" s="196"/>
      <x:c r="E88" s="196"/>
    </x:row>
    <x:row r="89">
      <x:c r="D89" s="196"/>
      <x:c r="E89" s="196"/>
    </x:row>
    <x:row r="90">
      <x:c r="D90" s="196"/>
      <x:c r="E90" s="196"/>
    </x:row>
    <x:row r="91">
      <x:c r="D91" s="196"/>
      <x:c r="E91" s="196"/>
    </x:row>
    <x:row r="92">
      <x:c r="D92" s="196"/>
      <x:c r="E92" s="196"/>
    </x:row>
    <x:row r="93">
      <x:c r="D93" s="196"/>
      <x:c r="E93" s="196"/>
    </x:row>
    <x:row r="94">
      <x:c r="D94" s="196"/>
      <x:c r="E94" s="196"/>
    </x:row>
    <x:row r="95">
      <x:c r="D95" s="196"/>
      <x:c r="E95" s="196"/>
    </x:row>
    <x:row r="96">
      <x:c r="D96" s="196"/>
      <x:c r="E96" s="196"/>
    </x:row>
    <x:row r="97">
      <x:c r="D97" s="196"/>
      <x:c r="E97" s="196"/>
    </x:row>
    <x:row r="98">
      <x:c r="D98" s="196"/>
      <x:c r="E98" s="196"/>
    </x:row>
    <x:row r="99">
      <x:c r="D99" s="196"/>
      <x:c r="E99" s="196"/>
    </x:row>
    <x:row r="100">
      <x:c r="D100" s="196"/>
      <x:c r="E100" s="196"/>
    </x:row>
    <x:row r="101">
      <x:c r="D101" s="196"/>
      <x:c r="E101" s="196"/>
    </x:row>
    <x:row r="102">
      <x:c r="D102" s="196"/>
      <x:c r="E102" s="196"/>
    </x:row>
    <x:row r="103">
      <x:c r="D103" s="196"/>
      <x:c r="E103" s="196"/>
    </x:row>
    <x:row r="104">
      <x:c r="D104" s="196"/>
      <x:c r="E104" s="196"/>
    </x:row>
    <x:row r="105">
      <x:c r="D105" s="196"/>
      <x:c r="E105" s="196"/>
    </x:row>
    <x:row r="106">
      <x:c r="D106" s="196"/>
      <x:c r="E106" s="196"/>
    </x:row>
    <x:row r="107">
      <x:c r="D107" s="196"/>
      <x:c r="E107" s="196"/>
    </x:row>
    <x:row r="108">
      <x:c r="D108" s="196"/>
      <x:c r="E108" s="196"/>
    </x:row>
    <x:row r="109">
      <x:c r="D109" s="196"/>
      <x:c r="E109" s="196"/>
    </x:row>
    <x:row r="110">
      <x:c r="D110" s="196"/>
      <x:c r="E110" s="196"/>
    </x:row>
    <x:row r="111">
      <x:c r="D111" s="196"/>
      <x:c r="E111" s="196"/>
    </x:row>
    <x:row r="112">
      <x:c r="D112" s="196"/>
      <x:c r="E112" s="196"/>
    </x:row>
    <x:row r="113">
      <x:c r="D113" s="196"/>
      <x:c r="E113" s="196"/>
    </x:row>
    <x:row r="114">
      <x:c r="D114" s="196"/>
      <x:c r="E114" s="196"/>
    </x:row>
    <x:row r="115">
      <x:c r="D115" s="196"/>
      <x:c r="E115" s="196"/>
    </x:row>
    <x:row r="116">
      <x:c r="D116" s="196"/>
      <x:c r="E116" s="196"/>
    </x:row>
    <x:row r="117">
      <x:c r="D117" s="196"/>
      <x:c r="E117" s="196"/>
    </x:row>
    <x:row r="118">
      <x:c r="D118" s="196"/>
      <x:c r="E118" s="196"/>
    </x:row>
    <x:row r="119">
      <x:c r="D119" s="196"/>
      <x:c r="E119" s="196"/>
    </x:row>
    <x:row r="120">
      <x:c r="D120" s="196"/>
      <x:c r="E120" s="196"/>
    </x:row>
  </x:sheetData>
  <x:mergeCells>
    <x:mergeCell ref="A1:E1"/>
    <x:mergeCell ref="A2:E2"/>
    <x:mergeCell ref="A3:E3"/>
    <x:mergeCell ref="A45:E46"/>
  </x:mergeCells>
  <x:pageMargins left="0.7" right="0.7" top="0.75" bottom="0.75" header="0.3" footer="0.3"/>
</x:worksheet>
</file>

<file path=xl/worksheets/sheet15.xml><?xml version="1.0" encoding="utf-8"?>
<x:worksheet xmlns:x="http://schemas.openxmlformats.org/spreadsheetml/2006/main">
  <x:sheetFormatPr defaultRowHeight="15"/>
  <x:cols>
    <x:col min="1" max="1" width="11" hidden="0" customWidth="1"/>
    <x:col min="2" max="2" width="46" hidden="0" customWidth="1"/>
    <x:col min="3" max="3" width="12" hidden="0" customWidth="1"/>
    <x:col min="4" max="4" width="22" hidden="0" customWidth="1"/>
    <x:col min="5" max="5" width="22" hidden="0" customWidth="1"/>
  </x:cols>
  <x:sheetData>
    <x:row r="1">
      <x:c r="A1" s="69" t="str">
        <x:v>Schedule III — Division II (Ind AS)</x:v>
      </x:c>
      <x:c r="B1" s="69"/>
      <x:c r="C1" s="69"/>
      <x:c r="D1" s="73"/>
      <x:c r="E1" s="73"/>
      <x:c r="G1" s="184"/>
    </x:row>
    <x:row r="2">
      <x:c r="A2" s="115" t="str">
        <x:f>"Name of the Company "&amp;'Basic Info'!C13</x:f>
        <x:v>Name of the Company </x:v>
      </x:c>
      <x:c r="B2" s="69"/>
      <x:c r="C2" s="69"/>
      <x:c r="D2" s="73"/>
      <x:c r="E2" s="73"/>
    </x:row>
    <x:row r="3">
      <x:c r="A3" s="115" t="str">
        <x:f>"Balance Sheet as at "&amp;TEXT('Basic Info'!C8,"dd-mmm-yyyy")&amp;"    (Rupees in "&amp;'Basic Info'!C17&amp;")"</x:f>
        <x:v>Balance Sheet as at     (Rupees in Default)</x:v>
      </x:c>
      <x:c r="B3" s="69"/>
      <x:c r="C3" s="69"/>
      <x:c r="D3" s="73"/>
      <x:c r="E3" s="73"/>
    </x:row>
    <x:row r="4">
      <x:c r="A4" s="71"/>
      <x:c r="B4" s="71"/>
      <x:c r="C4" s="71"/>
      <x:c r="D4" s="75"/>
      <x:c r="E4" s="75"/>
    </x:row>
    <x:row r="5" ht="22" customHeight="1">
      <x:c r="A5" s="70" t="str">
        <x:v>Ref.</x:v>
      </x:c>
      <x:c r="B5" s="70" t="str">
        <x:v>Particulars</x:v>
      </x:c>
      <x:c r="C5" s="70" t="str">
        <x:v>Note No.</x:v>
      </x:c>
      <x:c r="D5" s="157" t="n">
        <x:f>'Basic Info'!C8</x:f>
        <x:v>0</x:v>
      </x:c>
      <x:c r="E5" s="157" t="n">
        <x:f>'Basic Info'!C10</x:f>
        <x:v>0</x:v>
      </x:c>
    </x:row>
    <x:row r="6" ht="22" customHeight="1">
      <x:c r="A6" s="126"/>
      <x:c r="B6" s="126" t="str">
        <x:v>ASSETS</x:v>
      </x:c>
      <x:c r="C6" s="126"/>
      <x:c r="D6" s="168"/>
      <x:c r="E6" s="168"/>
    </x:row>
    <x:row r="7" ht="22" customHeight="1">
      <x:c r="A7" s="82" t="str">
        <x:v>(1)</x:v>
      </x:c>
      <x:c r="B7" s="82" t="str">
        <x:v>Non-current assets</x:v>
      </x:c>
      <x:c r="C7" s="82"/>
      <x:c r="D7" s="83"/>
      <x:c r="E7" s="83"/>
    </x:row>
    <x:row r="8" ht="22" customHeight="1">
      <x:c r="A8" s="71" t="str">
        <x:v>(a)</x:v>
      </x:c>
      <x:c r="B8" s="71" t="str">
        <x:v>    Property, Plant and Equipment</x:v>
      </x:c>
      <x:c r="C8" s="71" t="n">
        <x:v>1</x:v>
      </x:c>
      <x:c r="D8" s="162"/>
      <x:c r="E8" s="162"/>
    </x:row>
    <x:row r="9" ht="22" customHeight="1">
      <x:c r="A9" s="71" t="str">
        <x:v>(b)</x:v>
      </x:c>
      <x:c r="B9" s="71" t="str">
        <x:v>    Capital work-in-progress</x:v>
      </x:c>
      <x:c r="C9" s="71" t="n">
        <x:v>2</x:v>
      </x:c>
      <x:c r="D9" s="162"/>
      <x:c r="E9" s="162"/>
    </x:row>
    <x:row r="10" ht="22" customHeight="1">
      <x:c r="A10" s="71" t="str">
        <x:v>(c)</x:v>
      </x:c>
      <x:c r="B10" s="71" t="str">
        <x:v>    Investment property</x:v>
      </x:c>
      <x:c r="C10" s="71" t="n">
        <x:v>3</x:v>
      </x:c>
      <x:c r="D10" s="162"/>
      <x:c r="E10" s="162"/>
    </x:row>
    <x:row r="11" ht="22" customHeight="1">
      <x:c r="A11" s="71" t="str">
        <x:v>(d)</x:v>
      </x:c>
      <x:c r="B11" s="71" t="str">
        <x:v>    Goodwill</x:v>
      </x:c>
      <x:c r="C11" s="71" t="n">
        <x:v>4</x:v>
      </x:c>
      <x:c r="D11" s="162"/>
      <x:c r="E11" s="162"/>
    </x:row>
    <x:row r="12" ht="22" customHeight="1">
      <x:c r="A12" s="71" t="str">
        <x:v>(e)</x:v>
      </x:c>
      <x:c r="B12" s="71" t="str">
        <x:v>    Other intangible assets</x:v>
      </x:c>
      <x:c r="C12" s="71" t="n">
        <x:v>5</x:v>
      </x:c>
      <x:c r="D12" s="162"/>
      <x:c r="E12" s="162"/>
    </x:row>
    <x:row r="13" ht="22" customHeight="1">
      <x:c r="A13" s="71" t="str">
        <x:v>(f)</x:v>
      </x:c>
      <x:c r="B13" s="71" t="str">
        <x:v>    Intangible assets under development</x:v>
      </x:c>
      <x:c r="C13" s="71" t="n">
        <x:v>6</x:v>
      </x:c>
      <x:c r="D13" s="162"/>
      <x:c r="E13" s="162"/>
    </x:row>
    <x:row r="14" ht="22" customHeight="1">
      <x:c r="A14" s="71" t="str">
        <x:v>(g)</x:v>
      </x:c>
      <x:c r="B14" s="71" t="str">
        <x:v>    Biological assets other than bearer plants</x:v>
      </x:c>
      <x:c r="C14" s="71" t="n">
        <x:v>7</x:v>
      </x:c>
      <x:c r="D14" s="162"/>
      <x:c r="E14" s="162"/>
    </x:row>
    <x:row r="15" ht="22" customHeight="1">
      <x:c r="A15" s="82" t="str">
        <x:v>(h)</x:v>
      </x:c>
      <x:c r="B15" s="82" t="str">
        <x:v>    Financial assets</x:v>
      </x:c>
      <x:c r="C15" s="82"/>
      <x:c r="D15" s="83"/>
      <x:c r="E15" s="83"/>
    </x:row>
    <x:row r="16" ht="22" customHeight="1">
      <x:c r="A16" s="71" t="str">
        <x:v>(i)</x:v>
      </x:c>
      <x:c r="B16" s="71" t="str">
        <x:v>        Investments</x:v>
      </x:c>
      <x:c r="C16" s="71" t="n">
        <x:v>8</x:v>
      </x:c>
      <x:c r="D16" s="162"/>
      <x:c r="E16" s="162"/>
    </x:row>
    <x:row r="17" ht="22" customHeight="1">
      <x:c r="A17" s="71" t="str">
        <x:v>(ii)</x:v>
      </x:c>
      <x:c r="B17" s="71" t="str">
        <x:v>        Trade receivables</x:v>
      </x:c>
      <x:c r="C17" s="71" t="n">
        <x:v>9</x:v>
      </x:c>
      <x:c r="D17" s="162"/>
      <x:c r="E17" s="162"/>
    </x:row>
    <x:row r="18" ht="22" customHeight="1">
      <x:c r="A18" s="71" t="str">
        <x:v>(iii)</x:v>
      </x:c>
      <x:c r="B18" s="71" t="str">
        <x:v>        Loans</x:v>
      </x:c>
      <x:c r="C18" s="71" t="n">
        <x:v>10</x:v>
      </x:c>
      <x:c r="D18" s="162"/>
      <x:c r="E18" s="162"/>
    </x:row>
    <x:row r="19" ht="22" customHeight="1">
      <x:c r="A19" s="71" t="str">
        <x:v>(iv)</x:v>
      </x:c>
      <x:c r="B19" s="71" t="str">
        <x:v>        Other financial assets (to be specified)</x:v>
      </x:c>
      <x:c r="C19" s="71" t="n">
        <x:v>11</x:v>
      </x:c>
      <x:c r="D19" s="162"/>
      <x:c r="E19" s="162"/>
    </x:row>
    <x:row r="20" ht="22" customHeight="1">
      <x:c r="A20" s="71" t="str">
        <x:v>(i)</x:v>
      </x:c>
      <x:c r="B20" s="71" t="str">
        <x:v>    Deferred tax assets (Net)</x:v>
      </x:c>
      <x:c r="C20" s="71" t="n">
        <x:v>12</x:v>
      </x:c>
      <x:c r="D20" s="162"/>
      <x:c r="E20" s="162"/>
    </x:row>
    <x:row r="21" ht="22" customHeight="1">
      <x:c r="A21" s="82" t="str">
        <x:v>(j)</x:v>
      </x:c>
      <x:c r="B21" s="82" t="str">
        <x:v>    Other non-current assets</x:v>
      </x:c>
      <x:c r="C21" s="82" t="n">
        <x:v>13</x:v>
      </x:c>
      <x:c r="D21" s="83"/>
      <x:c r="E21" s="83"/>
    </x:row>
    <x:row r="22" ht="22" customHeight="1">
      <x:c r="A22" s="82" t="str">
        <x:v>(2)</x:v>
      </x:c>
      <x:c r="B22" s="82" t="str">
        <x:v>Current assets</x:v>
      </x:c>
      <x:c r="C22" s="82"/>
      <x:c r="D22" s="83"/>
      <x:c r="E22" s="83"/>
    </x:row>
    <x:row r="23" ht="22" customHeight="1">
      <x:c r="A23" s="71" t="str">
        <x:v>(a)</x:v>
      </x:c>
      <x:c r="B23" s="71" t="str">
        <x:v>    Inventories</x:v>
      </x:c>
      <x:c r="C23" s="71" t="n">
        <x:v>14</x:v>
      </x:c>
      <x:c r="D23" s="162"/>
      <x:c r="E23" s="162"/>
    </x:row>
    <x:row r="24" ht="22" customHeight="1">
      <x:c r="A24" s="82" t="str">
        <x:v>(b)</x:v>
      </x:c>
      <x:c r="B24" s="82" t="str">
        <x:v>    Financial assets</x:v>
      </x:c>
      <x:c r="C24" s="82"/>
      <x:c r="D24" s="83"/>
      <x:c r="E24" s="83"/>
    </x:row>
    <x:row r="25" ht="22" customHeight="1">
      <x:c r="A25" s="71" t="str">
        <x:v>(i)</x:v>
      </x:c>
      <x:c r="B25" s="71" t="str">
        <x:v>        Investments</x:v>
      </x:c>
      <x:c r="C25" s="71" t="n">
        <x:v>15</x:v>
      </x:c>
      <x:c r="D25" s="162"/>
      <x:c r="E25" s="162"/>
    </x:row>
    <x:row r="26" ht="22" customHeight="1">
      <x:c r="A26" s="71" t="str">
        <x:v>(ii)</x:v>
      </x:c>
      <x:c r="B26" s="71" t="str">
        <x:v>        Trade receivables</x:v>
      </x:c>
      <x:c r="C26" s="71" t="n">
        <x:v>16</x:v>
      </x:c>
      <x:c r="D26" s="162"/>
      <x:c r="E26" s="162"/>
    </x:row>
    <x:row r="27" ht="22" customHeight="1">
      <x:c r="A27" s="71" t="str">
        <x:v>(iii)</x:v>
      </x:c>
      <x:c r="B27" s="71" t="str">
        <x:v>        Cash and cash equivalents</x:v>
      </x:c>
      <x:c r="C27" s="71" t="n">
        <x:v>17</x:v>
      </x:c>
      <x:c r="D27" s="162"/>
      <x:c r="E27" s="162"/>
    </x:row>
    <x:row r="28" ht="22" customHeight="1">
      <x:c r="A28" s="71" t="str">
        <x:v>(iv)</x:v>
      </x:c>
      <x:c r="B28" s="71" t="str">
        <x:v>        Bank balances other than cash and cash equivalents</x:v>
      </x:c>
      <x:c r="C28" s="71" t="n">
        <x:v>18</x:v>
      </x:c>
      <x:c r="D28" s="162"/>
      <x:c r="E28" s="162"/>
    </x:row>
    <x:row r="29" ht="22" customHeight="1">
      <x:c r="A29" s="71" t="str">
        <x:v>(v)</x:v>
      </x:c>
      <x:c r="B29" s="71" t="str">
        <x:v>        Loans</x:v>
      </x:c>
      <x:c r="C29" s="71" t="n">
        <x:v>19</x:v>
      </x:c>
      <x:c r="D29" s="162"/>
      <x:c r="E29" s="162"/>
    </x:row>
    <x:row r="30" ht="22" customHeight="1">
      <x:c r="A30" s="71" t="str">
        <x:v>(vi)</x:v>
      </x:c>
      <x:c r="B30" s="71" t="str">
        <x:v>        Other financial assets (to be specified)</x:v>
      </x:c>
      <x:c r="C30" s="71" t="n">
        <x:v>20</x:v>
      </x:c>
      <x:c r="D30" s="162"/>
      <x:c r="E30" s="162"/>
    </x:row>
    <x:row r="31" ht="22" customHeight="1">
      <x:c r="A31" s="71" t="str">
        <x:v>(c)</x:v>
      </x:c>
      <x:c r="B31" s="71" t="str">
        <x:v>    Current tax assets (Net)</x:v>
      </x:c>
      <x:c r="C31" s="71" t="n">
        <x:v>21</x:v>
      </x:c>
      <x:c r="D31" s="162"/>
      <x:c r="E31" s="162"/>
    </x:row>
    <x:row r="32" ht="22" customHeight="1">
      <x:c r="A32" s="82" t="str">
        <x:v>(d)</x:v>
      </x:c>
      <x:c r="B32" s="82" t="str">
        <x:v>    Other current assets</x:v>
      </x:c>
      <x:c r="C32" s="82" t="n">
        <x:v>22</x:v>
      </x:c>
      <x:c r="D32" s="83"/>
      <x:c r="E32" s="83"/>
    </x:row>
    <x:row r="33" ht="22" customHeight="1">
      <x:c r="A33" s="72"/>
      <x:c r="B33" s="72" t="str">
        <x:v>TOTAL ASSETS</x:v>
      </x:c>
      <x:c r="C33" s="72"/>
      <x:c r="D33" s="163"/>
      <x:c r="E33" s="163"/>
    </x:row>
    <x:row r="34" ht="22" customHeight="1">
      <x:c r="A34" s="126"/>
      <x:c r="B34" s="126" t="str">
        <x:v>EQUITY AND LIABILITIES</x:v>
      </x:c>
      <x:c r="C34" s="126"/>
      <x:c r="D34" s="168"/>
      <x:c r="E34" s="168"/>
    </x:row>
    <x:row r="35" ht="22" customHeight="1">
      <x:c r="A35" s="82"/>
      <x:c r="B35" s="82" t="str">
        <x:v>Equity</x:v>
      </x:c>
      <x:c r="C35" s="82"/>
      <x:c r="D35" s="83"/>
      <x:c r="E35" s="83"/>
    </x:row>
    <x:row r="36" ht="22" customHeight="1">
      <x:c r="A36" s="71" t="str">
        <x:v>(a)</x:v>
      </x:c>
      <x:c r="B36" s="71" t="str">
        <x:v>    Equity share capital</x:v>
      </x:c>
      <x:c r="C36" s="71" t="n">
        <x:v>23</x:v>
      </x:c>
      <x:c r="D36" s="162"/>
      <x:c r="E36" s="162"/>
    </x:row>
    <x:row r="37" ht="22" customHeight="1">
      <x:c r="A37" s="82" t="str">
        <x:v>(b)</x:v>
      </x:c>
      <x:c r="B37" s="82" t="str">
        <x:v>    Other equity</x:v>
      </x:c>
      <x:c r="C37" s="82" t="n">
        <x:v>24</x:v>
      </x:c>
      <x:c r="D37" s="83"/>
      <x:c r="E37" s="83"/>
    </x:row>
    <x:row r="38" ht="22" customHeight="1">
      <x:c r="A38" s="71"/>
      <x:c r="B38" s="71" t="str">
        <x:v>Liabilities</x:v>
      </x:c>
      <x:c r="C38" s="71"/>
      <x:c r="D38" s="162"/>
      <x:c r="E38" s="162"/>
    </x:row>
    <x:row r="39" ht="22" customHeight="1">
      <x:c r="A39" s="82" t="str">
        <x:v>(1)</x:v>
      </x:c>
      <x:c r="B39" s="82" t="str">
        <x:v>Non-current liabilities</x:v>
      </x:c>
      <x:c r="C39" s="82"/>
      <x:c r="D39" s="83"/>
      <x:c r="E39" s="83"/>
    </x:row>
    <x:row r="40" ht="22" customHeight="1">
      <x:c r="A40" s="82" t="str">
        <x:v>(a)</x:v>
      </x:c>
      <x:c r="B40" s="82" t="str">
        <x:v>    Financial liabilities</x:v>
      </x:c>
      <x:c r="C40" s="82"/>
      <x:c r="D40" s="83"/>
      <x:c r="E40" s="83"/>
    </x:row>
    <x:row r="41" ht="22" customHeight="1">
      <x:c r="A41" s="71" t="str">
        <x:v>(i)</x:v>
      </x:c>
      <x:c r="B41" s="71" t="str">
        <x:v>        Borrowings</x:v>
      </x:c>
      <x:c r="C41" s="71" t="n">
        <x:v>25</x:v>
      </x:c>
      <x:c r="D41" s="162"/>
      <x:c r="E41" s="162"/>
    </x:row>
    <x:row r="42" ht="22" customHeight="1">
      <x:c r="A42" s="71" t="str">
        <x:v>(ia)</x:v>
      </x:c>
      <x:c r="B42" s="71" t="str">
        <x:v>        Lease liabilities</x:v>
      </x:c>
      <x:c r="C42" s="71" t="n">
        <x:v>26</x:v>
      </x:c>
      <x:c r="D42" s="162"/>
      <x:c r="E42" s="162"/>
    </x:row>
    <x:row r="43" ht="22" customHeight="1">
      <x:c r="A43" s="71" t="str">
        <x:v>(ii)</x:v>
      </x:c>
      <x:c r="B43" s="71" t="str">
        <x:v>        Trade payables</x:v>
      </x:c>
      <x:c r="C43" s="71"/>
      <x:c r="D43" s="162"/>
      <x:c r="E43" s="162"/>
    </x:row>
    <x:row r="44" ht="22" customHeight="1">
      <x:c r="A44" s="72" t="str">
        <x:v>(A)</x:v>
      </x:c>
      <x:c r="B44" s="72" t="str">
        <x:v>            Total outstanding dues of micro enterprises and small enterprises</x:v>
      </x:c>
      <x:c r="C44" s="72" t="n">
        <x:v>27</x:v>
      </x:c>
      <x:c r="D44" s="163"/>
      <x:c r="E44" s="163"/>
    </x:row>
    <x:row r="45" ht="22" customHeight="1">
      <x:c r="A45" s="72" t="str">
        <x:v>(B)</x:v>
      </x:c>
      <x:c r="B45" s="72" t="str">
        <x:v>            Total outstanding dues of creditors other than micro enterprises and small enterprises</x:v>
      </x:c>
      <x:c r="C45" s="72" t="n">
        <x:v>28</x:v>
      </x:c>
      <x:c r="D45" s="163"/>
      <x:c r="E45" s="163"/>
    </x:row>
    <x:row r="46" ht="22" customHeight="1">
      <x:c r="A46" s="71" t="str">
        <x:v>(iii)</x:v>
      </x:c>
      <x:c r="B46" s="71" t="str">
        <x:v>        Other financial liabilities (to be specified)</x:v>
      </x:c>
      <x:c r="C46" s="71" t="n">
        <x:v>29</x:v>
      </x:c>
      <x:c r="D46" s="162"/>
      <x:c r="E46" s="162"/>
    </x:row>
    <x:row r="47" ht="22" customHeight="1">
      <x:c r="A47" s="71" t="str">
        <x:v>(b)</x:v>
      </x:c>
      <x:c r="B47" s="71" t="str">
        <x:v>    Provisions</x:v>
      </x:c>
      <x:c r="C47" s="71" t="n">
        <x:v>30</x:v>
      </x:c>
      <x:c r="D47" s="162"/>
      <x:c r="E47" s="162"/>
    </x:row>
    <x:row r="48" ht="22" customHeight="1">
      <x:c r="A48" s="71" t="str">
        <x:v>(c)</x:v>
      </x:c>
      <x:c r="B48" s="71" t="str">
        <x:v>    Deferred tax liabilities (Net)</x:v>
      </x:c>
      <x:c r="C48" s="71" t="n">
        <x:v>31</x:v>
      </x:c>
      <x:c r="D48" s="162"/>
      <x:c r="E48" s="162"/>
    </x:row>
    <x:row r="49" ht="22" customHeight="1">
      <x:c r="A49" s="82" t="str">
        <x:v>(d)</x:v>
      </x:c>
      <x:c r="B49" s="82" t="str">
        <x:v>    Other non-current liabilities</x:v>
      </x:c>
      <x:c r="C49" s="82" t="n">
        <x:v>32</x:v>
      </x:c>
      <x:c r="D49" s="83"/>
      <x:c r="E49" s="83"/>
    </x:row>
    <x:row r="50" ht="22" customHeight="1">
      <x:c r="A50" s="82" t="str">
        <x:v>(2)</x:v>
      </x:c>
      <x:c r="B50" s="82" t="str">
        <x:v>Current liabilities</x:v>
      </x:c>
      <x:c r="C50" s="82"/>
      <x:c r="D50" s="83"/>
      <x:c r="E50" s="83"/>
    </x:row>
    <x:row r="51" ht="22" customHeight="1">
      <x:c r="A51" s="82" t="str">
        <x:v>(a)</x:v>
      </x:c>
      <x:c r="B51" s="82" t="str">
        <x:v>    Financial liabilities</x:v>
      </x:c>
      <x:c r="C51" s="82"/>
      <x:c r="D51" s="83"/>
      <x:c r="E51" s="83"/>
    </x:row>
    <x:row r="52" ht="22" customHeight="1">
      <x:c r="A52" s="71" t="str">
        <x:v>(i)</x:v>
      </x:c>
      <x:c r="B52" s="71" t="str">
        <x:v>        Borrowings</x:v>
      </x:c>
      <x:c r="C52" s="71" t="n">
        <x:v>33</x:v>
      </x:c>
      <x:c r="D52" s="162"/>
      <x:c r="E52" s="162"/>
    </x:row>
    <x:row r="53" ht="22" customHeight="1">
      <x:c r="A53" s="71" t="str">
        <x:v>(ia)</x:v>
      </x:c>
      <x:c r="B53" s="71" t="str">
        <x:v>        Lease liabilities</x:v>
      </x:c>
      <x:c r="C53" s="71" t="n">
        <x:v>34</x:v>
      </x:c>
      <x:c r="D53" s="162"/>
      <x:c r="E53" s="162"/>
    </x:row>
    <x:row r="54" ht="22" customHeight="1">
      <x:c r="A54" s="71" t="str">
        <x:v>(ii)</x:v>
      </x:c>
      <x:c r="B54" s="71" t="str">
        <x:v>        Trade payables</x:v>
      </x:c>
      <x:c r="C54" s="71"/>
      <x:c r="D54" s="162"/>
      <x:c r="E54" s="162"/>
    </x:row>
    <x:row r="55" ht="22" customHeight="1">
      <x:c r="A55" s="72" t="str">
        <x:v>(A)</x:v>
      </x:c>
      <x:c r="B55" s="72" t="str">
        <x:v>            Total outstanding dues of micro enterprises and small enterprises</x:v>
      </x:c>
      <x:c r="C55" s="72" t="n">
        <x:v>35</x:v>
      </x:c>
      <x:c r="D55" s="163"/>
      <x:c r="E55" s="163"/>
    </x:row>
    <x:row r="56" ht="22" customHeight="1">
      <x:c r="A56" s="72" t="str">
        <x:v>(B)</x:v>
      </x:c>
      <x:c r="B56" s="72" t="str">
        <x:v>            Total outstanding dues of creditors other than micro enterprises and small enterprises</x:v>
      </x:c>
      <x:c r="C56" s="72" t="n">
        <x:v>36</x:v>
      </x:c>
      <x:c r="D56" s="163"/>
      <x:c r="E56" s="163"/>
    </x:row>
    <x:row r="57" ht="22" customHeight="1">
      <x:c r="A57" s="71" t="str">
        <x:v>(iii)</x:v>
      </x:c>
      <x:c r="B57" s="71" t="str">
        <x:v>        Other financial liabilities (to be specified)</x:v>
      </x:c>
      <x:c r="C57" s="71" t="n">
        <x:v>37</x:v>
      </x:c>
      <x:c r="D57" s="162"/>
      <x:c r="E57" s="162"/>
    </x:row>
    <x:row r="58" ht="22" customHeight="1">
      <x:c r="A58" s="82" t="str">
        <x:v>(b)</x:v>
      </x:c>
      <x:c r="B58" s="82" t="str">
        <x:v>    Other current liabilities</x:v>
      </x:c>
      <x:c r="C58" s="82" t="n">
        <x:v>38</x:v>
      </x:c>
      <x:c r="D58" s="83"/>
      <x:c r="E58" s="83"/>
    </x:row>
    <x:row r="59" ht="22" customHeight="1">
      <x:c r="A59" s="71" t="str">
        <x:v>(c)</x:v>
      </x:c>
      <x:c r="B59" s="71" t="str">
        <x:v>    Provisions</x:v>
      </x:c>
      <x:c r="C59" s="71" t="n">
        <x:v>39</x:v>
      </x:c>
      <x:c r="D59" s="162"/>
      <x:c r="E59" s="162"/>
    </x:row>
    <x:row r="60" ht="22" customHeight="1">
      <x:c r="A60" s="71" t="str">
        <x:v>(d)</x:v>
      </x:c>
      <x:c r="B60" s="71" t="str">
        <x:v>    Current tax liabilities (Net)</x:v>
      </x:c>
      <x:c r="C60" s="71" t="n">
        <x:v>40</x:v>
      </x:c>
      <x:c r="D60" s="162"/>
      <x:c r="E60" s="162"/>
    </x:row>
    <x:row r="61" ht="22" customHeight="1">
      <x:c r="A61" s="72"/>
      <x:c r="B61" s="72" t="str">
        <x:v>TOTAL EQUITY AND LIABILITIES</x:v>
      </x:c>
      <x:c r="C61" s="72"/>
      <x:c r="D61" s="163"/>
      <x:c r="E61" s="163"/>
    </x:row>
    <x:row r="62">
      <x:c r="A62" s="71"/>
      <x:c r="B62" s="71"/>
      <x:c r="C62" s="71"/>
      <x:c r="D62" s="162"/>
      <x:c r="E62" s="162"/>
    </x:row>
    <x:row r="63">
      <x:c r="A63" s="71"/>
      <x:c r="B63" s="71"/>
      <x:c r="C63" s="71"/>
      <x:c r="D63" s="162"/>
      <x:c r="E63" s="162"/>
    </x:row>
    <x:row r="64">
      <x:c r="D64" s="196"/>
      <x:c r="E64" s="196"/>
    </x:row>
    <x:row r="65">
      <x:c r="A65" s="79"/>
      <x:c r="B65" s="79"/>
      <x:c r="C65" s="79"/>
      <x:c r="D65" s="197"/>
      <x:c r="E65" s="197"/>
      <x:c r="F65" s="79"/>
    </x:row>
    <x:row r="66">
      <x:c r="D66" s="196"/>
      <x:c r="E66" s="196"/>
    </x:row>
    <x:row r="67">
      <x:c r="D67" s="196"/>
      <x:c r="E67" s="196"/>
    </x:row>
    <x:row r="68">
      <x:c r="D68" s="196"/>
      <x:c r="E68" s="196"/>
    </x:row>
    <x:row r="69">
      <x:c r="D69" s="196"/>
      <x:c r="E69" s="196"/>
    </x:row>
    <x:row r="70">
      <x:c r="D70" s="196"/>
      <x:c r="E70" s="196"/>
    </x:row>
    <x:row r="71">
      <x:c r="D71" s="196"/>
      <x:c r="E71" s="196"/>
    </x:row>
    <x:row r="72">
      <x:c r="D72" s="196"/>
      <x:c r="E72" s="196"/>
    </x:row>
    <x:row r="73">
      <x:c r="D73" s="196"/>
      <x:c r="E73" s="196"/>
    </x:row>
    <x:row r="74">
      <x:c r="D74" s="196"/>
      <x:c r="E74" s="196"/>
    </x:row>
    <x:row r="75">
      <x:c r="D75" s="196"/>
      <x:c r="E75" s="196"/>
    </x:row>
    <x:row r="76">
      <x:c r="D76" s="196"/>
      <x:c r="E76" s="196"/>
    </x:row>
    <x:row r="77">
      <x:c r="D77" s="196"/>
      <x:c r="E77" s="196"/>
    </x:row>
    <x:row r="78">
      <x:c r="D78" s="196"/>
      <x:c r="E78" s="196"/>
    </x:row>
    <x:row r="79">
      <x:c r="D79" s="196"/>
      <x:c r="E79" s="196"/>
    </x:row>
    <x:row r="80">
      <x:c r="D80" s="196"/>
      <x:c r="E80" s="196"/>
    </x:row>
    <x:row r="81">
      <x:c r="D81" s="196"/>
      <x:c r="E81" s="196"/>
    </x:row>
    <x:row r="82">
      <x:c r="D82" s="196"/>
      <x:c r="E82" s="196"/>
    </x:row>
    <x:row r="83">
      <x:c r="D83" s="196"/>
      <x:c r="E83" s="196"/>
    </x:row>
    <x:row r="84">
      <x:c r="D84" s="196"/>
      <x:c r="E84" s="196"/>
    </x:row>
    <x:row r="85">
      <x:c r="D85" s="196"/>
      <x:c r="E85" s="196"/>
    </x:row>
    <x:row r="86">
      <x:c r="D86" s="196"/>
      <x:c r="E86" s="196"/>
    </x:row>
    <x:row r="87">
      <x:c r="D87" s="196"/>
      <x:c r="E87" s="196"/>
    </x:row>
    <x:row r="88">
      <x:c r="D88" s="196"/>
      <x:c r="E88" s="196"/>
    </x:row>
    <x:row r="89">
      <x:c r="D89" s="196"/>
      <x:c r="E89" s="196"/>
    </x:row>
    <x:row r="90">
      <x:c r="D90" s="196"/>
      <x:c r="E90" s="196"/>
    </x:row>
    <x:row r="91">
      <x:c r="D91" s="196"/>
      <x:c r="E91" s="196"/>
    </x:row>
    <x:row r="92">
      <x:c r="D92" s="196"/>
      <x:c r="E92" s="196"/>
    </x:row>
    <x:row r="93">
      <x:c r="D93" s="196"/>
      <x:c r="E93" s="196"/>
    </x:row>
    <x:row r="94">
      <x:c r="D94" s="196"/>
      <x:c r="E94" s="196"/>
    </x:row>
    <x:row r="95">
      <x:c r="D95" s="196"/>
      <x:c r="E95" s="196"/>
    </x:row>
    <x:row r="96">
      <x:c r="D96" s="196"/>
      <x:c r="E96" s="196"/>
    </x:row>
    <x:row r="97">
      <x:c r="D97" s="196"/>
      <x:c r="E97" s="196"/>
    </x:row>
    <x:row r="98">
      <x:c r="D98" s="196"/>
      <x:c r="E98" s="196"/>
    </x:row>
    <x:row r="99">
      <x:c r="D99" s="196"/>
      <x:c r="E99" s="196"/>
    </x:row>
    <x:row r="100">
      <x:c r="D100" s="196"/>
      <x:c r="E100" s="196"/>
    </x:row>
    <x:row r="101">
      <x:c r="D101" s="196"/>
      <x:c r="E101" s="196"/>
    </x:row>
    <x:row r="102">
      <x:c r="D102" s="196"/>
      <x:c r="E102" s="196"/>
    </x:row>
    <x:row r="103">
      <x:c r="D103" s="196"/>
      <x:c r="E103" s="196"/>
    </x:row>
    <x:row r="104">
      <x:c r="D104" s="196"/>
      <x:c r="E104" s="196"/>
    </x:row>
    <x:row r="105">
      <x:c r="D105" s="196"/>
      <x:c r="E105" s="196"/>
    </x:row>
    <x:row r="106">
      <x:c r="D106" s="196"/>
      <x:c r="E106" s="196"/>
    </x:row>
    <x:row r="107">
      <x:c r="D107" s="196"/>
      <x:c r="E107" s="196"/>
    </x:row>
    <x:row r="108">
      <x:c r="D108" s="196"/>
      <x:c r="E108" s="196"/>
    </x:row>
    <x:row r="109">
      <x:c r="D109" s="196"/>
      <x:c r="E109" s="196"/>
    </x:row>
    <x:row r="110">
      <x:c r="D110" s="196"/>
      <x:c r="E110" s="196"/>
    </x:row>
    <x:row r="111">
      <x:c r="D111" s="196"/>
      <x:c r="E111" s="196"/>
    </x:row>
    <x:row r="112">
      <x:c r="D112" s="196"/>
      <x:c r="E112" s="196"/>
    </x:row>
    <x:row r="113">
      <x:c r="D113" s="196"/>
      <x:c r="E113" s="196"/>
    </x:row>
    <x:row r="114">
      <x:c r="D114" s="196"/>
      <x:c r="E114" s="196"/>
    </x:row>
    <x:row r="115">
      <x:c r="D115" s="196"/>
      <x:c r="E115" s="196"/>
    </x:row>
    <x:row r="116">
      <x:c r="D116" s="196"/>
      <x:c r="E116" s="196"/>
    </x:row>
    <x:row r="117">
      <x:c r="D117" s="196"/>
      <x:c r="E117" s="196"/>
    </x:row>
    <x:row r="118">
      <x:c r="D118" s="196"/>
      <x:c r="E118" s="196"/>
    </x:row>
    <x:row r="119">
      <x:c r="D119" s="196"/>
      <x:c r="E119" s="196"/>
    </x:row>
    <x:row r="120">
      <x:c r="D120" s="196"/>
      <x:c r="E120" s="196"/>
    </x:row>
  </x:sheetData>
  <x:mergeCells>
    <x:mergeCell ref="A1:E1"/>
    <x:mergeCell ref="A2:E2"/>
    <x:mergeCell ref="A3:E3"/>
    <x:mergeCell ref="A63:E64"/>
  </x:mergeCells>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46" hidden="0" customWidth="1"/>
    <x:col min="3" max="3" width="12" hidden="0" customWidth="1"/>
    <x:col min="4" max="4" width="22" hidden="0" customWidth="1"/>
    <x:col min="5" max="5" width="22" hidden="0" customWidth="1"/>
  </x:cols>
  <x:sheetData>
    <x:row r="1">
      <x:c r="A1" s="69" t="str">
        <x:v>Schedule III — Division III (Ind AS NBFC)</x:v>
      </x:c>
      <x:c r="B1" s="69"/>
      <x:c r="C1" s="69"/>
      <x:c r="D1" s="73"/>
      <x:c r="E1" s="73"/>
      <x:c r="G1" s="184"/>
    </x:row>
    <x:row r="2">
      <x:c r="A2" s="115" t="str">
        <x:f>"Name of the Non-Banking Financial Company "&amp;'Basic Info'!C13</x:f>
        <x:v>Name of the Non-Banking Financial Company </x:v>
      </x:c>
      <x:c r="B2" s="69"/>
      <x:c r="C2" s="69"/>
      <x:c r="D2" s="73"/>
      <x:c r="E2" s="73"/>
    </x:row>
    <x:row r="3">
      <x:c r="A3" s="115" t="str">
        <x:f>"Balance Sheet as at "&amp;TEXT('Basic Info'!C8,"dd-mmm-yyyy")&amp;"    (Rupees in "&amp;'Basic Info'!C17&amp;")"</x:f>
        <x:v>Balance Sheet as at     (Rupees in Default)</x:v>
      </x:c>
      <x:c r="B3" s="69"/>
      <x:c r="C3" s="69"/>
      <x:c r="D3" s="73"/>
      <x:c r="E3" s="73"/>
    </x:row>
    <x:row r="4">
      <x:c r="A4" s="71"/>
      <x:c r="B4" s="71"/>
      <x:c r="C4" s="71"/>
      <x:c r="D4" s="75"/>
      <x:c r="E4" s="75"/>
    </x:row>
    <x:row r="5" ht="22" customHeight="1">
      <x:c r="A5" s="70" t="str">
        <x:v>Ref.</x:v>
      </x:c>
      <x:c r="B5" s="70" t="str">
        <x:v>Particulars</x:v>
      </x:c>
      <x:c r="C5" s="70" t="str">
        <x:v>Note No.</x:v>
      </x:c>
      <x:c r="D5" s="157" t="n">
        <x:f>'Basic Info'!C8</x:f>
        <x:v>0</x:v>
      </x:c>
      <x:c r="E5" s="157" t="n">
        <x:f>'Basic Info'!C10</x:f>
        <x:v>0</x:v>
      </x:c>
    </x:row>
    <x:row r="6" ht="22" customHeight="1">
      <x:c r="A6" s="126"/>
      <x:c r="B6" s="126" t="str">
        <x:v>ASSETS</x:v>
      </x:c>
      <x:c r="C6" s="126"/>
      <x:c r="D6" s="168"/>
      <x:c r="E6" s="168"/>
    </x:row>
    <x:row r="7" ht="22" customHeight="1">
      <x:c r="A7" s="82" t="str">
        <x:v>(1)</x:v>
      </x:c>
      <x:c r="B7" s="82" t="str">
        <x:v>Financial assets</x:v>
      </x:c>
      <x:c r="C7" s="82"/>
      <x:c r="D7" s="83"/>
      <x:c r="E7" s="83"/>
    </x:row>
    <x:row r="8" ht="22" customHeight="1">
      <x:c r="A8" s="71" t="str">
        <x:v>(a)</x:v>
      </x:c>
      <x:c r="B8" s="71" t="str">
        <x:v>    Cash and cash equivalents</x:v>
      </x:c>
      <x:c r="C8" s="71" t="n">
        <x:v>1</x:v>
      </x:c>
      <x:c r="D8" s="162"/>
      <x:c r="E8" s="162"/>
    </x:row>
    <x:row r="9" ht="22" customHeight="1">
      <x:c r="A9" s="71" t="str">
        <x:v>(b)</x:v>
      </x:c>
      <x:c r="B9" s="71" t="str">
        <x:v>    Bank balance other than cash and cash equivalents</x:v>
      </x:c>
      <x:c r="C9" s="71" t="n">
        <x:v>2</x:v>
      </x:c>
      <x:c r="D9" s="162"/>
      <x:c r="E9" s="162"/>
    </x:row>
    <x:row r="10" ht="22" customHeight="1">
      <x:c r="A10" s="71" t="str">
        <x:v>(c)</x:v>
      </x:c>
      <x:c r="B10" s="71" t="str">
        <x:v>    Derivative financial instruments</x:v>
      </x:c>
      <x:c r="C10" s="71" t="n">
        <x:v>3</x:v>
      </x:c>
      <x:c r="D10" s="162"/>
      <x:c r="E10" s="162"/>
    </x:row>
    <x:row r="11" ht="22" customHeight="1">
      <x:c r="A11" s="71" t="str">
        <x:v>(d)</x:v>
      </x:c>
      <x:c r="B11" s="71" t="str">
        <x:v>    Receivables</x:v>
      </x:c>
      <x:c r="C11" s="71"/>
      <x:c r="D11" s="162"/>
      <x:c r="E11" s="162"/>
    </x:row>
    <x:row r="12" ht="22" customHeight="1">
      <x:c r="A12" s="71" t="str">
        <x:v>(I)</x:v>
      </x:c>
      <x:c r="B12" s="71" t="str">
        <x:v>        Trade receivables</x:v>
      </x:c>
      <x:c r="C12" s="71" t="n">
        <x:v>4</x:v>
      </x:c>
      <x:c r="D12" s="162"/>
      <x:c r="E12" s="162"/>
    </x:row>
    <x:row r="13" ht="22" customHeight="1">
      <x:c r="A13" s="71" t="str">
        <x:v>(II)</x:v>
      </x:c>
      <x:c r="B13" s="71" t="str">
        <x:v>        Other receivables</x:v>
      </x:c>
      <x:c r="C13" s="71" t="n">
        <x:v>5</x:v>
      </x:c>
      <x:c r="D13" s="162"/>
      <x:c r="E13" s="162"/>
    </x:row>
    <x:row r="14" ht="22" customHeight="1">
      <x:c r="A14" s="71" t="str">
        <x:v>(e)</x:v>
      </x:c>
      <x:c r="B14" s="71" t="str">
        <x:v>    Loans</x:v>
      </x:c>
      <x:c r="C14" s="71" t="n">
        <x:v>6</x:v>
      </x:c>
      <x:c r="D14" s="162"/>
      <x:c r="E14" s="162"/>
    </x:row>
    <x:row r="15" ht="22" customHeight="1">
      <x:c r="A15" s="71" t="str">
        <x:v>(f)</x:v>
      </x:c>
      <x:c r="B15" s="71" t="str">
        <x:v>    Investments</x:v>
      </x:c>
      <x:c r="C15" s="71" t="n">
        <x:v>7</x:v>
      </x:c>
      <x:c r="D15" s="162"/>
      <x:c r="E15" s="162"/>
    </x:row>
    <x:row r="16" ht="22" customHeight="1">
      <x:c r="A16" s="71" t="str">
        <x:v>(g)</x:v>
      </x:c>
      <x:c r="B16" s="71" t="str">
        <x:v>    Other financial assets (to be specified)</x:v>
      </x:c>
      <x:c r="C16" s="71" t="n">
        <x:v>8</x:v>
      </x:c>
      <x:c r="D16" s="162"/>
      <x:c r="E16" s="162"/>
    </x:row>
    <x:row r="17" ht="22" customHeight="1">
      <x:c r="A17" s="82" t="str">
        <x:v>(2)</x:v>
      </x:c>
      <x:c r="B17" s="82" t="str">
        <x:v>Non-financial assets</x:v>
      </x:c>
      <x:c r="C17" s="82"/>
      <x:c r="D17" s="83"/>
      <x:c r="E17" s="83"/>
    </x:row>
    <x:row r="18" ht="22" customHeight="1">
      <x:c r="A18" s="71" t="str">
        <x:v>(a)</x:v>
      </x:c>
      <x:c r="B18" s="71" t="str">
        <x:v>    Inventories</x:v>
      </x:c>
      <x:c r="C18" s="71" t="n">
        <x:v>9</x:v>
      </x:c>
      <x:c r="D18" s="162"/>
      <x:c r="E18" s="162"/>
    </x:row>
    <x:row r="19" ht="22" customHeight="1">
      <x:c r="A19" s="71" t="str">
        <x:v>(b)</x:v>
      </x:c>
      <x:c r="B19" s="71" t="str">
        <x:v>    Current tax assets (Net)</x:v>
      </x:c>
      <x:c r="C19" s="71" t="n">
        <x:v>10</x:v>
      </x:c>
      <x:c r="D19" s="162"/>
      <x:c r="E19" s="162"/>
    </x:row>
    <x:row r="20" ht="22" customHeight="1">
      <x:c r="A20" s="71" t="str">
        <x:v>(c)</x:v>
      </x:c>
      <x:c r="B20" s="71" t="str">
        <x:v>    Deferred tax assets (Net)</x:v>
      </x:c>
      <x:c r="C20" s="71" t="n">
        <x:v>11</x:v>
      </x:c>
      <x:c r="D20" s="162"/>
      <x:c r="E20" s="162"/>
    </x:row>
    <x:row r="21" ht="22" customHeight="1">
      <x:c r="A21" s="71" t="str">
        <x:v>(d)</x:v>
      </x:c>
      <x:c r="B21" s="71" t="str">
        <x:v>    Investment property</x:v>
      </x:c>
      <x:c r="C21" s="71" t="n">
        <x:v>12</x:v>
      </x:c>
      <x:c r="D21" s="162"/>
      <x:c r="E21" s="162"/>
    </x:row>
    <x:row r="22" ht="22" customHeight="1">
      <x:c r="A22" s="71" t="str">
        <x:v>(e)</x:v>
      </x:c>
      <x:c r="B22" s="71" t="str">
        <x:v>    Biological assets other than bearer plants</x:v>
      </x:c>
      <x:c r="C22" s="71" t="n">
        <x:v>13</x:v>
      </x:c>
      <x:c r="D22" s="162"/>
      <x:c r="E22" s="162"/>
    </x:row>
    <x:row r="23" ht="22" customHeight="1">
      <x:c r="A23" s="71" t="str">
        <x:v>(f)</x:v>
      </x:c>
      <x:c r="B23" s="71" t="str">
        <x:v>    Property, Plant and Equipment</x:v>
      </x:c>
      <x:c r="C23" s="71" t="n">
        <x:v>14</x:v>
      </x:c>
      <x:c r="D23" s="162"/>
      <x:c r="E23" s="162"/>
    </x:row>
    <x:row r="24" ht="22" customHeight="1">
      <x:c r="A24" s="71" t="str">
        <x:v>(g)</x:v>
      </x:c>
      <x:c r="B24" s="71" t="str">
        <x:v>    Capital work-in-progress</x:v>
      </x:c>
      <x:c r="C24" s="71" t="n">
        <x:v>15</x:v>
      </x:c>
      <x:c r="D24" s="162"/>
      <x:c r="E24" s="162"/>
    </x:row>
    <x:row r="25" ht="22" customHeight="1">
      <x:c r="A25" s="71" t="str">
        <x:v>(h)</x:v>
      </x:c>
      <x:c r="B25" s="71" t="str">
        <x:v>    Intangible assets under development</x:v>
      </x:c>
      <x:c r="C25" s="71" t="n">
        <x:v>16</x:v>
      </x:c>
      <x:c r="D25" s="162"/>
      <x:c r="E25" s="162"/>
    </x:row>
    <x:row r="26" ht="22" customHeight="1">
      <x:c r="A26" s="71" t="str">
        <x:v>(i)</x:v>
      </x:c>
      <x:c r="B26" s="71" t="str">
        <x:v>    Goodwill</x:v>
      </x:c>
      <x:c r="C26" s="71" t="n">
        <x:v>17</x:v>
      </x:c>
      <x:c r="D26" s="162"/>
      <x:c r="E26" s="162"/>
    </x:row>
    <x:row r="27" ht="22" customHeight="1">
      <x:c r="A27" s="71" t="str">
        <x:v>(j)</x:v>
      </x:c>
      <x:c r="B27" s="71" t="str">
        <x:v>    Other intangible assets</x:v>
      </x:c>
      <x:c r="C27" s="71" t="n">
        <x:v>18</x:v>
      </x:c>
      <x:c r="D27" s="162"/>
      <x:c r="E27" s="162"/>
    </x:row>
    <x:row r="28" ht="22" customHeight="1">
      <x:c r="A28" s="71" t="str">
        <x:v>(k)</x:v>
      </x:c>
      <x:c r="B28" s="71" t="str">
        <x:v>    Other non-financial assets (to be specified)</x:v>
      </x:c>
      <x:c r="C28" s="71" t="n">
        <x:v>19</x:v>
      </x:c>
      <x:c r="D28" s="162"/>
      <x:c r="E28" s="162"/>
    </x:row>
    <x:row r="29" ht="22" customHeight="1">
      <x:c r="A29" s="72"/>
      <x:c r="B29" s="72" t="str">
        <x:v>TOTAL ASSETS</x:v>
      </x:c>
      <x:c r="C29" s="72"/>
      <x:c r="D29" s="163"/>
      <x:c r="E29" s="163"/>
    </x:row>
    <x:row r="30" ht="22" customHeight="1">
      <x:c r="A30" s="126"/>
      <x:c r="B30" s="126" t="str">
        <x:v>LIABILITIES AND EQUITY</x:v>
      </x:c>
      <x:c r="C30" s="126"/>
      <x:c r="D30" s="168"/>
      <x:c r="E30" s="168"/>
    </x:row>
    <x:row r="31" ht="22" customHeight="1">
      <x:c r="A31" s="71"/>
      <x:c r="B31" s="71" t="str">
        <x:v>Liabilities</x:v>
      </x:c>
      <x:c r="C31" s="71"/>
      <x:c r="D31" s="162"/>
      <x:c r="E31" s="162"/>
    </x:row>
    <x:row r="32" ht="22" customHeight="1">
      <x:c r="A32" s="82" t="str">
        <x:v>(1)</x:v>
      </x:c>
      <x:c r="B32" s="82" t="str">
        <x:v>Financial liabilities</x:v>
      </x:c>
      <x:c r="C32" s="82"/>
      <x:c r="D32" s="83"/>
      <x:c r="E32" s="83"/>
    </x:row>
    <x:row r="33" ht="22" customHeight="1">
      <x:c r="A33" s="71" t="str">
        <x:v>(a)</x:v>
      </x:c>
      <x:c r="B33" s="71" t="str">
        <x:v>    Derivative financial instruments</x:v>
      </x:c>
      <x:c r="C33" s="71" t="n">
        <x:v>20</x:v>
      </x:c>
      <x:c r="D33" s="162"/>
      <x:c r="E33" s="162"/>
    </x:row>
    <x:row r="34" ht="22" customHeight="1">
      <x:c r="A34" s="71" t="str">
        <x:v>(b)</x:v>
      </x:c>
      <x:c r="B34" s="71" t="str">
        <x:v>    Payables</x:v>
      </x:c>
      <x:c r="C34" s="71"/>
      <x:c r="D34" s="162"/>
      <x:c r="E34" s="162"/>
    </x:row>
    <x:row r="35" ht="22" customHeight="1">
      <x:c r="A35" s="71" t="str">
        <x:v>(I)</x:v>
      </x:c>
      <x:c r="B35" s="71" t="str">
        <x:v>        Trade payables</x:v>
      </x:c>
      <x:c r="C35" s="71"/>
      <x:c r="D35" s="162"/>
      <x:c r="E35" s="162"/>
    </x:row>
    <x:row r="36" ht="22" customHeight="1">
      <x:c r="A36" s="72" t="str">
        <x:v>(i)</x:v>
      </x:c>
      <x:c r="B36" s="72" t="str">
        <x:v>            Total outstanding dues of micro enterprises and small enterprises</x:v>
      </x:c>
      <x:c r="C36" s="72" t="n">
        <x:v>21</x:v>
      </x:c>
      <x:c r="D36" s="163"/>
      <x:c r="E36" s="163"/>
    </x:row>
    <x:row r="37" ht="22" customHeight="1">
      <x:c r="A37" s="72" t="str">
        <x:v>(ii)</x:v>
      </x:c>
      <x:c r="B37" s="72" t="str">
        <x:v>            Total outstanding dues of creditors other than micro enterprises and small enterprises</x:v>
      </x:c>
      <x:c r="C37" s="72" t="n">
        <x:v>22</x:v>
      </x:c>
      <x:c r="D37" s="163"/>
      <x:c r="E37" s="163"/>
    </x:row>
    <x:row r="38" ht="22" customHeight="1">
      <x:c r="A38" s="71" t="str">
        <x:v>(II)</x:v>
      </x:c>
      <x:c r="B38" s="71" t="str">
        <x:v>        Other payables</x:v>
      </x:c>
      <x:c r="C38" s="71"/>
      <x:c r="D38" s="162"/>
      <x:c r="E38" s="162"/>
    </x:row>
    <x:row r="39" ht="22" customHeight="1">
      <x:c r="A39" s="72" t="str">
        <x:v>(i)</x:v>
      </x:c>
      <x:c r="B39" s="72" t="str">
        <x:v>            Total outstanding dues of micro enterprises and small enterprises</x:v>
      </x:c>
      <x:c r="C39" s="72" t="n">
        <x:v>23</x:v>
      </x:c>
      <x:c r="D39" s="163"/>
      <x:c r="E39" s="163"/>
    </x:row>
    <x:row r="40" ht="22" customHeight="1">
      <x:c r="A40" s="72" t="str">
        <x:v>(ii)</x:v>
      </x:c>
      <x:c r="B40" s="72" t="str">
        <x:v>            Total outstanding dues of creditors other than micro enterprises and small enterprises</x:v>
      </x:c>
      <x:c r="C40" s="72" t="n">
        <x:v>24</x:v>
      </x:c>
      <x:c r="D40" s="163"/>
      <x:c r="E40" s="163"/>
    </x:row>
    <x:row r="41" ht="22" customHeight="1">
      <x:c r="A41" s="71" t="str">
        <x:v>(c)</x:v>
      </x:c>
      <x:c r="B41" s="71" t="str">
        <x:v>    Debt securities</x:v>
      </x:c>
      <x:c r="C41" s="71" t="n">
        <x:v>25</x:v>
      </x:c>
      <x:c r="D41" s="162"/>
      <x:c r="E41" s="162"/>
    </x:row>
    <x:row r="42" ht="22" customHeight="1">
      <x:c r="A42" s="71" t="str">
        <x:v>(d)</x:v>
      </x:c>
      <x:c r="B42" s="71" t="str">
        <x:v>    Borrowings (other than debt securities)</x:v>
      </x:c>
      <x:c r="C42" s="71" t="n">
        <x:v>26</x:v>
      </x:c>
      <x:c r="D42" s="162"/>
      <x:c r="E42" s="162"/>
    </x:row>
    <x:row r="43" ht="22" customHeight="1">
      <x:c r="A43" s="71" t="str">
        <x:v>(e)</x:v>
      </x:c>
      <x:c r="B43" s="71" t="str">
        <x:v>    Deposits</x:v>
      </x:c>
      <x:c r="C43" s="71" t="n">
        <x:v>27</x:v>
      </x:c>
      <x:c r="D43" s="162"/>
      <x:c r="E43" s="162"/>
    </x:row>
    <x:row r="44" ht="22" customHeight="1">
      <x:c r="A44" s="71" t="str">
        <x:v>(f)</x:v>
      </x:c>
      <x:c r="B44" s="71" t="str">
        <x:v>    Subordinated liabilities</x:v>
      </x:c>
      <x:c r="C44" s="71" t="n">
        <x:v>28</x:v>
      </x:c>
      <x:c r="D44" s="162"/>
      <x:c r="E44" s="162"/>
    </x:row>
    <x:row r="45" ht="22" customHeight="1">
      <x:c r="A45" s="71" t="str">
        <x:v>(g)</x:v>
      </x:c>
      <x:c r="B45" s="71" t="str">
        <x:v>    Other financial liabilities (to be specified)</x:v>
      </x:c>
      <x:c r="C45" s="71" t="n">
        <x:v>29</x:v>
      </x:c>
      <x:c r="D45" s="162"/>
      <x:c r="E45" s="162"/>
    </x:row>
    <x:row r="46" ht="22" customHeight="1">
      <x:c r="A46" s="82" t="str">
        <x:v>(2)</x:v>
      </x:c>
      <x:c r="B46" s="82" t="str">
        <x:v>Non-financial liabilities</x:v>
      </x:c>
      <x:c r="C46" s="82"/>
      <x:c r="D46" s="83"/>
      <x:c r="E46" s="83"/>
    </x:row>
    <x:row r="47" ht="22" customHeight="1">
      <x:c r="A47" s="71" t="str">
        <x:v>(a)</x:v>
      </x:c>
      <x:c r="B47" s="71" t="str">
        <x:v>    Current tax liabilities (Net)</x:v>
      </x:c>
      <x:c r="C47" s="71" t="n">
        <x:v>30</x:v>
      </x:c>
      <x:c r="D47" s="162"/>
      <x:c r="E47" s="162"/>
    </x:row>
    <x:row r="48" ht="22" customHeight="1">
      <x:c r="A48" s="71" t="str">
        <x:v>(b)</x:v>
      </x:c>
      <x:c r="B48" s="71" t="str">
        <x:v>    Provisions</x:v>
      </x:c>
      <x:c r="C48" s="71" t="n">
        <x:v>31</x:v>
      </x:c>
      <x:c r="D48" s="162"/>
      <x:c r="E48" s="162"/>
    </x:row>
    <x:row r="49" ht="22" customHeight="1">
      <x:c r="A49" s="71" t="str">
        <x:v>(c)</x:v>
      </x:c>
      <x:c r="B49" s="71" t="str">
        <x:v>    Deferred tax liabilities (Net)</x:v>
      </x:c>
      <x:c r="C49" s="71" t="n">
        <x:v>32</x:v>
      </x:c>
      <x:c r="D49" s="162"/>
      <x:c r="E49" s="162"/>
    </x:row>
    <x:row r="50" ht="22" customHeight="1">
      <x:c r="A50" s="71" t="str">
        <x:v>(d)</x:v>
      </x:c>
      <x:c r="B50" s="71" t="str">
        <x:v>    Other non-financial liabilities (to be specified)</x:v>
      </x:c>
      <x:c r="C50" s="71" t="n">
        <x:v>33</x:v>
      </x:c>
      <x:c r="D50" s="162"/>
      <x:c r="E50" s="162"/>
    </x:row>
    <x:row r="51" ht="22" customHeight="1">
      <x:c r="A51" s="82" t="str">
        <x:v>(3)</x:v>
      </x:c>
      <x:c r="B51" s="82" t="str">
        <x:v>Equity</x:v>
      </x:c>
      <x:c r="C51" s="82"/>
      <x:c r="D51" s="83"/>
      <x:c r="E51" s="83"/>
    </x:row>
    <x:row r="52" ht="22" customHeight="1">
      <x:c r="A52" s="71" t="str">
        <x:v>(a)</x:v>
      </x:c>
      <x:c r="B52" s="71" t="str">
        <x:v>    Equity share capital</x:v>
      </x:c>
      <x:c r="C52" s="71" t="n">
        <x:v>34</x:v>
      </x:c>
      <x:c r="D52" s="162"/>
      <x:c r="E52" s="162"/>
    </x:row>
    <x:row r="53" ht="22" customHeight="1">
      <x:c r="A53" s="82" t="str">
        <x:v>(b)</x:v>
      </x:c>
      <x:c r="B53" s="82" t="str">
        <x:v>    Other equity</x:v>
      </x:c>
      <x:c r="C53" s="82" t="n">
        <x:v>35</x:v>
      </x:c>
      <x:c r="D53" s="83"/>
      <x:c r="E53" s="83"/>
    </x:row>
    <x:row r="54" ht="22" customHeight="1">
      <x:c r="A54" s="82"/>
      <x:c r="B54" s="82" t="str">
        <x:v>TOTAL LIABILITIES AND EQUITY</x:v>
      </x:c>
      <x:c r="C54" s="82"/>
      <x:c r="D54" s="83"/>
      <x:c r="E54" s="83"/>
    </x:row>
    <x:row r="55">
      <x:c r="A55" s="71"/>
      <x:c r="B55" s="71"/>
      <x:c r="C55" s="71"/>
      <x:c r="D55" s="162"/>
      <x:c r="E55" s="162"/>
    </x:row>
    <x:row r="56">
      <x:c r="A56" s="71"/>
      <x:c r="B56" s="71"/>
      <x:c r="C56" s="71"/>
      <x:c r="D56" s="162"/>
      <x:c r="E56" s="162"/>
    </x:row>
    <x:row r="57">
      <x:c r="D57" s="196"/>
      <x:c r="E57" s="196"/>
    </x:row>
    <x:row r="58">
      <x:c r="A58" s="79"/>
      <x:c r="B58" s="79"/>
      <x:c r="C58" s="79"/>
      <x:c r="D58" s="197"/>
      <x:c r="E58" s="197"/>
      <x:c r="F58" s="79"/>
    </x:row>
    <x:row r="59">
      <x:c r="D59" s="196"/>
      <x:c r="E59" s="196"/>
    </x:row>
    <x:row r="60">
      <x:c r="D60" s="196"/>
      <x:c r="E60" s="196"/>
    </x:row>
    <x:row r="61">
      <x:c r="D61" s="196"/>
      <x:c r="E61" s="196"/>
    </x:row>
    <x:row r="62">
      <x:c r="D62" s="196"/>
      <x:c r="E62" s="196"/>
    </x:row>
    <x:row r="63">
      <x:c r="D63" s="196"/>
      <x:c r="E63" s="196"/>
    </x:row>
    <x:row r="64">
      <x:c r="D64" s="196"/>
      <x:c r="E64" s="196"/>
    </x:row>
    <x:row r="65">
      <x:c r="D65" s="196"/>
      <x:c r="E65" s="196"/>
    </x:row>
    <x:row r="66">
      <x:c r="D66" s="196"/>
      <x:c r="E66" s="196"/>
    </x:row>
    <x:row r="67">
      <x:c r="D67" s="196"/>
      <x:c r="E67" s="196"/>
    </x:row>
    <x:row r="68">
      <x:c r="D68" s="196"/>
      <x:c r="E68" s="196"/>
    </x:row>
    <x:row r="69">
      <x:c r="D69" s="196"/>
      <x:c r="E69" s="196"/>
    </x:row>
    <x:row r="70">
      <x:c r="D70" s="196"/>
      <x:c r="E70" s="196"/>
    </x:row>
    <x:row r="71">
      <x:c r="D71" s="196"/>
      <x:c r="E71" s="196"/>
    </x:row>
    <x:row r="72">
      <x:c r="D72" s="196"/>
      <x:c r="E72" s="196"/>
    </x:row>
    <x:row r="73">
      <x:c r="D73" s="196"/>
      <x:c r="E73" s="196"/>
    </x:row>
    <x:row r="74">
      <x:c r="D74" s="196"/>
      <x:c r="E74" s="196"/>
    </x:row>
    <x:row r="75">
      <x:c r="D75" s="196"/>
      <x:c r="E75" s="196"/>
    </x:row>
    <x:row r="76">
      <x:c r="D76" s="196"/>
      <x:c r="E76" s="196"/>
    </x:row>
    <x:row r="77">
      <x:c r="D77" s="196"/>
      <x:c r="E77" s="196"/>
    </x:row>
    <x:row r="78">
      <x:c r="D78" s="196"/>
      <x:c r="E78" s="196"/>
    </x:row>
    <x:row r="79">
      <x:c r="D79" s="196"/>
      <x:c r="E79" s="196"/>
    </x:row>
    <x:row r="80">
      <x:c r="D80" s="196"/>
      <x:c r="E80" s="196"/>
    </x:row>
    <x:row r="81">
      <x:c r="D81" s="196"/>
      <x:c r="E81" s="196"/>
    </x:row>
    <x:row r="82">
      <x:c r="D82" s="196"/>
      <x:c r="E82" s="196"/>
    </x:row>
    <x:row r="83">
      <x:c r="D83" s="196"/>
      <x:c r="E83" s="196"/>
    </x:row>
    <x:row r="84">
      <x:c r="D84" s="196"/>
      <x:c r="E84" s="196"/>
    </x:row>
    <x:row r="85">
      <x:c r="D85" s="196"/>
      <x:c r="E85" s="196"/>
    </x:row>
    <x:row r="86">
      <x:c r="D86" s="196"/>
      <x:c r="E86" s="196"/>
    </x:row>
    <x:row r="87">
      <x:c r="D87" s="196"/>
      <x:c r="E87" s="196"/>
    </x:row>
    <x:row r="88">
      <x:c r="D88" s="196"/>
      <x:c r="E88" s="196"/>
    </x:row>
    <x:row r="89">
      <x:c r="D89" s="196"/>
      <x:c r="E89" s="196"/>
    </x:row>
    <x:row r="90">
      <x:c r="D90" s="196"/>
      <x:c r="E90" s="196"/>
    </x:row>
    <x:row r="91">
      <x:c r="D91" s="196"/>
      <x:c r="E91" s="196"/>
    </x:row>
    <x:row r="92">
      <x:c r="D92" s="196"/>
      <x:c r="E92" s="196"/>
    </x:row>
    <x:row r="93">
      <x:c r="D93" s="196"/>
      <x:c r="E93" s="196"/>
    </x:row>
    <x:row r="94">
      <x:c r="D94" s="196"/>
      <x:c r="E94" s="196"/>
    </x:row>
    <x:row r="95">
      <x:c r="D95" s="196"/>
      <x:c r="E95" s="196"/>
    </x:row>
    <x:row r="96">
      <x:c r="D96" s="196"/>
      <x:c r="E96" s="196"/>
    </x:row>
    <x:row r="97">
      <x:c r="D97" s="196"/>
      <x:c r="E97" s="196"/>
    </x:row>
    <x:row r="98">
      <x:c r="D98" s="196"/>
      <x:c r="E98" s="196"/>
    </x:row>
    <x:row r="99">
      <x:c r="D99" s="196"/>
      <x:c r="E99" s="196"/>
    </x:row>
    <x:row r="100">
      <x:c r="D100" s="196"/>
      <x:c r="E100" s="196"/>
    </x:row>
    <x:row r="101">
      <x:c r="D101" s="196"/>
      <x:c r="E101" s="196"/>
    </x:row>
    <x:row r="102">
      <x:c r="D102" s="196"/>
      <x:c r="E102" s="196"/>
    </x:row>
    <x:row r="103">
      <x:c r="D103" s="196"/>
      <x:c r="E103" s="196"/>
    </x:row>
    <x:row r="104">
      <x:c r="D104" s="196"/>
      <x:c r="E104" s="196"/>
    </x:row>
    <x:row r="105">
      <x:c r="D105" s="196"/>
      <x:c r="E105" s="196"/>
    </x:row>
    <x:row r="106">
      <x:c r="D106" s="196"/>
      <x:c r="E106" s="196"/>
    </x:row>
    <x:row r="107">
      <x:c r="D107" s="196"/>
      <x:c r="E107" s="196"/>
    </x:row>
    <x:row r="108">
      <x:c r="D108" s="196"/>
      <x:c r="E108" s="196"/>
    </x:row>
    <x:row r="109">
      <x:c r="D109" s="196"/>
      <x:c r="E109" s="196"/>
    </x:row>
    <x:row r="110">
      <x:c r="D110" s="196"/>
      <x:c r="E110" s="196"/>
    </x:row>
    <x:row r="111">
      <x:c r="D111" s="196"/>
      <x:c r="E111" s="196"/>
    </x:row>
    <x:row r="112">
      <x:c r="D112" s="196"/>
      <x:c r="E112" s="196"/>
    </x:row>
    <x:row r="113">
      <x:c r="D113" s="196"/>
      <x:c r="E113" s="196"/>
    </x:row>
    <x:row r="114">
      <x:c r="D114" s="196"/>
      <x:c r="E114" s="196"/>
    </x:row>
    <x:row r="115">
      <x:c r="D115" s="196"/>
      <x:c r="E115" s="196"/>
    </x:row>
    <x:row r="116">
      <x:c r="D116" s="196"/>
      <x:c r="E116" s="196"/>
    </x:row>
    <x:row r="117">
      <x:c r="D117" s="196"/>
      <x:c r="E117" s="196"/>
    </x:row>
    <x:row r="118">
      <x:c r="D118" s="196"/>
      <x:c r="E118" s="196"/>
    </x:row>
    <x:row r="119">
      <x:c r="D119" s="196"/>
      <x:c r="E119" s="196"/>
    </x:row>
    <x:row r="120">
      <x:c r="D120" s="196"/>
      <x:c r="E120" s="196"/>
    </x:row>
  </x:sheetData>
  <x:mergeCells>
    <x:mergeCell ref="A1:E1"/>
    <x:mergeCell ref="A2:E2"/>
    <x:mergeCell ref="A3:E3"/>
    <x:mergeCell ref="A56:E57"/>
  </x:mergeCells>
  <x:pageMargins left="0.7" right="0.7" top="0.75" bottom="0.75" header="0.3" footer="0.3"/>
</x:worksheet>
</file>

<file path=xl/worksheets/sheet17.xml><?xml version="1.0" encoding="utf-8"?>
<x:worksheet xmlns:x="http://schemas.openxmlformats.org/spreadsheetml/2006/main">
  <x:sheetFormatPr defaultRowHeight="15"/>
  <x:cols>
    <x:col min="1" max="1" width="38" hidden="0" customWidth="1"/>
    <x:col min="2" max="2" width="22" hidden="0" customWidth="1"/>
    <x:col min="3" max="3" width="22" hidden="0" customWidth="1"/>
    <x:col min="4" max="4" width="28" hidden="0" customWidth="1"/>
    <x:col min="5" max="5" width="22" hidden="0" customWidth="1"/>
    <x:col min="6" max="6" width="34" hidden="0" customWidth="1"/>
    <x:col min="7" max="7" width="16" hidden="0" customWidth="1"/>
  </x:cols>
  <x:sheetData>
    <x:row r="1" ht="24" customHeight="1">
      <x:c r="A1" s="242" t="str">
        <x:v>PART II – STATEMENT OF PROFIT AND LOSS</x:v>
      </x:c>
      <x:c r="B1" s="284"/>
      <x:c r="C1" s="284"/>
      <x:c r="D1" s="284"/>
      <x:c r="E1" s="284"/>
      <x:c r="F1" s="284"/>
      <x:c r="G1" s="284"/>
    </x:row>
    <x:row r="2">
      <x:c r="A2" s="243" t="n">
        <x:f>'Basic Info'!C13</x:f>
        <x:v>0</x:v>
      </x:c>
      <x:c r="B2" s="285"/>
      <x:c r="C2" s="285"/>
      <x:c r="D2" s="285"/>
      <x:c r="E2" s="285"/>
      <x:c r="F2" s="285"/>
      <x:c r="G2" s="285"/>
    </x:row>
    <x:row r="3">
      <x:c r="A3" s="245" t="str">
        <x:f>"Statement of Profit and Loss for the period ended "&amp;TEXT('Basic Info'!C8,"dd-mmm-yyyy")</x:f>
        <x:v>Statement of Profit and Loss for the period ended </x:v>
      </x:c>
      <x:c r="B3" s="286"/>
      <x:c r="C3" s="286"/>
      <x:c r="D3" s="286"/>
      <x:c r="E3" s="286"/>
      <x:c r="F3" s="286"/>
      <x:c r="G3" s="285"/>
    </x:row>
    <x:row r="4">
      <x:c r="A4" s="231" t="str">
        <x:f>"(Rupees in "&amp;'Basic Info'!C17&amp;")"</x:f>
        <x:v>(Rupees in Default)</x:v>
      </x:c>
      <x:c r="B4" s="287"/>
      <x:c r="C4" s="287"/>
      <x:c r="D4" s="287"/>
      <x:c r="E4" s="287"/>
      <x:c r="F4" s="287"/>
      <x:c r="G4" s="287"/>
    </x:row>
    <x:row r="5" ht="30" customHeight="1">
      <x:c r="A5" s="247"/>
      <x:c r="B5" s="288" t="str">
        <x:v>Particulars</x:v>
      </x:c>
      <x:c r="C5" s="288" t="str">
        <x:v>Note No.</x:v>
      </x:c>
      <x:c r="D5" s="288" t="str">
        <x:v>Figures for the current reporting period</x:v>
      </x:c>
      <x:c r="E5" s="236" t="str">
        <x:v>Figures for the previous reporting period</x:v>
      </x:c>
      <x:c r="F5" s="236"/>
      <x:c r="G5" s="236"/>
    </x:row>
    <x:row r="6">
      <x:c r="A6" s="248"/>
      <x:c r="B6" s="289" t="str">
        <x:v>1</x:v>
      </x:c>
      <x:c r="C6" s="289" t="str">
        <x:v>2</x:v>
      </x:c>
      <x:c r="D6" s="289" t="str">
        <x:v>3</x:v>
      </x:c>
      <x:c r="E6" s="236" t="str">
        <x:v>4</x:v>
      </x:c>
      <x:c r="F6" s="236"/>
      <x:c r="G6" s="236"/>
    </x:row>
    <x:row r="7">
      <x:c r="A7" s="248" t="str">
        <x:v>I.</x:v>
      </x:c>
      <x:c r="B7" s="289" t="str">
        <x:v>Revenue from operations</x:v>
      </x:c>
      <x:c r="C7" s="289" t="n">
        <x:v>28</x:v>
      </x:c>
      <x:c r="D7" s="289"/>
      <x:c r="E7" s="236"/>
      <x:c r="F7" s="236"/>
      <x:c r="G7" s="236"/>
    </x:row>
    <x:row r="8">
      <x:c r="A8" s="248" t="str">
        <x:v>II.</x:v>
      </x:c>
      <x:c r="B8" s="289" t="str">
        <x:v>Other income</x:v>
      </x:c>
      <x:c r="C8" s="289" t="n">
        <x:v>29</x:v>
      </x:c>
      <x:c r="D8" s="289"/>
      <x:c r="E8" s="236"/>
      <x:c r="F8" s="236"/>
      <x:c r="G8" s="236"/>
    </x:row>
    <x:row r="9">
      <x:c r="A9" s="248" t="str">
        <x:v>III.</x:v>
      </x:c>
      <x:c r="B9" s="289" t="str">
        <x:v>Total Revenue (I + II)</x:v>
      </x:c>
      <x:c r="C9" s="289"/>
      <x:c r="D9" s="289"/>
      <x:c r="E9" s="236"/>
      <x:c r="F9" s="236"/>
      <x:c r="G9" s="236"/>
    </x:row>
    <x:row r="10">
      <x:c r="A10" s="248" t="str">
        <x:v>IV.</x:v>
      </x:c>
      <x:c r="B10" s="289" t="str">
        <x:v>Expenses:</x:v>
      </x:c>
      <x:c r="C10" s="289"/>
      <x:c r="D10" s="289"/>
      <x:c r="E10" s="236"/>
      <x:c r="F10" s="236"/>
      <x:c r="G10" s="236"/>
    </x:row>
    <x:row r="11">
      <x:c r="A11" s="248"/>
      <x:c r="B11" s="289" t="str">
        <x:v>Cost of materials consumed</x:v>
      </x:c>
      <x:c r="C11" s="289" t="n">
        <x:v>30</x:v>
      </x:c>
      <x:c r="D11" s="289"/>
      <x:c r="E11" s="236"/>
      <x:c r="F11" s="236"/>
      <x:c r="G11" s="236"/>
    </x:row>
    <x:row r="12">
      <x:c r="A12" s="248"/>
      <x:c r="B12" s="289" t="str">
        <x:v>Purchases of Stock-in-Trade</x:v>
      </x:c>
      <x:c r="C12" s="289" t="n">
        <x:v>31</x:v>
      </x:c>
      <x:c r="D12" s="289"/>
      <x:c r="E12" s="236"/>
      <x:c r="F12" s="236"/>
      <x:c r="G12" s="236"/>
    </x:row>
    <x:row r="13">
      <x:c r="A13" s="248"/>
      <x:c r="B13" s="289" t="str">
        <x:v>Changes in inventories of finished goods, work-in-progress and Stock-in-Trade</x:v>
      </x:c>
      <x:c r="C13" s="289" t="n">
        <x:v>32</x:v>
      </x:c>
      <x:c r="D13" s="289"/>
      <x:c r="E13" s="236"/>
      <x:c r="F13" s="236"/>
      <x:c r="G13" s="236"/>
    </x:row>
    <x:row r="14">
      <x:c r="A14" s="248"/>
      <x:c r="B14" s="289" t="str">
        <x:v>Employee benefits expense</x:v>
      </x:c>
      <x:c r="C14" s="289" t="n">
        <x:v>33</x:v>
      </x:c>
      <x:c r="D14" s="289"/>
      <x:c r="E14" s="236"/>
      <x:c r="F14" s="236"/>
      <x:c r="G14" s="236"/>
    </x:row>
    <x:row r="15">
      <x:c r="A15" s="248"/>
      <x:c r="B15" s="289" t="str">
        <x:v>Finance costs</x:v>
      </x:c>
      <x:c r="C15" s="289" t="n">
        <x:v>34</x:v>
      </x:c>
      <x:c r="D15" s="289"/>
      <x:c r="E15" s="236"/>
      <x:c r="F15" s="236"/>
      <x:c r="G15" s="236"/>
    </x:row>
    <x:row r="16">
      <x:c r="A16" s="248"/>
      <x:c r="B16" s="289" t="str">
        <x:v>Depreciation and amortization expense</x:v>
      </x:c>
      <x:c r="C16" s="289" t="n">
        <x:v>35</x:v>
      </x:c>
      <x:c r="D16" s="289"/>
      <x:c r="E16" s="236"/>
      <x:c r="F16" s="236"/>
      <x:c r="G16" s="236"/>
    </x:row>
    <x:row r="17">
      <x:c r="A17" s="248"/>
      <x:c r="B17" s="289" t="str">
        <x:v>Other expenses</x:v>
      </x:c>
      <x:c r="C17" s="289" t="n">
        <x:v>36</x:v>
      </x:c>
      <x:c r="D17" s="289"/>
      <x:c r="E17" s="236"/>
      <x:c r="F17" s="236"/>
      <x:c r="G17" s="236"/>
    </x:row>
    <x:row r="18">
      <x:c r="A18" s="248"/>
      <x:c r="B18" s="289" t="str">
        <x:v>Total expenses</x:v>
      </x:c>
      <x:c r="C18" s="289"/>
      <x:c r="D18" s="289"/>
      <x:c r="E18" s="236"/>
      <x:c r="F18" s="236"/>
      <x:c r="G18" s="236"/>
    </x:row>
    <x:row r="19">
      <x:c r="A19" s="248" t="str">
        <x:v>V.</x:v>
      </x:c>
      <x:c r="B19" s="289" t="str">
        <x:v>Profit before exceptional and extraordinary items and tax (III-IV)</x:v>
      </x:c>
      <x:c r="C19" s="289"/>
      <x:c r="D19" s="289"/>
      <x:c r="E19" s="236"/>
      <x:c r="F19" s="236"/>
      <x:c r="G19" s="236"/>
    </x:row>
    <x:row r="20">
      <x:c r="A20" s="248" t="str">
        <x:v>VI.</x:v>
      </x:c>
      <x:c r="B20" s="289" t="str">
        <x:v>Exceptional items</x:v>
      </x:c>
      <x:c r="C20" s="289" t="n">
        <x:v>37</x:v>
      </x:c>
      <x:c r="D20" s="289"/>
      <x:c r="E20" s="236"/>
      <x:c r="F20" s="236"/>
      <x:c r="G20" s="236"/>
    </x:row>
    <x:row r="21">
      <x:c r="A21" s="248" t="str">
        <x:v>VII.</x:v>
      </x:c>
      <x:c r="B21" s="289" t="str">
        <x:v>Profit before extraordinary items and tax (V-VI)</x:v>
      </x:c>
      <x:c r="C21" s="289"/>
      <x:c r="D21" s="289"/>
      <x:c r="E21" s="236"/>
      <x:c r="F21" s="236"/>
      <x:c r="G21" s="236"/>
    </x:row>
    <x:row r="22">
      <x:c r="A22" s="248" t="str">
        <x:v>VIII.</x:v>
      </x:c>
      <x:c r="B22" s="289" t="str">
        <x:v>Extraordinary items</x:v>
      </x:c>
      <x:c r="C22" s="289" t="n">
        <x:v>38</x:v>
      </x:c>
      <x:c r="D22" s="289"/>
      <x:c r="E22" s="236"/>
      <x:c r="F22" s="236"/>
      <x:c r="G22" s="236"/>
    </x:row>
    <x:row r="23">
      <x:c r="A23" s="248" t="str">
        <x:v>IX.</x:v>
      </x:c>
      <x:c r="B23" s="289" t="str">
        <x:v>Profit before tax (VII-VIII)</x:v>
      </x:c>
      <x:c r="C23" s="289"/>
      <x:c r="D23" s="289"/>
      <x:c r="E23" s="236"/>
      <x:c r="F23" s="236"/>
      <x:c r="G23" s="236"/>
    </x:row>
    <x:row r="24">
      <x:c r="A24" s="248" t="str">
        <x:v>X.</x:v>
      </x:c>
      <x:c r="B24" s="289" t="str">
        <x:v>Tax expense:</x:v>
      </x:c>
      <x:c r="C24" s="289" t="n">
        <x:v>39</x:v>
      </x:c>
      <x:c r="D24" s="289"/>
      <x:c r="E24" s="236"/>
      <x:c r="F24" s="236"/>
      <x:c r="G24" s="236"/>
    </x:row>
    <x:row r="25">
      <x:c r="A25" s="248"/>
      <x:c r="B25" s="289" t="str">
        <x:v>(1) Current tax</x:v>
      </x:c>
      <x:c r="C25" s="289"/>
      <x:c r="D25" s="289"/>
      <x:c r="E25" s="236"/>
      <x:c r="F25" s="236"/>
      <x:c r="G25" s="236"/>
    </x:row>
    <x:row r="26">
      <x:c r="A26" s="248"/>
      <x:c r="B26" s="289" t="str">
        <x:v>(2) Deferred tax</x:v>
      </x:c>
      <x:c r="C26" s="289"/>
      <x:c r="D26" s="289"/>
      <x:c r="E26" s="236"/>
      <x:c r="F26" s="236"/>
      <x:c r="G26" s="236"/>
    </x:row>
    <x:row r="27">
      <x:c r="A27" s="248" t="str">
        <x:v>XI.</x:v>
      </x:c>
      <x:c r="B27" s="289" t="str">
        <x:v>Profit/(Loss) for the period from continuing operations (IX-X)</x:v>
      </x:c>
      <x:c r="C27" s="289"/>
      <x:c r="D27" s="289"/>
      <x:c r="E27" s="236"/>
      <x:c r="F27" s="236"/>
      <x:c r="G27" s="236"/>
    </x:row>
    <x:row r="28">
      <x:c r="A28" s="248" t="str">
        <x:v>XII.</x:v>
      </x:c>
      <x:c r="B28" s="289" t="str">
        <x:v>Profit/(Loss) from discontinuing operations</x:v>
      </x:c>
      <x:c r="C28" s="289" t="n">
        <x:v>40</x:v>
      </x:c>
      <x:c r="D28" s="289"/>
      <x:c r="E28" s="236"/>
      <x:c r="F28" s="236"/>
      <x:c r="G28" s="236"/>
    </x:row>
    <x:row r="29">
      <x:c r="A29" s="248" t="str">
        <x:v>XIII.</x:v>
      </x:c>
      <x:c r="B29" s="289" t="str">
        <x:v>Tax expense of discontinuing operations</x:v>
      </x:c>
      <x:c r="C29" s="289"/>
      <x:c r="D29" s="289"/>
      <x:c r="E29" s="236"/>
      <x:c r="F29" s="236"/>
      <x:c r="G29" s="236"/>
    </x:row>
    <x:row r="30">
      <x:c r="A30" s="248" t="str">
        <x:v>XIV.</x:v>
      </x:c>
      <x:c r="B30" s="289" t="str">
        <x:v>Profit/(Loss) from discontinuing operations after tax (XII-XIII)</x:v>
      </x:c>
      <x:c r="C30" s="289"/>
      <x:c r="D30" s="289"/>
      <x:c r="E30" s="236"/>
      <x:c r="F30" s="236"/>
      <x:c r="G30" s="236"/>
    </x:row>
    <x:row r="31">
      <x:c r="A31" s="248" t="str">
        <x:v>XV.</x:v>
      </x:c>
      <x:c r="B31" s="289" t="str">
        <x:v>Profit/(Loss) for the period (XI+XIV)</x:v>
      </x:c>
      <x:c r="C31" s="289"/>
      <x:c r="D31" s="289"/>
      <x:c r="E31" s="236"/>
      <x:c r="F31" s="236"/>
      <x:c r="G31" s="236"/>
    </x:row>
    <x:row r="32">
      <x:c r="A32" s="248" t="str">
        <x:v>XVI.</x:v>
      </x:c>
      <x:c r="B32" s="289" t="str">
        <x:v>Earnings per equity share:</x:v>
      </x:c>
      <x:c r="C32" s="289" t="n">
        <x:v>41</x:v>
      </x:c>
      <x:c r="D32" s="289"/>
      <x:c r="E32" s="236"/>
      <x:c r="F32" s="236"/>
      <x:c r="G32" s="236"/>
    </x:row>
    <x:row r="33">
      <x:c r="A33" s="234"/>
      <x:c r="B33" s="236" t="str">
        <x:v>(1) Basic</x:v>
      </x:c>
      <x:c r="C33" s="236"/>
      <x:c r="D33" s="236"/>
      <x:c r="E33" s="236"/>
      <x:c r="F33" s="236"/>
      <x:c r="G33" s="236"/>
    </x:row>
    <x:row r="34">
      <x:c r="A34" s="234"/>
      <x:c r="B34" s="236" t="str">
        <x:v>(2) Diluted</x:v>
      </x:c>
      <x:c r="C34" s="236"/>
      <x:c r="D34" s="236"/>
      <x:c r="E34" s="236"/>
      <x:c r="F34" s="236"/>
      <x:c r="G34" s="236"/>
    </x:row>
    <x:row r="35">
      <x:c r="A35" s="279" t="str">
        <x:v>See accompanying notes to the financial statements</x:v>
      </x:c>
      <x:c r="B35" s="290"/>
      <x:c r="C35" s="290"/>
      <x:c r="D35" s="290"/>
      <x:c r="E35" s="290"/>
      <x:c r="F35" s="290"/>
      <x:c r="G35" s="290"/>
    </x:row>
    <x:row r="36">
      <x:c r="A36" s="255"/>
      <x:c r="B36" s="291"/>
      <x:c r="C36" s="291"/>
      <x:c r="D36" s="291"/>
      <x:c r="E36" s="291"/>
      <x:c r="F36" s="291"/>
      <x:c r="G36" s="291"/>
    </x:row>
    <x:row r="37">
      <x:c r="A37" s="248"/>
      <x:c r="B37" s="261"/>
      <x:c r="C37" s="261"/>
      <x:c r="D37" s="261"/>
      <x:c r="E37" s="261"/>
      <x:c r="F37" s="261"/>
      <x:c r="G37" s="261"/>
    </x:row>
    <x:row r="38">
      <x:c r="A38" s="248"/>
      <x:c r="B38" s="261"/>
      <x:c r="C38" s="261"/>
      <x:c r="D38" s="261"/>
      <x:c r="E38" s="261"/>
      <x:c r="F38" s="261"/>
      <x:c r="G38" s="261"/>
    </x:row>
    <x:row r="39">
      <x:c r="A39" s="248"/>
      <x:c r="B39" s="261"/>
      <x:c r="C39" s="261"/>
      <x:c r="D39" s="261"/>
      <x:c r="E39" s="261"/>
      <x:c r="F39" s="261"/>
      <x:c r="G39" s="261"/>
    </x:row>
    <x:row r="40">
      <x:c r="A40" s="276" t="str">
        <x:v>Schedule III Division I — Notes to Balance Sheet</x:v>
      </x:c>
      <x:c r="B40" s="277"/>
      <x:c r="C40" s="277"/>
      <x:c r="D40" s="277"/>
      <x:c r="E40" s="277"/>
      <x:c r="F40" s="277"/>
      <x:c r="G40" s="277" t="str">
        <x:v>DIVISION I GROUP</x:v>
      </x:c>
    </x:row>
    <x:row r="41">
      <x:c r="A41" s="279" t="n">
        <x:f>'Basic Info'!C13</x:f>
        <x:v>0</x:v>
      </x:c>
      <x:c r="B41" s="290"/>
      <x:c r="C41" s="290"/>
      <x:c r="D41" s="290"/>
      <x:c r="E41" s="290"/>
      <x:c r="F41" s="290"/>
      <x:c r="G41" s="290"/>
    </x:row>
    <x:row r="42">
      <x:c r="A42" s="255" t="str">
        <x:f>"Notes forming part of the Financial Statements for the year ended "&amp;TEXT('Basic Info'!C8,"dd-mmm-yyyy")</x:f>
        <x:v>Notes forming part of the Financial Statements for the year ended </x:v>
      </x:c>
      <x:c r="B42" s="291"/>
      <x:c r="C42" s="291"/>
      <x:c r="D42" s="291"/>
      <x:c r="E42" s="291"/>
      <x:c r="F42" s="291"/>
      <x:c r="G42" s="291"/>
    </x:row>
    <x:row r="43">
      <x:c r="A43" s="248"/>
      <x:c r="B43" s="261"/>
      <x:c r="C43" s="261"/>
      <x:c r="D43" s="261"/>
      <x:c r="E43" s="261"/>
      <x:c r="F43" s="261"/>
      <x:c r="G43" s="261"/>
    </x:row>
    <x:row r="44">
      <x:c r="A44" s="248" t="str">
        <x:v>Note No.</x:v>
      </x:c>
      <x:c r="B44" s="261" t="str">
        <x:v>Particulars</x:v>
      </x:c>
      <x:c r="C44" s="261" t="str">
        <x:v>Balance Sheet Section</x:v>
      </x:c>
      <x:c r="D44" s="261" t="str">
        <x:v>Classification Basis</x:v>
      </x:c>
      <x:c r="E44" s="261"/>
      <x:c r="F44" s="261"/>
      <x:c r="G44" s="261"/>
    </x:row>
    <x:row r="45">
      <x:c r="A45" s="248" t="n">
        <x:v>1</x:v>
      </x:c>
      <x:c r="B45" s="261" t="str">
        <x:v>Share capital</x:v>
      </x:c>
      <x:c r="C45" s="261" t="str">
        <x:v>Shareholders’ funds</x:v>
      </x:c>
      <x:c r="D45" s="261" t="str">
        <x:v>Current / non-current</x:v>
      </x:c>
      <x:c r="E45" s="261"/>
      <x:c r="F45" s="261"/>
      <x:c r="G45" s="261"/>
    </x:row>
    <x:row r="46">
      <x:c r="A46" s="248" t="n">
        <x:v>2</x:v>
      </x:c>
      <x:c r="B46" s="261" t="str">
        <x:v>Reserves and surplus</x:v>
      </x:c>
      <x:c r="C46" s="261" t="str">
        <x:v>Shareholders’ funds</x:v>
      </x:c>
      <x:c r="D46" s="261" t="str">
        <x:v>Current / non-current</x:v>
      </x:c>
      <x:c r="E46" s="261"/>
      <x:c r="F46" s="261"/>
      <x:c r="G46" s="261"/>
    </x:row>
    <x:row r="47">
      <x:c r="A47" s="248" t="n">
        <x:v>3</x:v>
      </x:c>
      <x:c r="B47" s="261" t="str">
        <x:v>Money received against share warrants</x:v>
      </x:c>
      <x:c r="C47" s="261" t="str">
        <x:v>Shareholders’ funds</x:v>
      </x:c>
      <x:c r="D47" s="261" t="str">
        <x:v>Current / non-current</x:v>
      </x:c>
      <x:c r="E47" s="261"/>
      <x:c r="F47" s="261"/>
      <x:c r="G47" s="261"/>
    </x:row>
    <x:row r="48">
      <x:c r="A48" s="276" t="n">
        <x:v>4</x:v>
      </x:c>
      <x:c r="B48" s="277" t="str">
        <x:v>Share application money pending allotment</x:v>
      </x:c>
      <x:c r="C48" s="277" t="str">
        <x:v>Share application money pending allotment</x:v>
      </x:c>
      <x:c r="D48" s="277" t="str">
        <x:v>Current / non-current</x:v>
      </x:c>
      <x:c r="E48" s="277"/>
      <x:c r="F48" s="277"/>
      <x:c r="G48" s="277"/>
    </x:row>
    <x:row r="49">
      <x:c r="A49" s="279" t="n">
        <x:v>5</x:v>
      </x:c>
      <x:c r="B49" s="290" t="str">
        <x:v>Long-term borrowings</x:v>
      </x:c>
      <x:c r="C49" s="290" t="str">
        <x:v>Non-current liabilities</x:v>
      </x:c>
      <x:c r="D49" s="290" t="str">
        <x:v>Current / non-current</x:v>
      </x:c>
      <x:c r="E49" s="290"/>
      <x:c r="F49" s="290"/>
      <x:c r="G49" s="290"/>
    </x:row>
    <x:row r="50">
      <x:c r="A50" s="255" t="n">
        <x:v>6</x:v>
      </x:c>
      <x:c r="B50" s="291" t="str">
        <x:v>Deferred tax liabilities (Net)</x:v>
      </x:c>
      <x:c r="C50" s="291" t="str">
        <x:v>Non-current liabilities</x:v>
      </x:c>
      <x:c r="D50" s="291" t="str">
        <x:v>Current / non-current</x:v>
      </x:c>
      <x:c r="E50" s="291"/>
      <x:c r="F50" s="291"/>
      <x:c r="G50" s="291"/>
    </x:row>
    <x:row r="51">
      <x:c r="A51" s="248" t="n">
        <x:v>7</x:v>
      </x:c>
      <x:c r="B51" s="261" t="str">
        <x:v>Other long-term liabilities</x:v>
      </x:c>
      <x:c r="C51" s="261" t="str">
        <x:v>Non-current liabilities</x:v>
      </x:c>
      <x:c r="D51" s="261" t="str">
        <x:v>Current / non-current</x:v>
      </x:c>
      <x:c r="E51" s="261"/>
      <x:c r="F51" s="261"/>
      <x:c r="G51" s="261"/>
    </x:row>
    <x:row r="52">
      <x:c r="A52" s="276" t="n">
        <x:v>8</x:v>
      </x:c>
      <x:c r="B52" s="277" t="str">
        <x:v>Long-term provisions</x:v>
      </x:c>
      <x:c r="C52" s="277" t="str">
        <x:v>Non-current liabilities</x:v>
      </x:c>
      <x:c r="D52" s="277" t="str">
        <x:v>Current / non-current</x:v>
      </x:c>
      <x:c r="E52" s="277"/>
      <x:c r="F52" s="277"/>
      <x:c r="G52" s="277"/>
    </x:row>
    <x:row r="53">
      <x:c r="A53" s="279" t="n">
        <x:v>9</x:v>
      </x:c>
      <x:c r="B53" s="290" t="str">
        <x:v>Short-term borrowings</x:v>
      </x:c>
      <x:c r="C53" s="290" t="str">
        <x:v>Current liabilities</x:v>
      </x:c>
      <x:c r="D53" s="290" t="str">
        <x:v>Current / non-current</x:v>
      </x:c>
      <x:c r="E53" s="290"/>
      <x:c r="F53" s="290"/>
      <x:c r="G53" s="290"/>
    </x:row>
    <x:row r="54">
      <x:c r="A54" s="255" t="n">
        <x:v>10</x:v>
      </x:c>
      <x:c r="B54" s="291" t="str">
        <x:v>Total outstanding dues of micro enterprises and small enterprises</x:v>
      </x:c>
      <x:c r="C54" s="291" t="str">
        <x:v>Current liabilities</x:v>
      </x:c>
      <x:c r="D54" s="291" t="str">
        <x:v>Current / non-current</x:v>
      </x:c>
      <x:c r="E54" s="291"/>
      <x:c r="F54" s="291"/>
      <x:c r="G54" s="291"/>
    </x:row>
    <x:row r="55">
      <x:c r="A55" s="248" t="n">
        <x:v>11</x:v>
      </x:c>
      <x:c r="B55" s="261" t="str">
        <x:v>Total outstanding dues of creditors other than micro enterprises and small enterprises</x:v>
      </x:c>
      <x:c r="C55" s="261" t="str">
        <x:v>Current liabilities</x:v>
      </x:c>
      <x:c r="D55" s="261" t="str">
        <x:v>Current / non-current</x:v>
      </x:c>
      <x:c r="E55" s="261"/>
      <x:c r="F55" s="261"/>
      <x:c r="G55" s="261"/>
    </x:row>
    <x:row r="56">
      <x:c r="A56" s="276" t="n">
        <x:v>12</x:v>
      </x:c>
      <x:c r="B56" s="277" t="str">
        <x:v>Other current liabilities</x:v>
      </x:c>
      <x:c r="C56" s="277" t="str">
        <x:v>Current liabilities</x:v>
      </x:c>
      <x:c r="D56" s="277" t="str">
        <x:v>Current / non-current</x:v>
      </x:c>
      <x:c r="E56" s="277"/>
      <x:c r="F56" s="277"/>
      <x:c r="G56" s="277"/>
    </x:row>
    <x:row r="57">
      <x:c r="A57" s="279" t="n">
        <x:v>13</x:v>
      </x:c>
      <x:c r="B57" s="290" t="str">
        <x:v>Short-term provisions</x:v>
      </x:c>
      <x:c r="C57" s="290" t="str">
        <x:v>Current liabilities</x:v>
      </x:c>
      <x:c r="D57" s="290" t="str">
        <x:v>Current / non-current</x:v>
      </x:c>
      <x:c r="E57" s="290"/>
      <x:c r="F57" s="290"/>
      <x:c r="G57" s="290"/>
    </x:row>
    <x:row r="58">
      <x:c r="A58" s="255" t="n">
        <x:v>14</x:v>
      </x:c>
      <x:c r="B58" s="291" t="str">
        <x:v>Property, Plant and Equipment</x:v>
      </x:c>
      <x:c r="C58" s="291" t="str">
        <x:v>Non-current assets</x:v>
      </x:c>
      <x:c r="D58" s="291" t="str">
        <x:v>Current / non-current</x:v>
      </x:c>
      <x:c r="E58" s="291"/>
      <x:c r="F58" s="291"/>
      <x:c r="G58" s="291"/>
    </x:row>
    <x:row r="59">
      <x:c r="A59" s="248" t="n">
        <x:v>15</x:v>
      </x:c>
      <x:c r="B59" s="261" t="str">
        <x:v>Intangible assets</x:v>
      </x:c>
      <x:c r="C59" s="261" t="str">
        <x:v>Non-current assets</x:v>
      </x:c>
      <x:c r="D59" s="261" t="str">
        <x:v>Current / non-current</x:v>
      </x:c>
      <x:c r="E59" s="261"/>
      <x:c r="F59" s="261"/>
      <x:c r="G59" s="261"/>
    </x:row>
    <x:row r="60">
      <x:c r="A60" s="248" t="n">
        <x:v>16</x:v>
      </x:c>
      <x:c r="B60" s="261" t="str">
        <x:v>Capital work-in-progress</x:v>
      </x:c>
      <x:c r="C60" s="261" t="str">
        <x:v>Non-current assets</x:v>
      </x:c>
      <x:c r="D60" s="261" t="str">
        <x:v>Current / non-current</x:v>
      </x:c>
      <x:c r="E60" s="261"/>
      <x:c r="F60" s="261"/>
      <x:c r="G60" s="261"/>
    </x:row>
    <x:row r="61">
      <x:c r="A61" s="248" t="n">
        <x:v>17</x:v>
      </x:c>
      <x:c r="B61" s="261" t="str">
        <x:v>Intangible assets under development</x:v>
      </x:c>
      <x:c r="C61" s="261" t="str">
        <x:v>Non-current assets</x:v>
      </x:c>
      <x:c r="D61" s="261" t="str">
        <x:v>Current / non-current</x:v>
      </x:c>
      <x:c r="E61" s="261"/>
      <x:c r="F61" s="261"/>
      <x:c r="G61" s="261"/>
    </x:row>
    <x:row r="62">
      <x:c r="A62" s="248" t="n">
        <x:v>18</x:v>
      </x:c>
      <x:c r="B62" s="261" t="str">
        <x:v>Non-current investments</x:v>
      </x:c>
      <x:c r="C62" s="261" t="str">
        <x:v>Non-current assets</x:v>
      </x:c>
      <x:c r="D62" s="261" t="str">
        <x:v>Current / non-current</x:v>
      </x:c>
      <x:c r="E62" s="261"/>
      <x:c r="F62" s="261"/>
      <x:c r="G62" s="261"/>
    </x:row>
    <x:row r="63">
      <x:c r="A63" s="276" t="n">
        <x:v>19</x:v>
      </x:c>
      <x:c r="B63" s="277" t="str">
        <x:v>Deferred tax assets (Net)</x:v>
      </x:c>
      <x:c r="C63" s="277" t="str">
        <x:v>Non-current assets</x:v>
      </x:c>
      <x:c r="D63" s="277" t="str">
        <x:v>Current / non-current</x:v>
      </x:c>
      <x:c r="E63" s="277"/>
      <x:c r="F63" s="277"/>
      <x:c r="G63" s="277"/>
    </x:row>
    <x:row r="64">
      <x:c r="A64" s="279" t="n">
        <x:v>20</x:v>
      </x:c>
      <x:c r="B64" s="290" t="str">
        <x:v>Long-term loans and advances</x:v>
      </x:c>
      <x:c r="C64" s="290" t="str">
        <x:v>Non-current assets</x:v>
      </x:c>
      <x:c r="D64" s="290" t="str">
        <x:v>Current / non-current</x:v>
      </x:c>
      <x:c r="E64" s="290"/>
      <x:c r="F64" s="290"/>
      <x:c r="G64" s="290"/>
    </x:row>
    <x:row r="65">
      <x:c r="A65" s="255" t="n">
        <x:v>21</x:v>
      </x:c>
      <x:c r="B65" s="291" t="str">
        <x:v>Other non-current assets</x:v>
      </x:c>
      <x:c r="C65" s="291" t="str">
        <x:v>Non-current assets</x:v>
      </x:c>
      <x:c r="D65" s="291" t="str">
        <x:v>Current / non-current</x:v>
      </x:c>
      <x:c r="E65" s="291"/>
      <x:c r="F65" s="291"/>
      <x:c r="G65" s="291"/>
    </x:row>
    <x:row r="66">
      <x:c r="A66" s="248" t="n">
        <x:v>22</x:v>
      </x:c>
      <x:c r="B66" s="261" t="str">
        <x:v>Current investments</x:v>
      </x:c>
      <x:c r="C66" s="261" t="str">
        <x:v>Current assets</x:v>
      </x:c>
      <x:c r="D66" s="261" t="str">
        <x:v>Current / non-current</x:v>
      </x:c>
      <x:c r="E66" s="261"/>
      <x:c r="F66" s="261"/>
      <x:c r="G66" s="261"/>
    </x:row>
    <x:row r="67">
      <x:c r="A67" s="248" t="n">
        <x:v>23</x:v>
      </x:c>
      <x:c r="B67" s="261" t="str">
        <x:v>Inventories</x:v>
      </x:c>
      <x:c r="C67" s="261" t="str">
        <x:v>Current assets</x:v>
      </x:c>
      <x:c r="D67" s="261" t="str">
        <x:v>Current / non-current</x:v>
      </x:c>
      <x:c r="E67" s="261"/>
      <x:c r="F67" s="261"/>
      <x:c r="G67" s="261"/>
    </x:row>
    <x:row r="68">
      <x:c r="A68" s="248" t="n">
        <x:v>24</x:v>
      </x:c>
      <x:c r="B68" s="261" t="str">
        <x:v>Trade receivables</x:v>
      </x:c>
      <x:c r="C68" s="261" t="str">
        <x:v>Current assets</x:v>
      </x:c>
      <x:c r="D68" s="261" t="str">
        <x:v>Current / non-current</x:v>
      </x:c>
      <x:c r="E68" s="261"/>
      <x:c r="F68" s="261"/>
      <x:c r="G68" s="261"/>
    </x:row>
    <x:row r="69">
      <x:c r="A69" s="276" t="n">
        <x:v>25</x:v>
      </x:c>
      <x:c r="B69" s="277" t="str">
        <x:v>Cash and cash equivalents</x:v>
      </x:c>
      <x:c r="C69" s="277" t="str">
        <x:v>Current assets</x:v>
      </x:c>
      <x:c r="D69" s="277" t="str">
        <x:v>Current / non-current</x:v>
      </x:c>
      <x:c r="E69" s="277"/>
      <x:c r="F69" s="277"/>
      <x:c r="G69" s="277"/>
    </x:row>
    <x:row r="70">
      <x:c r="A70" s="279" t="n">
        <x:v>26</x:v>
      </x:c>
      <x:c r="B70" s="290" t="str">
        <x:v>Short-term loans and advances</x:v>
      </x:c>
      <x:c r="C70" s="290" t="str">
        <x:v>Current assets</x:v>
      </x:c>
      <x:c r="D70" s="290" t="str">
        <x:v>Current / non-current</x:v>
      </x:c>
      <x:c r="E70" s="290"/>
      <x:c r="F70" s="290"/>
      <x:c r="G70" s="290"/>
    </x:row>
    <x:row r="71">
      <x:c r="A71" s="255" t="n">
        <x:v>27</x:v>
      </x:c>
      <x:c r="B71" s="291" t="str">
        <x:v>Other current assets</x:v>
      </x:c>
      <x:c r="C71" s="291" t="str">
        <x:v>Current assets</x:v>
      </x:c>
      <x:c r="D71" s="291" t="str">
        <x:v>Current / non-current</x:v>
      </x:c>
      <x:c r="E71" s="291"/>
      <x:c r="F71" s="291"/>
      <x:c r="G71" s="291"/>
    </x:row>
    <x:row r="72">
      <x:c r="A72" s="248"/>
      <x:c r="B72" s="261"/>
      <x:c r="C72" s="261"/>
      <x:c r="D72" s="261"/>
      <x:c r="E72" s="261"/>
      <x:c r="F72" s="261"/>
      <x:c r="G72" s="261"/>
    </x:row>
    <x:row r="73">
      <x:c r="A73" s="248"/>
      <x:c r="B73" s="261"/>
      <x:c r="C73" s="261"/>
      <x:c r="D73" s="261"/>
      <x:c r="E73" s="261"/>
      <x:c r="F73" s="261"/>
      <x:c r="G73" s="261"/>
    </x:row>
    <x:row r="74">
      <x:c r="A74" s="248" t="str">
        <x:v>Note 1 — Share capital</x:v>
      </x:c>
      <x:c r="B74" s="261"/>
      <x:c r="C74" s="261"/>
      <x:c r="D74" s="261"/>
      <x:c r="E74" s="261"/>
      <x:c r="F74" s="261"/>
      <x:c r="G74" s="261"/>
    </x:row>
    <x:row r="75">
      <x:c r="A75" s="248" t="str">
        <x:v>Particulars</x:v>
      </x:c>
      <x:c r="B75" s="261" t="str">
        <x:v>Current Year</x:v>
      </x:c>
      <x:c r="C75" s="261" t="str">
        <x:v>Previous Year</x:v>
      </x:c>
      <x:c r="D75" s="261" t="str">
        <x:v>Mapping / Source</x:v>
      </x:c>
      <x:c r="E75" s="261" t="str">
        <x:v>Classification</x:v>
      </x:c>
      <x:c r="F75" s="261" t="str">
        <x:v>Remarks</x:v>
      </x:c>
      <x:c r="G75" s="261"/>
    </x:row>
    <x:row r="76">
      <x:c r="A76" s="276" t="str">
        <x:v>Equity shares</x:v>
      </x:c>
      <x:c r="B76" s="277"/>
      <x:c r="C76" s="277"/>
      <x:c r="D76" s="277"/>
      <x:c r="E76" s="277" t="str">
        <x:v>Current / non-current</x:v>
      </x:c>
      <x:c r="F76" s="277"/>
      <x:c r="G76" s="277"/>
    </x:row>
    <x:row r="77">
      <x:c r="A77" s="279" t="str">
        <x:v>Preference shares</x:v>
      </x:c>
      <x:c r="B77" s="290"/>
      <x:c r="C77" s="290"/>
      <x:c r="D77" s="290"/>
      <x:c r="E77" s="290" t="str">
        <x:v>Current / non-current</x:v>
      </x:c>
      <x:c r="F77" s="290"/>
      <x:c r="G77" s="290"/>
    </x:row>
    <x:row r="78">
      <x:c r="A78" s="255" t="str">
        <x:v>Other share capital adjustments</x:v>
      </x:c>
      <x:c r="B78" s="291"/>
      <x:c r="C78" s="291"/>
      <x:c r="D78" s="291"/>
      <x:c r="E78" s="291" t="str">
        <x:v>Current / non-current</x:v>
      </x:c>
      <x:c r="F78" s="291"/>
      <x:c r="G78" s="291"/>
    </x:row>
    <x:row r="79">
      <x:c r="A79" s="248" t="str">
        <x:v>Total Share capital</x:v>
      </x:c>
      <x:c r="B79" s="261" t="n">
        <x:f>SUM(B76:B78)</x:f>
        <x:v>0</x:v>
      </x:c>
      <x:c r="C79" s="261" t="n">
        <x:f>SUM(C76:C78)</x:f>
        <x:v>0</x:v>
      </x:c>
      <x:c r="D79" s="261"/>
      <x:c r="E79" s="261" t="str">
        <x:v>Current / non-current</x:v>
      </x:c>
      <x:c r="F79" s="261"/>
      <x:c r="G79" s="261"/>
    </x:row>
    <x:row r="80">
      <x:c r="A80" s="248" t="str">
        <x:v>Note 2 — Reserves and surplus</x:v>
      </x:c>
      <x:c r="B80" s="261"/>
      <x:c r="C80" s="261"/>
      <x:c r="D80" s="261"/>
      <x:c r="E80" s="261"/>
      <x:c r="F80" s="261"/>
      <x:c r="G80" s="261"/>
    </x:row>
    <x:row r="81">
      <x:c r="A81" s="248" t="str">
        <x:v>Particulars</x:v>
      </x:c>
      <x:c r="B81" s="261" t="str">
        <x:v>Current Year</x:v>
      </x:c>
      <x:c r="C81" s="261" t="str">
        <x:v>Previous Year</x:v>
      </x:c>
      <x:c r="D81" s="261" t="str">
        <x:v>Mapping / Source</x:v>
      </x:c>
      <x:c r="E81" s="261" t="str">
        <x:v>Classification</x:v>
      </x:c>
      <x:c r="F81" s="261" t="str">
        <x:v>Remarks</x:v>
      </x:c>
      <x:c r="G81" s="261"/>
    </x:row>
    <x:row r="82">
      <x:c r="A82" s="248" t="str">
        <x:v>Capital reserve</x:v>
      </x:c>
      <x:c r="B82" s="261"/>
      <x:c r="C82" s="261"/>
      <x:c r="D82" s="261"/>
      <x:c r="E82" s="261" t="str">
        <x:v>Current / non-current</x:v>
      </x:c>
      <x:c r="F82" s="261"/>
      <x:c r="G82" s="261"/>
    </x:row>
    <x:row r="83">
      <x:c r="A83" s="276" t="str">
        <x:v>Securities premium</x:v>
      </x:c>
      <x:c r="B83" s="277"/>
      <x:c r="C83" s="277"/>
      <x:c r="D83" s="277"/>
      <x:c r="E83" s="277" t="str">
        <x:v>Current / non-current</x:v>
      </x:c>
      <x:c r="F83" s="277"/>
      <x:c r="G83" s="277"/>
    </x:row>
    <x:row r="84">
      <x:c r="A84" s="279" t="str">
        <x:v>General reserve</x:v>
      </x:c>
      <x:c r="B84" s="290"/>
      <x:c r="C84" s="290"/>
      <x:c r="D84" s="290"/>
      <x:c r="E84" s="290" t="str">
        <x:v>Current / non-current</x:v>
      </x:c>
      <x:c r="F84" s="290"/>
      <x:c r="G84" s="290"/>
    </x:row>
    <x:row r="85">
      <x:c r="A85" s="255" t="str">
        <x:v>Retained earnings / Surplus</x:v>
      </x:c>
      <x:c r="B85" s="291"/>
      <x:c r="C85" s="291"/>
      <x:c r="D85" s="291"/>
      <x:c r="E85" s="291" t="str">
        <x:v>Current / non-current</x:v>
      </x:c>
      <x:c r="F85" s="291"/>
      <x:c r="G85" s="291"/>
    </x:row>
    <x:row r="86">
      <x:c r="A86" s="248" t="str">
        <x:v>Other reserves</x:v>
      </x:c>
      <x:c r="B86" s="261"/>
      <x:c r="C86" s="261"/>
      <x:c r="D86" s="261"/>
      <x:c r="E86" s="261" t="str">
        <x:v>Current / non-current</x:v>
      </x:c>
      <x:c r="F86" s="261"/>
      <x:c r="G86" s="261"/>
    </x:row>
    <x:row r="87">
      <x:c r="A87" s="248" t="str">
        <x:v>Total Reserves and surplus</x:v>
      </x:c>
      <x:c r="B87" s="261" t="n">
        <x:f>SUM(B82:B86)</x:f>
        <x:v>0</x:v>
      </x:c>
      <x:c r="C87" s="261" t="n">
        <x:f>SUM(C82:C86)</x:f>
        <x:v>0</x:v>
      </x:c>
      <x:c r="D87" s="261"/>
      <x:c r="E87" s="261" t="str">
        <x:v>Current / non-current</x:v>
      </x:c>
      <x:c r="F87" s="261"/>
      <x:c r="G87" s="261"/>
    </x:row>
    <x:row r="88">
      <x:c r="A88" s="248" t="str">
        <x:v>Note 3 — Money received against share warrants</x:v>
      </x:c>
      <x:c r="B88" s="261"/>
      <x:c r="C88" s="261"/>
      <x:c r="D88" s="261"/>
      <x:c r="E88" s="261"/>
      <x:c r="F88" s="261"/>
      <x:c r="G88" s="261"/>
    </x:row>
    <x:row r="89">
      <x:c r="A89" s="248" t="str">
        <x:v>Particulars</x:v>
      </x:c>
      <x:c r="B89" s="261" t="str">
        <x:v>Current Year</x:v>
      </x:c>
      <x:c r="C89" s="261" t="str">
        <x:v>Previous Year</x:v>
      </x:c>
      <x:c r="D89" s="261" t="str">
        <x:v>Mapping / Source</x:v>
      </x:c>
      <x:c r="E89" s="261" t="str">
        <x:v>Classification</x:v>
      </x:c>
      <x:c r="F89" s="261" t="str">
        <x:v>Remarks</x:v>
      </x:c>
      <x:c r="G89" s="261"/>
    </x:row>
    <x:row r="90">
      <x:c r="A90" s="276" t="str">
        <x:v>Money received against share warrants</x:v>
      </x:c>
      <x:c r="B90" s="277"/>
      <x:c r="C90" s="277"/>
      <x:c r="D90" s="277"/>
      <x:c r="E90" s="277" t="str">
        <x:v>Current / non-current</x:v>
      </x:c>
      <x:c r="F90" s="277"/>
      <x:c r="G90" s="277"/>
    </x:row>
    <x:row r="91">
      <x:c r="A91" s="279" t="str">
        <x:v>Total Money received against share warrants</x:v>
      </x:c>
      <x:c r="B91" s="290" t="n">
        <x:f>SUM(B90:B90)</x:f>
        <x:v>0</x:v>
      </x:c>
      <x:c r="C91" s="290" t="n">
        <x:f>SUM(C90:C90)</x:f>
        <x:v>0</x:v>
      </x:c>
      <x:c r="D91" s="290"/>
      <x:c r="E91" s="290" t="str">
        <x:v>Current / non-current</x:v>
      </x:c>
      <x:c r="F91" s="290"/>
      <x:c r="G91" s="290"/>
    </x:row>
    <x:row r="92">
      <x:c r="A92" s="255" t="str">
        <x:v>Note 4 — Share application money pending allotment</x:v>
      </x:c>
      <x:c r="B92" s="291"/>
      <x:c r="C92" s="291"/>
      <x:c r="D92" s="291"/>
      <x:c r="E92" s="291"/>
      <x:c r="F92" s="291"/>
      <x:c r="G92" s="291"/>
    </x:row>
    <x:row r="93">
      <x:c r="A93" s="248" t="str">
        <x:v>Particulars</x:v>
      </x:c>
      <x:c r="B93" s="261" t="str">
        <x:v>Current Year</x:v>
      </x:c>
      <x:c r="C93" s="261" t="str">
        <x:v>Previous Year</x:v>
      </x:c>
      <x:c r="D93" s="261" t="str">
        <x:v>Mapping / Source</x:v>
      </x:c>
      <x:c r="E93" s="261" t="str">
        <x:v>Classification</x:v>
      </x:c>
      <x:c r="F93" s="261" t="str">
        <x:v>Remarks</x:v>
      </x:c>
      <x:c r="G93" s="261"/>
    </x:row>
    <x:row r="94">
      <x:c r="A94" s="248" t="str">
        <x:v>Share application money pending allotment</x:v>
      </x:c>
      <x:c r="B94" s="261"/>
      <x:c r="C94" s="261"/>
      <x:c r="D94" s="261"/>
      <x:c r="E94" s="261" t="str">
        <x:v>Current / non-current</x:v>
      </x:c>
      <x:c r="F94" s="261"/>
      <x:c r="G94" s="261"/>
    </x:row>
    <x:row r="95">
      <x:c r="A95" s="248" t="str">
        <x:v>Total Share application money pending allotment</x:v>
      </x:c>
      <x:c r="B95" s="261" t="n">
        <x:f>SUM(B94:B94)</x:f>
        <x:v>0</x:v>
      </x:c>
      <x:c r="C95" s="261" t="n">
        <x:f>SUM(C94:C94)</x:f>
        <x:v>0</x:v>
      </x:c>
      <x:c r="D95" s="261"/>
      <x:c r="E95" s="261" t="str">
        <x:v>Current / non-current</x:v>
      </x:c>
      <x:c r="F95" s="261"/>
      <x:c r="G95" s="261"/>
    </x:row>
    <x:row r="96">
      <x:c r="A96" s="276" t="str">
        <x:v>Note 5 — Long-term borrowings</x:v>
      </x:c>
      <x:c r="B96" s="277"/>
      <x:c r="C96" s="277"/>
      <x:c r="D96" s="277"/>
      <x:c r="E96" s="277"/>
      <x:c r="F96" s="277"/>
      <x:c r="G96" s="277"/>
    </x:row>
    <x:row r="97">
      <x:c r="A97" s="279" t="str">
        <x:v>Particulars</x:v>
      </x:c>
      <x:c r="B97" s="290" t="str">
        <x:v>Current Year</x:v>
      </x:c>
      <x:c r="C97" s="290" t="str">
        <x:v>Previous Year</x:v>
      </x:c>
      <x:c r="D97" s="290" t="str">
        <x:v>Mapping / Source</x:v>
      </x:c>
      <x:c r="E97" s="290" t="str">
        <x:v>Classification</x:v>
      </x:c>
      <x:c r="F97" s="290" t="str">
        <x:v>Remarks</x:v>
      </x:c>
      <x:c r="G97" s="290"/>
    </x:row>
    <x:row r="98">
      <x:c r="A98" s="255" t="str">
        <x:v>Secured</x:v>
      </x:c>
      <x:c r="B98" s="291"/>
      <x:c r="C98" s="291"/>
      <x:c r="D98" s="291"/>
      <x:c r="E98" s="291" t="str">
        <x:v>Current / non-current</x:v>
      </x:c>
      <x:c r="F98" s="291"/>
      <x:c r="G98" s="291"/>
    </x:row>
    <x:row r="99">
      <x:c r="A99" s="248" t="str">
        <x:v>Unsecured</x:v>
      </x:c>
      <x:c r="B99" s="261"/>
      <x:c r="C99" s="261"/>
      <x:c r="D99" s="261"/>
      <x:c r="E99" s="261" t="str">
        <x:v>Current / non-current</x:v>
      </x:c>
      <x:c r="F99" s="261"/>
      <x:c r="G99" s="261"/>
    </x:row>
    <x:row r="100">
      <x:c r="A100" s="248" t="str">
        <x:v>Accrued interest / transaction costs</x:v>
      </x:c>
      <x:c r="B100" s="261"/>
      <x:c r="C100" s="261"/>
      <x:c r="D100" s="261"/>
      <x:c r="E100" s="261" t="str">
        <x:v>Current / non-current</x:v>
      </x:c>
      <x:c r="F100" s="261"/>
      <x:c r="G100" s="261"/>
    </x:row>
    <x:row r="101">
      <x:c r="A101" s="248" t="str">
        <x:v>Other</x:v>
      </x:c>
      <x:c r="B101" s="261"/>
      <x:c r="C101" s="261"/>
      <x:c r="D101" s="261"/>
      <x:c r="E101" s="261" t="str">
        <x:v>Current / non-current</x:v>
      </x:c>
      <x:c r="F101" s="261"/>
      <x:c r="G101" s="261"/>
    </x:row>
    <x:row r="102">
      <x:c r="A102" s="276" t="str">
        <x:v>Total Long-term borrowings</x:v>
      </x:c>
      <x:c r="B102" s="277" t="n">
        <x:f>SUM(B98:B101)</x:f>
        <x:v>0</x:v>
      </x:c>
      <x:c r="C102" s="277" t="n">
        <x:f>SUM(C98:C101)</x:f>
        <x:v>0</x:v>
      </x:c>
      <x:c r="D102" s="277"/>
      <x:c r="E102" s="277" t="str">
        <x:v>Current / non-current</x:v>
      </x:c>
      <x:c r="F102" s="277"/>
      <x:c r="G102" s="277"/>
    </x:row>
    <x:row r="103">
      <x:c r="A103" s="279" t="str">
        <x:v>Note 6 — Deferred tax liabilities (Net)</x:v>
      </x:c>
      <x:c r="B103" s="290"/>
      <x:c r="C103" s="290"/>
      <x:c r="D103" s="290"/>
      <x:c r="E103" s="290"/>
      <x:c r="F103" s="290"/>
      <x:c r="G103" s="290"/>
    </x:row>
    <x:row r="104">
      <x:c r="A104" s="255" t="str">
        <x:v>Particulars</x:v>
      </x:c>
      <x:c r="B104" s="291" t="str">
        <x:v>Current Year</x:v>
      </x:c>
      <x:c r="C104" s="291" t="str">
        <x:v>Previous Year</x:v>
      </x:c>
      <x:c r="D104" s="291" t="str">
        <x:v>Mapping / Source</x:v>
      </x:c>
      <x:c r="E104" s="291" t="str">
        <x:v>Classification</x:v>
      </x:c>
      <x:c r="F104" s="291" t="str">
        <x:v>Remarks</x:v>
      </x:c>
      <x:c r="G104" s="291"/>
    </x:row>
    <x:row r="105">
      <x:c r="A105" s="248" t="str">
        <x:v>Timing differences / temporary differences</x:v>
      </x:c>
      <x:c r="B105" s="261"/>
      <x:c r="C105" s="261"/>
      <x:c r="D105" s="261"/>
      <x:c r="E105" s="261" t="str">
        <x:v>Current / non-current</x:v>
      </x:c>
      <x:c r="F105" s="261"/>
      <x:c r="G105" s="261"/>
    </x:row>
    <x:row r="106">
      <x:c r="A106" s="248" t="str">
        <x:v>Unused tax losses / credits</x:v>
      </x:c>
      <x:c r="B106" s="261"/>
      <x:c r="C106" s="261"/>
      <x:c r="D106" s="261"/>
      <x:c r="E106" s="261" t="str">
        <x:v>Current / non-current</x:v>
      </x:c>
      <x:c r="F106" s="261"/>
      <x:c r="G106" s="261"/>
    </x:row>
    <x:row r="107">
      <x:c r="A107" s="248" t="str">
        <x:v>Other deferred tax balances</x:v>
      </x:c>
      <x:c r="B107" s="261"/>
      <x:c r="C107" s="261"/>
      <x:c r="D107" s="261"/>
      <x:c r="E107" s="261" t="str">
        <x:v>Current / non-current</x:v>
      </x:c>
      <x:c r="F107" s="261"/>
      <x:c r="G107" s="261"/>
    </x:row>
    <x:row r="108">
      <x:c r="A108" s="248" t="str">
        <x:v>Total Deferred tax liabilities (Net)</x:v>
      </x:c>
      <x:c r="B108" s="261" t="n">
        <x:f>SUM(B105:B107)</x:f>
        <x:v>0</x:v>
      </x:c>
      <x:c r="C108" s="261" t="n">
        <x:f>SUM(C105:C107)</x:f>
        <x:v>0</x:v>
      </x:c>
      <x:c r="D108" s="261"/>
      <x:c r="E108" s="261" t="str">
        <x:v>Current / non-current</x:v>
      </x:c>
      <x:c r="F108" s="261"/>
      <x:c r="G108" s="261"/>
    </x:row>
    <x:row r="109">
      <x:c r="A109" s="276" t="str">
        <x:v>Note 7 — Other long-term liabilities</x:v>
      </x:c>
      <x:c r="B109" s="277"/>
      <x:c r="C109" s="277"/>
      <x:c r="D109" s="277"/>
      <x:c r="E109" s="277"/>
      <x:c r="F109" s="277"/>
      <x:c r="G109" s="277"/>
    </x:row>
    <x:row r="110">
      <x:c r="A110" s="279" t="str">
        <x:v>Particulars</x:v>
      </x:c>
      <x:c r="B110" s="290" t="str">
        <x:v>Current Year</x:v>
      </x:c>
      <x:c r="C110" s="290" t="str">
        <x:v>Previous Year</x:v>
      </x:c>
      <x:c r="D110" s="290" t="str">
        <x:v>Mapping / Source</x:v>
      </x:c>
      <x:c r="E110" s="290" t="str">
        <x:v>Classification</x:v>
      </x:c>
      <x:c r="F110" s="290" t="str">
        <x:v>Remarks</x:v>
      </x:c>
      <x:c r="G110" s="290"/>
    </x:row>
    <x:row r="111">
      <x:c r="A111" s="255" t="str">
        <x:v>Detail 1</x:v>
      </x:c>
      <x:c r="B111" s="291"/>
      <x:c r="C111" s="291"/>
      <x:c r="D111" s="291"/>
      <x:c r="E111" s="291" t="str">
        <x:v>Current / non-current</x:v>
      </x:c>
      <x:c r="F111" s="291"/>
      <x:c r="G111" s="291"/>
    </x:row>
    <x:row r="112">
      <x:c r="A112" s="248" t="str">
        <x:v>Detail 2</x:v>
      </x:c>
      <x:c r="B112" s="261"/>
      <x:c r="C112" s="261"/>
      <x:c r="D112" s="261"/>
      <x:c r="E112" s="261" t="str">
        <x:v>Current / non-current</x:v>
      </x:c>
      <x:c r="F112" s="261"/>
      <x:c r="G112" s="261"/>
    </x:row>
    <x:row r="113">
      <x:c r="A113" s="248" t="str">
        <x:v>Detail 3</x:v>
      </x:c>
      <x:c r="B113" s="261"/>
      <x:c r="C113" s="261"/>
      <x:c r="D113" s="261"/>
      <x:c r="E113" s="261" t="str">
        <x:v>Current / non-current</x:v>
      </x:c>
      <x:c r="F113" s="261"/>
      <x:c r="G113" s="261"/>
    </x:row>
    <x:row r="114">
      <x:c r="A114" s="248" t="str">
        <x:v>Other</x:v>
      </x:c>
      <x:c r="B114" s="261"/>
      <x:c r="C114" s="261"/>
      <x:c r="D114" s="261"/>
      <x:c r="E114" s="261" t="str">
        <x:v>Current / non-current</x:v>
      </x:c>
      <x:c r="F114" s="261"/>
      <x:c r="G114" s="261"/>
    </x:row>
    <x:row r="115">
      <x:c r="A115" s="248" t="str">
        <x:v>Total Other long-term liabilities</x:v>
      </x:c>
      <x:c r="B115" s="261" t="n">
        <x:f>SUM(B111:B114)</x:f>
        <x:v>0</x:v>
      </x:c>
      <x:c r="C115" s="261" t="n">
        <x:f>SUM(C111:C114)</x:f>
        <x:v>0</x:v>
      </x:c>
      <x:c r="D115" s="261"/>
      <x:c r="E115" s="261" t="str">
        <x:v>Current / non-current</x:v>
      </x:c>
      <x:c r="F115" s="261"/>
      <x:c r="G115" s="261"/>
    </x:row>
    <x:row r="116">
      <x:c r="A116" s="276" t="str">
        <x:v>Note 8 — Long-term provisions</x:v>
      </x:c>
      <x:c r="B116" s="277"/>
      <x:c r="C116" s="277"/>
      <x:c r="D116" s="277"/>
      <x:c r="E116" s="277"/>
      <x:c r="F116" s="277"/>
      <x:c r="G116" s="277"/>
    </x:row>
    <x:row r="117">
      <x:c r="A117" s="279" t="str">
        <x:v>Particulars</x:v>
      </x:c>
      <x:c r="B117" s="290" t="str">
        <x:v>Current Year</x:v>
      </x:c>
      <x:c r="C117" s="290" t="str">
        <x:v>Previous Year</x:v>
      </x:c>
      <x:c r="D117" s="290" t="str">
        <x:v>Mapping / Source</x:v>
      </x:c>
      <x:c r="E117" s="290" t="str">
        <x:v>Classification</x:v>
      </x:c>
      <x:c r="F117" s="290" t="str">
        <x:v>Remarks</x:v>
      </x:c>
      <x:c r="G117" s="290"/>
    </x:row>
    <x:row r="118">
      <x:c r="A118" s="255" t="str">
        <x:v>Employee benefit provisions</x:v>
      </x:c>
      <x:c r="B118" s="291"/>
      <x:c r="C118" s="291"/>
      <x:c r="D118" s="291"/>
      <x:c r="E118" s="291" t="str">
        <x:v>Current / non-current</x:v>
      </x:c>
      <x:c r="F118" s="291"/>
      <x:c r="G118" s="291"/>
    </x:row>
    <x:row r="119">
      <x:c r="A119" s="248" t="str">
        <x:v>Tax provisions</x:v>
      </x:c>
      <x:c r="B119" s="261"/>
      <x:c r="C119" s="261"/>
      <x:c r="D119" s="261"/>
      <x:c r="E119" s="261" t="str">
        <x:v>Current / non-current</x:v>
      </x:c>
      <x:c r="F119" s="261"/>
      <x:c r="G119" s="261"/>
    </x:row>
    <x:row r="120">
      <x:c r="A120" s="248" t="str">
        <x:v>Warranty / contractual provisions</x:v>
      </x:c>
      <x:c r="B120" s="261"/>
      <x:c r="C120" s="261"/>
      <x:c r="D120" s="261"/>
      <x:c r="E120" s="261" t="str">
        <x:v>Current / non-current</x:v>
      </x:c>
      <x:c r="F120" s="261"/>
      <x:c r="G120" s="261"/>
    </x:row>
    <x:row r="121">
      <x:c r="A121" s="248" t="str">
        <x:v>Other provisions</x:v>
      </x:c>
      <x:c r="B121" s="261"/>
      <x:c r="C121" s="261"/>
      <x:c r="D121" s="261"/>
      <x:c r="E121" s="261" t="str">
        <x:v>Current / non-current</x:v>
      </x:c>
      <x:c r="F121" s="261"/>
      <x:c r="G121" s="261"/>
    </x:row>
    <x:row r="122">
      <x:c r="A122" s="248" t="str">
        <x:v>Total Long-term provisions</x:v>
      </x:c>
      <x:c r="B122" s="261" t="n">
        <x:f>SUM(B118:B121)</x:f>
        <x:v>0</x:v>
      </x:c>
      <x:c r="C122" s="261" t="n">
        <x:f>SUM(C118:C121)</x:f>
        <x:v>0</x:v>
      </x:c>
      <x:c r="D122" s="261"/>
      <x:c r="E122" s="261" t="str">
        <x:v>Current / non-current</x:v>
      </x:c>
      <x:c r="F122" s="261"/>
      <x:c r="G122" s="261"/>
    </x:row>
    <x:row r="123">
      <x:c r="A123" s="248" t="str">
        <x:v>Note 9 — Short-term borrowings</x:v>
      </x:c>
      <x:c r="B123" s="261"/>
      <x:c r="C123" s="261"/>
      <x:c r="D123" s="261"/>
      <x:c r="E123" s="261"/>
      <x:c r="F123" s="261"/>
      <x:c r="G123" s="261"/>
    </x:row>
    <x:row r="124">
      <x:c r="A124" s="248" t="str">
        <x:v>Particulars</x:v>
      </x:c>
      <x:c r="B124" s="261" t="str">
        <x:v>Current Year</x:v>
      </x:c>
      <x:c r="C124" s="261" t="str">
        <x:v>Previous Year</x:v>
      </x:c>
      <x:c r="D124" s="261" t="str">
        <x:v>Mapping / Source</x:v>
      </x:c>
      <x:c r="E124" s="261" t="str">
        <x:v>Classification</x:v>
      </x:c>
      <x:c r="F124" s="261" t="str">
        <x:v>Remarks</x:v>
      </x:c>
      <x:c r="G124" s="261"/>
    </x:row>
    <x:row r="125">
      <x:c r="A125" s="276" t="str">
        <x:v>Secured</x:v>
      </x:c>
      <x:c r="B125" s="277"/>
      <x:c r="C125" s="277"/>
      <x:c r="D125" s="277"/>
      <x:c r="E125" s="277" t="str">
        <x:v>Current / non-current</x:v>
      </x:c>
      <x:c r="F125" s="277"/>
      <x:c r="G125" s="277"/>
    </x:row>
    <x:row r="126">
      <x:c r="A126" s="279" t="str">
        <x:v>Unsecured</x:v>
      </x:c>
      <x:c r="B126" s="290"/>
      <x:c r="C126" s="290"/>
      <x:c r="D126" s="290"/>
      <x:c r="E126" s="290" t="str">
        <x:v>Current / non-current</x:v>
      </x:c>
      <x:c r="F126" s="290"/>
      <x:c r="G126" s="290"/>
    </x:row>
    <x:row r="127">
      <x:c r="A127" s="255" t="str">
        <x:v>Accrued interest / transaction costs</x:v>
      </x:c>
      <x:c r="B127" s="291"/>
      <x:c r="C127" s="291"/>
      <x:c r="D127" s="291"/>
      <x:c r="E127" s="291" t="str">
        <x:v>Current / non-current</x:v>
      </x:c>
      <x:c r="F127" s="291"/>
      <x:c r="G127" s="291"/>
    </x:row>
    <x:row r="128">
      <x:c r="A128" s="248" t="str">
        <x:v>Other</x:v>
      </x:c>
      <x:c r="B128" s="261"/>
      <x:c r="C128" s="261"/>
      <x:c r="D128" s="261"/>
      <x:c r="E128" s="261" t="str">
        <x:v>Current / non-current</x:v>
      </x:c>
      <x:c r="F128" s="261"/>
      <x:c r="G128" s="261"/>
    </x:row>
    <x:row r="129">
      <x:c r="A129" s="248" t="str">
        <x:v>Total Short-term borrowings</x:v>
      </x:c>
      <x:c r="B129" s="261" t="n">
        <x:f>SUM(B125:B128)</x:f>
        <x:v>0</x:v>
      </x:c>
      <x:c r="C129" s="261" t="n">
        <x:f>SUM(C125:C128)</x:f>
        <x:v>0</x:v>
      </x:c>
      <x:c r="D129" s="261"/>
      <x:c r="E129" s="261" t="str">
        <x:v>Current / non-current</x:v>
      </x:c>
      <x:c r="F129" s="261"/>
      <x:c r="G129" s="261"/>
    </x:row>
    <x:row r="130">
      <x:c r="A130" s="248" t="str">
        <x:v>Note 10 — Total outstanding dues of micro enterprises and small enterprises</x:v>
      </x:c>
      <x:c r="B130" s="261"/>
      <x:c r="C130" s="261"/>
      <x:c r="D130" s="261"/>
      <x:c r="E130" s="261"/>
      <x:c r="F130" s="261"/>
      <x:c r="G130" s="261"/>
    </x:row>
    <x:row r="131">
      <x:c r="A131" s="248" t="str">
        <x:v>Particulars</x:v>
      </x:c>
      <x:c r="B131" s="261" t="str">
        <x:v>Current Year</x:v>
      </x:c>
      <x:c r="C131" s="261" t="str">
        <x:v>Previous Year</x:v>
      </x:c>
      <x:c r="D131" s="261" t="str">
        <x:v>Mapping / Source</x:v>
      </x:c>
      <x:c r="E131" s="261" t="str">
        <x:v>Classification</x:v>
      </x:c>
      <x:c r="F131" s="261" t="str">
        <x:v>Remarks</x:v>
      </x:c>
      <x:c r="G131" s="261"/>
    </x:row>
    <x:row r="132">
      <x:c r="A132" s="276" t="str">
        <x:v>MSME principal outstanding</x:v>
      </x:c>
      <x:c r="B132" s="277"/>
      <x:c r="C132" s="277"/>
      <x:c r="D132" s="277"/>
      <x:c r="E132" s="277" t="str">
        <x:v>Current / non-current</x:v>
      </x:c>
      <x:c r="F132" s="277"/>
      <x:c r="G132" s="277"/>
    </x:row>
    <x:row r="133">
      <x:c r="A133" s="279" t="str">
        <x:v>Interest due to MSME</x:v>
      </x:c>
      <x:c r="B133" s="290"/>
      <x:c r="C133" s="290"/>
      <x:c r="D133" s="290"/>
      <x:c r="E133" s="290" t="str">
        <x:v>Current / non-current</x:v>
      </x:c>
      <x:c r="F133" s="290"/>
      <x:c r="G133" s="290"/>
    </x:row>
    <x:row r="134">
      <x:c r="A134" s="255" t="str">
        <x:v>Other MSME dues</x:v>
      </x:c>
      <x:c r="B134" s="291"/>
      <x:c r="C134" s="291"/>
      <x:c r="D134" s="291"/>
      <x:c r="E134" s="291" t="str">
        <x:v>Current / non-current</x:v>
      </x:c>
      <x:c r="F134" s="291"/>
      <x:c r="G134" s="291"/>
    </x:row>
    <x:row r="135">
      <x:c r="A135" s="248" t="str">
        <x:v>Total Total outstanding dues of micro enterprises and small enterprises</x:v>
      </x:c>
      <x:c r="B135" s="261" t="n">
        <x:f>SUM(B132:B134)</x:f>
        <x:v>0</x:v>
      </x:c>
      <x:c r="C135" s="261" t="n">
        <x:f>SUM(C132:C134)</x:f>
        <x:v>0</x:v>
      </x:c>
      <x:c r="D135" s="261"/>
      <x:c r="E135" s="261" t="str">
        <x:v>Current / non-current</x:v>
      </x:c>
      <x:c r="F135" s="261"/>
      <x:c r="G135" s="261"/>
    </x:row>
    <x:row r="136">
      <x:c r="A136" s="248" t="str">
        <x:v>Note 11 — Total outstanding dues of creditors other than micro enterprises and small enterprises</x:v>
      </x:c>
      <x:c r="B136" s="261"/>
      <x:c r="C136" s="261"/>
      <x:c r="D136" s="261"/>
      <x:c r="E136" s="261"/>
      <x:c r="F136" s="261"/>
      <x:c r="G136" s="261"/>
    </x:row>
    <x:row r="137">
      <x:c r="A137" s="248" t="str">
        <x:v>Particulars</x:v>
      </x:c>
      <x:c r="B137" s="261" t="str">
        <x:v>Current Year</x:v>
      </x:c>
      <x:c r="C137" s="261" t="str">
        <x:v>Previous Year</x:v>
      </x:c>
      <x:c r="D137" s="261" t="str">
        <x:v>Mapping / Source</x:v>
      </x:c>
      <x:c r="E137" s="261" t="str">
        <x:v>Classification</x:v>
      </x:c>
      <x:c r="F137" s="261" t="str">
        <x:v>Remarks</x:v>
      </x:c>
      <x:c r="G137" s="261"/>
    </x:row>
    <x:row r="138">
      <x:c r="A138" s="276" t="str">
        <x:v>MSME principal outstanding</x:v>
      </x:c>
      <x:c r="B138" s="277"/>
      <x:c r="C138" s="277"/>
      <x:c r="D138" s="277"/>
      <x:c r="E138" s="277" t="str">
        <x:v>Current / non-current</x:v>
      </x:c>
      <x:c r="F138" s="277"/>
      <x:c r="G138" s="277"/>
    </x:row>
    <x:row r="139">
      <x:c r="A139" s="279" t="str">
        <x:v>Interest due to MSME</x:v>
      </x:c>
      <x:c r="B139" s="290"/>
      <x:c r="C139" s="290"/>
      <x:c r="D139" s="290"/>
      <x:c r="E139" s="290" t="str">
        <x:v>Current / non-current</x:v>
      </x:c>
      <x:c r="F139" s="290"/>
      <x:c r="G139" s="290"/>
    </x:row>
    <x:row r="140">
      <x:c r="A140" s="255" t="str">
        <x:v>Other MSME dues</x:v>
      </x:c>
      <x:c r="B140" s="291"/>
      <x:c r="C140" s="291"/>
      <x:c r="D140" s="291"/>
      <x:c r="E140" s="291" t="str">
        <x:v>Current / non-current</x:v>
      </x:c>
      <x:c r="F140" s="291"/>
      <x:c r="G140" s="291"/>
    </x:row>
    <x:row r="141">
      <x:c r="A141" s="248" t="str">
        <x:v>Total Total outstanding dues of creditors other than micro enterprises and small enterprises</x:v>
      </x:c>
      <x:c r="B141" s="261" t="n">
        <x:f>SUM(B138:B140)</x:f>
        <x:v>0</x:v>
      </x:c>
      <x:c r="C141" s="261" t="n">
        <x:f>SUM(C138:C140)</x:f>
        <x:v>0</x:v>
      </x:c>
      <x:c r="D141" s="261"/>
      <x:c r="E141" s="261" t="str">
        <x:v>Current / non-current</x:v>
      </x:c>
      <x:c r="F141" s="261"/>
      <x:c r="G141" s="261"/>
    </x:row>
    <x:row r="142">
      <x:c r="A142" s="248" t="str">
        <x:v>Note 12 — Other current liabilities</x:v>
      </x:c>
      <x:c r="B142" s="261"/>
      <x:c r="C142" s="261"/>
      <x:c r="D142" s="261"/>
      <x:c r="E142" s="261"/>
      <x:c r="F142" s="261"/>
      <x:c r="G142" s="261"/>
    </x:row>
    <x:row r="143">
      <x:c r="A143" s="248" t="str">
        <x:v>Particulars</x:v>
      </x:c>
      <x:c r="B143" s="261" t="str">
        <x:v>Current Year</x:v>
      </x:c>
      <x:c r="C143" s="261" t="str">
        <x:v>Previous Year</x:v>
      </x:c>
      <x:c r="D143" s="261" t="str">
        <x:v>Mapping / Source</x:v>
      </x:c>
      <x:c r="E143" s="261" t="str">
        <x:v>Classification</x:v>
      </x:c>
      <x:c r="F143" s="261" t="str">
        <x:v>Remarks</x:v>
      </x:c>
      <x:c r="G143" s="261"/>
    </x:row>
    <x:row r="144">
      <x:c r="A144" s="276" t="str">
        <x:v>Statutory dues</x:v>
      </x:c>
      <x:c r="B144" s="277"/>
      <x:c r="C144" s="277"/>
      <x:c r="D144" s="277"/>
      <x:c r="E144" s="277" t="str">
        <x:v>Current / non-current</x:v>
      </x:c>
      <x:c r="F144" s="277"/>
      <x:c r="G144" s="277"/>
    </x:row>
    <x:row r="145">
      <x:c r="A145" s="279" t="str">
        <x:v>Advances from customers</x:v>
      </x:c>
      <x:c r="B145" s="290"/>
      <x:c r="C145" s="290"/>
      <x:c r="D145" s="290"/>
      <x:c r="E145" s="290" t="str">
        <x:v>Current / non-current</x:v>
      </x:c>
      <x:c r="F145" s="290"/>
      <x:c r="G145" s="290"/>
    </x:row>
    <x:row r="146">
      <x:c r="A146" s="255" t="str">
        <x:v>Accrued expenses</x:v>
      </x:c>
      <x:c r="B146" s="291"/>
      <x:c r="C146" s="291"/>
      <x:c r="D146" s="291"/>
      <x:c r="E146" s="291" t="str">
        <x:v>Current / non-current</x:v>
      </x:c>
      <x:c r="F146" s="291"/>
      <x:c r="G146" s="291"/>
    </x:row>
    <x:row r="147">
      <x:c r="A147" s="248" t="str">
        <x:v>Other liabilities</x:v>
      </x:c>
      <x:c r="B147" s="261"/>
      <x:c r="C147" s="261"/>
      <x:c r="D147" s="261"/>
      <x:c r="E147" s="261" t="str">
        <x:v>Current / non-current</x:v>
      </x:c>
      <x:c r="F147" s="261"/>
      <x:c r="G147" s="261"/>
    </x:row>
    <x:row r="148">
      <x:c r="A148" s="248" t="str">
        <x:v>Total Other current liabilities</x:v>
      </x:c>
      <x:c r="B148" s="261" t="n">
        <x:f>SUM(B144:B147)</x:f>
        <x:v>0</x:v>
      </x:c>
      <x:c r="C148" s="261" t="n">
        <x:f>SUM(C144:C147)</x:f>
        <x:v>0</x:v>
      </x:c>
      <x:c r="D148" s="261"/>
      <x:c r="E148" s="261" t="str">
        <x:v>Current / non-current</x:v>
      </x:c>
      <x:c r="F148" s="261"/>
      <x:c r="G148" s="261"/>
    </x:row>
    <x:row r="149">
      <x:c r="A149" s="248" t="str">
        <x:v>Note 13 — Short-term provisions</x:v>
      </x:c>
      <x:c r="B149" s="261"/>
      <x:c r="C149" s="261"/>
      <x:c r="D149" s="261"/>
      <x:c r="E149" s="261"/>
      <x:c r="F149" s="261"/>
      <x:c r="G149" s="261"/>
    </x:row>
    <x:row r="150">
      <x:c r="A150" s="248" t="str">
        <x:v>Particulars</x:v>
      </x:c>
      <x:c r="B150" s="261" t="str">
        <x:v>Current Year</x:v>
      </x:c>
      <x:c r="C150" s="261" t="str">
        <x:v>Previous Year</x:v>
      </x:c>
      <x:c r="D150" s="261" t="str">
        <x:v>Mapping / Source</x:v>
      </x:c>
      <x:c r="E150" s="261" t="str">
        <x:v>Classification</x:v>
      </x:c>
      <x:c r="F150" s="261" t="str">
        <x:v>Remarks</x:v>
      </x:c>
      <x:c r="G150" s="261"/>
    </x:row>
    <x:row r="151">
      <x:c r="A151" s="276" t="str">
        <x:v>Employee benefit provisions</x:v>
      </x:c>
      <x:c r="B151" s="277"/>
      <x:c r="C151" s="277"/>
      <x:c r="D151" s="277"/>
      <x:c r="E151" s="277" t="str">
        <x:v>Current / non-current</x:v>
      </x:c>
      <x:c r="F151" s="277"/>
      <x:c r="G151" s="277"/>
    </x:row>
    <x:row r="152">
      <x:c r="A152" s="279" t="str">
        <x:v>Tax provisions</x:v>
      </x:c>
      <x:c r="B152" s="290"/>
      <x:c r="C152" s="290"/>
      <x:c r="D152" s="290"/>
      <x:c r="E152" s="290" t="str">
        <x:v>Current / non-current</x:v>
      </x:c>
      <x:c r="F152" s="290"/>
      <x:c r="G152" s="290"/>
    </x:row>
    <x:row r="153">
      <x:c r="A153" s="255" t="str">
        <x:v>Warranty / contractual provisions</x:v>
      </x:c>
      <x:c r="B153" s="291"/>
      <x:c r="C153" s="291"/>
      <x:c r="D153" s="291"/>
      <x:c r="E153" s="291" t="str">
        <x:v>Current / non-current</x:v>
      </x:c>
      <x:c r="F153" s="291"/>
      <x:c r="G153" s="291"/>
    </x:row>
    <x:row r="154">
      <x:c r="A154" s="248" t="str">
        <x:v>Other provisions</x:v>
      </x:c>
      <x:c r="B154" s="261"/>
      <x:c r="C154" s="261"/>
      <x:c r="D154" s="261"/>
      <x:c r="E154" s="261" t="str">
        <x:v>Current / non-current</x:v>
      </x:c>
      <x:c r="F154" s="261"/>
      <x:c r="G154" s="261"/>
    </x:row>
    <x:row r="155">
      <x:c r="A155" s="248" t="str">
        <x:v>Total Short-term provisions</x:v>
      </x:c>
      <x:c r="B155" s="261" t="n">
        <x:f>SUM(B151:B154)</x:f>
        <x:v>0</x:v>
      </x:c>
      <x:c r="C155" s="261" t="n">
        <x:f>SUM(C151:C154)</x:f>
        <x:v>0</x:v>
      </x:c>
      <x:c r="D155" s="261"/>
      <x:c r="E155" s="261" t="str">
        <x:v>Current / non-current</x:v>
      </x:c>
      <x:c r="F155" s="261"/>
      <x:c r="G155" s="261"/>
    </x:row>
    <x:row r="156">
      <x:c r="A156" s="248" t="str">
        <x:v>Note 14 — Property, Plant and Equipment</x:v>
      </x:c>
      <x:c r="B156" s="261"/>
      <x:c r="C156" s="261"/>
      <x:c r="D156" s="261"/>
      <x:c r="E156" s="261"/>
      <x:c r="F156" s="261"/>
      <x:c r="G156" s="261"/>
    </x:row>
    <x:row r="157">
      <x:c r="A157" s="276" t="str">
        <x:v>Particulars</x:v>
      </x:c>
      <x:c r="B157" s="277" t="str">
        <x:v>Current Year</x:v>
      </x:c>
      <x:c r="C157" s="277" t="str">
        <x:v>Previous Year</x:v>
      </x:c>
      <x:c r="D157" s="277" t="str">
        <x:v>Mapping / Source</x:v>
      </x:c>
      <x:c r="E157" s="277" t="str">
        <x:v>Classification</x:v>
      </x:c>
      <x:c r="F157" s="277" t="str">
        <x:v>Remarks</x:v>
      </x:c>
      <x:c r="G157" s="277"/>
    </x:row>
    <x:row r="158">
      <x:c r="A158" s="279" t="str">
        <x:v>Land</x:v>
      </x:c>
      <x:c r="B158" s="290"/>
      <x:c r="C158" s="290"/>
      <x:c r="D158" s="290"/>
      <x:c r="E158" s="290" t="str">
        <x:v>Current / non-current</x:v>
      </x:c>
      <x:c r="F158" s="290"/>
      <x:c r="G158" s="290"/>
    </x:row>
    <x:row r="159">
      <x:c r="A159" s="255" t="str">
        <x:v>Buildings</x:v>
      </x:c>
      <x:c r="B159" s="291"/>
      <x:c r="C159" s="291"/>
      <x:c r="D159" s="291"/>
      <x:c r="E159" s="291" t="str">
        <x:v>Current / non-current</x:v>
      </x:c>
      <x:c r="F159" s="291"/>
      <x:c r="G159" s="291"/>
    </x:row>
    <x:row r="160">
      <x:c r="A160" s="248" t="str">
        <x:v>Plant and equipment</x:v>
      </x:c>
      <x:c r="B160" s="261"/>
      <x:c r="C160" s="261"/>
      <x:c r="D160" s="261"/>
      <x:c r="E160" s="261" t="str">
        <x:v>Current / non-current</x:v>
      </x:c>
      <x:c r="F160" s="261"/>
      <x:c r="G160" s="261"/>
    </x:row>
    <x:row r="161">
      <x:c r="A161" s="248" t="str">
        <x:v>Furniture and fixtures</x:v>
      </x:c>
      <x:c r="B161" s="261"/>
      <x:c r="C161" s="261"/>
      <x:c r="D161" s="261"/>
      <x:c r="E161" s="261" t="str">
        <x:v>Current / non-current</x:v>
      </x:c>
      <x:c r="F161" s="261"/>
      <x:c r="G161" s="261"/>
    </x:row>
    <x:row r="162">
      <x:c r="A162" s="248" t="str">
        <x:v>Vehicles</x:v>
      </x:c>
      <x:c r="B162" s="261"/>
      <x:c r="C162" s="261"/>
      <x:c r="D162" s="261"/>
      <x:c r="E162" s="261" t="str">
        <x:v>Current / non-current</x:v>
      </x:c>
      <x:c r="F162" s="261"/>
      <x:c r="G162" s="261"/>
    </x:row>
    <x:row r="163">
      <x:c r="A163" s="248" t="str">
        <x:v>Office equipment / computers</x:v>
      </x:c>
      <x:c r="B163" s="261"/>
      <x:c r="C163" s="261"/>
      <x:c r="D163" s="261"/>
      <x:c r="E163" s="261" t="str">
        <x:v>Current / non-current</x:v>
      </x:c>
      <x:c r="F163" s="261"/>
      <x:c r="G163" s="261"/>
    </x:row>
    <x:row r="164">
      <x:c r="A164" s="276" t="str">
        <x:v>Total Property, Plant and Equipment</x:v>
      </x:c>
      <x:c r="B164" s="277" t="n">
        <x:f>SUM(B158:B163)</x:f>
        <x:v>0</x:v>
      </x:c>
      <x:c r="C164" s="277" t="n">
        <x:f>SUM(C158:C163)</x:f>
        <x:v>0</x:v>
      </x:c>
      <x:c r="D164" s="277"/>
      <x:c r="E164" s="277" t="str">
        <x:v>Current / non-current</x:v>
      </x:c>
      <x:c r="F164" s="277"/>
      <x:c r="G164" s="277"/>
    </x:row>
    <x:row r="165">
      <x:c r="A165" s="279" t="str">
        <x:v>Note 15 — Intangible assets</x:v>
      </x:c>
      <x:c r="B165" s="290"/>
      <x:c r="C165" s="290"/>
      <x:c r="D165" s="290"/>
      <x:c r="E165" s="290"/>
      <x:c r="F165" s="290"/>
      <x:c r="G165" s="290"/>
    </x:row>
    <x:row r="166">
      <x:c r="A166" s="255" t="str">
        <x:v>Particulars</x:v>
      </x:c>
      <x:c r="B166" s="291" t="str">
        <x:v>Current Year</x:v>
      </x:c>
      <x:c r="C166" s="291" t="str">
        <x:v>Previous Year</x:v>
      </x:c>
      <x:c r="D166" s="291" t="str">
        <x:v>Mapping / Source</x:v>
      </x:c>
      <x:c r="E166" s="291" t="str">
        <x:v>Classification</x:v>
      </x:c>
      <x:c r="F166" s="291" t="str">
        <x:v>Remarks</x:v>
      </x:c>
      <x:c r="G166" s="291"/>
    </x:row>
    <x:row r="167">
      <x:c r="A167" s="248" t="str">
        <x:v>Software</x:v>
      </x:c>
      <x:c r="B167" s="261"/>
      <x:c r="C167" s="261"/>
      <x:c r="D167" s="261"/>
      <x:c r="E167" s="261" t="str">
        <x:v>Current / non-current</x:v>
      </x:c>
      <x:c r="F167" s="261"/>
      <x:c r="G167" s="261"/>
    </x:row>
    <x:row r="168">
      <x:c r="A168" s="248" t="str">
        <x:v>Licences and franchises</x:v>
      </x:c>
      <x:c r="B168" s="261"/>
      <x:c r="C168" s="261"/>
      <x:c r="D168" s="261"/>
      <x:c r="E168" s="261" t="str">
        <x:v>Current / non-current</x:v>
      </x:c>
      <x:c r="F168" s="261"/>
      <x:c r="G168" s="261"/>
    </x:row>
    <x:row r="169">
      <x:c r="A169" s="248" t="str">
        <x:v>Brands / trademarks</x:v>
      </x:c>
      <x:c r="B169" s="261"/>
      <x:c r="C169" s="261"/>
      <x:c r="D169" s="261"/>
      <x:c r="E169" s="261" t="str">
        <x:v>Current / non-current</x:v>
      </x:c>
      <x:c r="F169" s="261"/>
      <x:c r="G169" s="261"/>
    </x:row>
    <x:row r="170">
      <x:c r="A170" s="248" t="str">
        <x:v>Other intangible assets</x:v>
      </x:c>
      <x:c r="B170" s="261"/>
      <x:c r="C170" s="261"/>
      <x:c r="D170" s="261"/>
      <x:c r="E170" s="261" t="str">
        <x:v>Current / non-current</x:v>
      </x:c>
      <x:c r="F170" s="261"/>
      <x:c r="G170" s="261"/>
    </x:row>
    <x:row r="171">
      <x:c r="A171" s="276" t="str">
        <x:v>Total Intangible assets</x:v>
      </x:c>
      <x:c r="B171" s="277" t="n">
        <x:f>SUM(B167:B170)</x:f>
        <x:v>0</x:v>
      </x:c>
      <x:c r="C171" s="277" t="n">
        <x:f>SUM(C167:C170)</x:f>
        <x:v>0</x:v>
      </x:c>
      <x:c r="D171" s="277"/>
      <x:c r="E171" s="277" t="str">
        <x:v>Current / non-current</x:v>
      </x:c>
      <x:c r="F171" s="277"/>
      <x:c r="G171" s="277"/>
    </x:row>
    <x:row r="172">
      <x:c r="A172" s="279" t="str">
        <x:v>Note 16 — Capital work-in-progress</x:v>
      </x:c>
      <x:c r="B172" s="290"/>
      <x:c r="C172" s="290"/>
      <x:c r="D172" s="290"/>
      <x:c r="E172" s="290"/>
      <x:c r="F172" s="290"/>
      <x:c r="G172" s="290"/>
    </x:row>
    <x:row r="173">
      <x:c r="A173" s="255" t="str">
        <x:v>Particulars</x:v>
      </x:c>
      <x:c r="B173" s="291" t="str">
        <x:v>Current Year</x:v>
      </x:c>
      <x:c r="C173" s="291" t="str">
        <x:v>Previous Year</x:v>
      </x:c>
      <x:c r="D173" s="291" t="str">
        <x:v>Mapping / Source</x:v>
      </x:c>
      <x:c r="E173" s="291" t="str">
        <x:v>Classification</x:v>
      </x:c>
      <x:c r="F173" s="291" t="str">
        <x:v>Remarks</x:v>
      </x:c>
      <x:c r="G173" s="291"/>
    </x:row>
    <x:row r="174">
      <x:c r="A174" s="248" t="str">
        <x:v>Projects in progress</x:v>
      </x:c>
      <x:c r="B174" s="261"/>
      <x:c r="C174" s="261"/>
      <x:c r="D174" s="261"/>
      <x:c r="E174" s="261" t="str">
        <x:v>Current / non-current</x:v>
      </x:c>
      <x:c r="F174" s="261"/>
      <x:c r="G174" s="261"/>
    </x:row>
    <x:row r="175">
      <x:c r="A175" s="248" t="str">
        <x:v>Projects temporarily suspended</x:v>
      </x:c>
      <x:c r="B175" s="261"/>
      <x:c r="C175" s="261"/>
      <x:c r="D175" s="261"/>
      <x:c r="E175" s="261" t="str">
        <x:v>Current / non-current</x:v>
      </x:c>
      <x:c r="F175" s="261"/>
      <x:c r="G175" s="261"/>
    </x:row>
    <x:row r="176">
      <x:c r="A176" s="248" t="str">
        <x:v>Capital advances transferred / adjustments</x:v>
      </x:c>
      <x:c r="B176" s="261"/>
      <x:c r="C176" s="261"/>
      <x:c r="D176" s="261"/>
      <x:c r="E176" s="261" t="str">
        <x:v>Current / non-current</x:v>
      </x:c>
      <x:c r="F176" s="261"/>
      <x:c r="G176" s="261"/>
    </x:row>
    <x:row r="177">
      <x:c r="A177" s="248" t="str">
        <x:v>Total Capital work-in-progress</x:v>
      </x:c>
      <x:c r="B177" s="261" t="n">
        <x:f>SUM(B174:B176)</x:f>
        <x:v>0</x:v>
      </x:c>
      <x:c r="C177" s="261" t="n">
        <x:f>SUM(C174:C176)</x:f>
        <x:v>0</x:v>
      </x:c>
      <x:c r="D177" s="261"/>
      <x:c r="E177" s="261" t="str">
        <x:v>Current / non-current</x:v>
      </x:c>
      <x:c r="F177" s="261"/>
      <x:c r="G177" s="261"/>
    </x:row>
    <x:row r="178">
      <x:c r="A178" s="276" t="str">
        <x:v>Note 17 — Intangible assets under development</x:v>
      </x:c>
      <x:c r="B178" s="277"/>
      <x:c r="C178" s="277"/>
      <x:c r="D178" s="277"/>
      <x:c r="E178" s="277"/>
      <x:c r="F178" s="277"/>
      <x:c r="G178" s="277"/>
    </x:row>
    <x:row r="179">
      <x:c r="A179" s="279" t="str">
        <x:v>Particulars</x:v>
      </x:c>
      <x:c r="B179" s="290" t="str">
        <x:v>Current Year</x:v>
      </x:c>
      <x:c r="C179" s="290" t="str">
        <x:v>Previous Year</x:v>
      </x:c>
      <x:c r="D179" s="290" t="str">
        <x:v>Mapping / Source</x:v>
      </x:c>
      <x:c r="E179" s="290" t="str">
        <x:v>Classification</x:v>
      </x:c>
      <x:c r="F179" s="290" t="str">
        <x:v>Remarks</x:v>
      </x:c>
      <x:c r="G179" s="290"/>
    </x:row>
    <x:row r="180">
      <x:c r="A180" s="255" t="str">
        <x:v>Software under development</x:v>
      </x:c>
      <x:c r="B180" s="291"/>
      <x:c r="C180" s="291"/>
      <x:c r="D180" s="291"/>
      <x:c r="E180" s="291" t="str">
        <x:v>Current / non-current</x:v>
      </x:c>
      <x:c r="F180" s="291"/>
      <x:c r="G180" s="291"/>
    </x:row>
    <x:row r="181">
      <x:c r="A181" s="248" t="str">
        <x:v>Licences / rights under development</x:v>
      </x:c>
      <x:c r="B181" s="261"/>
      <x:c r="C181" s="261"/>
      <x:c r="D181" s="261"/>
      <x:c r="E181" s="261" t="str">
        <x:v>Current / non-current</x:v>
      </x:c>
      <x:c r="F181" s="261"/>
      <x:c r="G181" s="261"/>
    </x:row>
    <x:row r="182">
      <x:c r="A182" s="248" t="str">
        <x:v>Other intangible projects</x:v>
      </x:c>
      <x:c r="B182" s="261"/>
      <x:c r="C182" s="261"/>
      <x:c r="D182" s="261"/>
      <x:c r="E182" s="261" t="str">
        <x:v>Current / non-current</x:v>
      </x:c>
      <x:c r="F182" s="261"/>
      <x:c r="G182" s="261"/>
    </x:row>
    <x:row r="183">
      <x:c r="A183" s="248" t="str">
        <x:v>Total Intangible assets under development</x:v>
      </x:c>
      <x:c r="B183" s="261" t="n">
        <x:f>SUM(B180:B182)</x:f>
        <x:v>0</x:v>
      </x:c>
      <x:c r="C183" s="261" t="n">
        <x:f>SUM(C180:C182)</x:f>
        <x:v>0</x:v>
      </x:c>
      <x:c r="D183" s="261"/>
      <x:c r="E183" s="261" t="str">
        <x:v>Current / non-current</x:v>
      </x:c>
      <x:c r="F183" s="261"/>
      <x:c r="G183" s="261"/>
    </x:row>
    <x:row r="184">
      <x:c r="A184" s="248" t="str">
        <x:v>Note 18 — Non-current investments</x:v>
      </x:c>
      <x:c r="B184" s="261"/>
      <x:c r="C184" s="261"/>
      <x:c r="D184" s="261"/>
      <x:c r="E184" s="261"/>
      <x:c r="F184" s="261"/>
      <x:c r="G184" s="261"/>
    </x:row>
    <x:row r="185">
      <x:c r="A185" s="248" t="str">
        <x:v>Particulars</x:v>
      </x:c>
      <x:c r="B185" s="261" t="str">
        <x:v>Current Year</x:v>
      </x:c>
      <x:c r="C185" s="261" t="str">
        <x:v>Previous Year</x:v>
      </x:c>
      <x:c r="D185" s="261" t="str">
        <x:v>Mapping / Source</x:v>
      </x:c>
      <x:c r="E185" s="261" t="str">
        <x:v>Classification</x:v>
      </x:c>
      <x:c r="F185" s="261" t="str">
        <x:v>Remarks</x:v>
      </x:c>
      <x:c r="G185" s="261"/>
    </x:row>
    <x:row r="186">
      <x:c r="A186" s="248" t="str">
        <x:v>Quoted investments</x:v>
      </x:c>
      <x:c r="B186" s="261"/>
      <x:c r="C186" s="261"/>
      <x:c r="D186" s="261"/>
      <x:c r="E186" s="261" t="str">
        <x:v>Current / non-current</x:v>
      </x:c>
      <x:c r="F186" s="261"/>
      <x:c r="G186" s="261"/>
    </x:row>
    <x:row r="187">
      <x:c r="A187" s="276" t="str">
        <x:v>Unquoted investments</x:v>
      </x:c>
      <x:c r="B187" s="277"/>
      <x:c r="C187" s="277"/>
      <x:c r="D187" s="277"/>
      <x:c r="E187" s="277" t="str">
        <x:v>Current / non-current</x:v>
      </x:c>
      <x:c r="F187" s="277"/>
      <x:c r="G187" s="277"/>
    </x:row>
    <x:row r="188">
      <x:c r="A188" s="279" t="str">
        <x:v>Investments in subsidiaries / associates / JVs</x:v>
      </x:c>
      <x:c r="B188" s="290"/>
      <x:c r="C188" s="290"/>
      <x:c r="D188" s="290"/>
      <x:c r="E188" s="290" t="str">
        <x:v>Current / non-current</x:v>
      </x:c>
      <x:c r="F188" s="290"/>
      <x:c r="G188" s="290"/>
    </x:row>
    <x:row r="189">
      <x:c r="A189" s="255" t="str">
        <x:v>Less: Impairment</x:v>
      </x:c>
      <x:c r="B189" s="291"/>
      <x:c r="C189" s="291"/>
      <x:c r="D189" s="291"/>
      <x:c r="E189" s="291" t="str">
        <x:v>Current / non-current</x:v>
      </x:c>
      <x:c r="F189" s="291"/>
      <x:c r="G189" s="291"/>
    </x:row>
    <x:row r="190">
      <x:c r="A190" s="248" t="str">
        <x:v>Total Non-current investments</x:v>
      </x:c>
      <x:c r="B190" s="261" t="n">
        <x:f>SUM(B186:B189)</x:f>
        <x:v>0</x:v>
      </x:c>
      <x:c r="C190" s="261" t="n">
        <x:f>SUM(C186:C189)</x:f>
        <x:v>0</x:v>
      </x:c>
      <x:c r="D190" s="261"/>
      <x:c r="E190" s="261" t="str">
        <x:v>Current / non-current</x:v>
      </x:c>
      <x:c r="F190" s="261"/>
      <x:c r="G190" s="261"/>
    </x:row>
    <x:row r="191">
      <x:c r="A191" s="248" t="str">
        <x:v>Note 19 — Deferred tax assets (Net)</x:v>
      </x:c>
      <x:c r="B191" s="261"/>
      <x:c r="C191" s="261"/>
      <x:c r="D191" s="261"/>
      <x:c r="E191" s="261"/>
      <x:c r="F191" s="261"/>
      <x:c r="G191" s="261"/>
    </x:row>
    <x:row r="192">
      <x:c r="A192" s="248" t="str">
        <x:v>Particulars</x:v>
      </x:c>
      <x:c r="B192" s="261" t="str">
        <x:v>Current Year</x:v>
      </x:c>
      <x:c r="C192" s="261" t="str">
        <x:v>Previous Year</x:v>
      </x:c>
      <x:c r="D192" s="261" t="str">
        <x:v>Mapping / Source</x:v>
      </x:c>
      <x:c r="E192" s="261" t="str">
        <x:v>Classification</x:v>
      </x:c>
      <x:c r="F192" s="261" t="str">
        <x:v>Remarks</x:v>
      </x:c>
      <x:c r="G192" s="261"/>
    </x:row>
    <x:row r="193">
      <x:c r="A193" s="248" t="str">
        <x:v>Timing differences / temporary differences</x:v>
      </x:c>
      <x:c r="B193" s="261"/>
      <x:c r="C193" s="261"/>
      <x:c r="D193" s="261"/>
      <x:c r="E193" s="261" t="str">
        <x:v>Current / non-current</x:v>
      </x:c>
      <x:c r="F193" s="261"/>
      <x:c r="G193" s="261"/>
    </x:row>
    <x:row r="194">
      <x:c r="A194" s="248" t="str">
        <x:v>Unused tax losses / credits</x:v>
      </x:c>
      <x:c r="B194" s="261"/>
      <x:c r="C194" s="261"/>
      <x:c r="D194" s="261"/>
      <x:c r="E194" s="261" t="str">
        <x:v>Current / non-current</x:v>
      </x:c>
      <x:c r="F194" s="261"/>
      <x:c r="G194" s="261"/>
    </x:row>
    <x:row r="195">
      <x:c r="A195" s="276" t="str">
        <x:v>Other deferred tax balances</x:v>
      </x:c>
      <x:c r="B195" s="277"/>
      <x:c r="C195" s="277"/>
      <x:c r="D195" s="277"/>
      <x:c r="E195" s="277" t="str">
        <x:v>Current / non-current</x:v>
      </x:c>
      <x:c r="F195" s="277"/>
      <x:c r="G195" s="277"/>
    </x:row>
    <x:row r="196">
      <x:c r="A196" s="279" t="str">
        <x:v>Total Deferred tax assets (Net)</x:v>
      </x:c>
      <x:c r="B196" s="290" t="n">
        <x:f>SUM(B193:B195)</x:f>
        <x:v>0</x:v>
      </x:c>
      <x:c r="C196" s="290" t="n">
        <x:f>SUM(C193:C195)</x:f>
        <x:v>0</x:v>
      </x:c>
      <x:c r="D196" s="290"/>
      <x:c r="E196" s="290" t="str">
        <x:v>Current / non-current</x:v>
      </x:c>
      <x:c r="F196" s="290"/>
      <x:c r="G196" s="290"/>
    </x:row>
    <x:row r="197">
      <x:c r="A197" s="255" t="str">
        <x:v>Note 20 — Long-term loans and advances</x:v>
      </x:c>
      <x:c r="B197" s="291"/>
      <x:c r="C197" s="291"/>
      <x:c r="D197" s="291"/>
      <x:c r="E197" s="291"/>
      <x:c r="F197" s="291"/>
      <x:c r="G197" s="291"/>
    </x:row>
    <x:row r="198">
      <x:c r="A198" s="248" t="str">
        <x:v>Particulars</x:v>
      </x:c>
      <x:c r="B198" s="261" t="str">
        <x:v>Current Year</x:v>
      </x:c>
      <x:c r="C198" s="261" t="str">
        <x:v>Previous Year</x:v>
      </x:c>
      <x:c r="D198" s="261" t="str">
        <x:v>Mapping / Source</x:v>
      </x:c>
      <x:c r="E198" s="261" t="str">
        <x:v>Classification</x:v>
      </x:c>
      <x:c r="F198" s="261" t="str">
        <x:v>Remarks</x:v>
      </x:c>
      <x:c r="G198" s="261"/>
    </x:row>
    <x:row r="199">
      <x:c r="A199" s="248" t="str">
        <x:v>Secured, considered good</x:v>
      </x:c>
      <x:c r="B199" s="261"/>
      <x:c r="C199" s="261"/>
      <x:c r="D199" s="261"/>
      <x:c r="E199" s="261" t="str">
        <x:v>Current / non-current</x:v>
      </x:c>
      <x:c r="F199" s="261"/>
      <x:c r="G199" s="261"/>
    </x:row>
    <x:row r="200">
      <x:c r="A200" s="248" t="str">
        <x:v>Unsecured, considered good</x:v>
      </x:c>
      <x:c r="B200" s="261"/>
      <x:c r="C200" s="261"/>
      <x:c r="D200" s="261"/>
      <x:c r="E200" s="261" t="str">
        <x:v>Current / non-current</x:v>
      </x:c>
      <x:c r="F200" s="261"/>
      <x:c r="G200" s="261"/>
    </x:row>
    <x:row r="201">
      <x:c r="A201" s="248" t="str">
        <x:v>Credit impaired / doubtful</x:v>
      </x:c>
      <x:c r="B201" s="261"/>
      <x:c r="C201" s="261"/>
      <x:c r="D201" s="261"/>
      <x:c r="E201" s="261" t="str">
        <x:v>Current / non-current</x:v>
      </x:c>
      <x:c r="F201" s="261"/>
      <x:c r="G201" s="261"/>
    </x:row>
    <x:row r="202">
      <x:c r="A202" s="276" t="str">
        <x:v>Less: Allowance / impairment</x:v>
      </x:c>
      <x:c r="B202" s="277"/>
      <x:c r="C202" s="277"/>
      <x:c r="D202" s="277"/>
      <x:c r="E202" s="277" t="str">
        <x:v>Current / non-current</x:v>
      </x:c>
      <x:c r="F202" s="277"/>
      <x:c r="G202" s="277"/>
    </x:row>
    <x:row r="203">
      <x:c r="A203" s="279" t="str">
        <x:v>Total Long-term loans and advances</x:v>
      </x:c>
      <x:c r="B203" s="290" t="n">
        <x:f>SUM(B199:B202)</x:f>
        <x:v>0</x:v>
      </x:c>
      <x:c r="C203" s="290" t="n">
        <x:f>SUM(C199:C202)</x:f>
        <x:v>0</x:v>
      </x:c>
      <x:c r="D203" s="290"/>
      <x:c r="E203" s="290" t="str">
        <x:v>Current / non-current</x:v>
      </x:c>
      <x:c r="F203" s="290"/>
      <x:c r="G203" s="290"/>
    </x:row>
    <x:row r="204">
      <x:c r="A204" s="255" t="str">
        <x:v>Note 21 — Other non-current assets</x:v>
      </x:c>
      <x:c r="B204" s="291"/>
      <x:c r="C204" s="291"/>
      <x:c r="D204" s="291"/>
      <x:c r="E204" s="291"/>
      <x:c r="F204" s="291"/>
      <x:c r="G204" s="291"/>
    </x:row>
    <x:row r="205">
      <x:c r="A205" s="248" t="str">
        <x:v>Particulars</x:v>
      </x:c>
      <x:c r="B205" s="261" t="str">
        <x:v>Current Year</x:v>
      </x:c>
      <x:c r="C205" s="261" t="str">
        <x:v>Previous Year</x:v>
      </x:c>
      <x:c r="D205" s="261" t="str">
        <x:v>Mapping / Source</x:v>
      </x:c>
      <x:c r="E205" s="261" t="str">
        <x:v>Classification</x:v>
      </x:c>
      <x:c r="F205" s="261" t="str">
        <x:v>Remarks</x:v>
      </x:c>
      <x:c r="G205" s="261"/>
    </x:row>
    <x:row r="206">
      <x:c r="A206" s="248" t="str">
        <x:v>Capital advances</x:v>
      </x:c>
      <x:c r="B206" s="261"/>
      <x:c r="C206" s="261"/>
      <x:c r="D206" s="261"/>
      <x:c r="E206" s="261" t="str">
        <x:v>Current / non-current</x:v>
      </x:c>
      <x:c r="F206" s="261"/>
      <x:c r="G206" s="261"/>
    </x:row>
    <x:row r="207">
      <x:c r="A207" s="248" t="str">
        <x:v>Prepaid expenses</x:v>
      </x:c>
      <x:c r="B207" s="261"/>
      <x:c r="C207" s="261"/>
      <x:c r="D207" s="261"/>
      <x:c r="E207" s="261" t="str">
        <x:v>Current / non-current</x:v>
      </x:c>
      <x:c r="F207" s="261"/>
      <x:c r="G207" s="261"/>
    </x:row>
    <x:row r="208">
      <x:c r="A208" s="248" t="str">
        <x:v>Balances with government authorities</x:v>
      </x:c>
      <x:c r="B208" s="261"/>
      <x:c r="C208" s="261"/>
      <x:c r="D208" s="261"/>
      <x:c r="E208" s="261" t="str">
        <x:v>Current / non-current</x:v>
      </x:c>
      <x:c r="F208" s="261"/>
      <x:c r="G208" s="261"/>
    </x:row>
    <x:row r="209">
      <x:c r="A209" s="276" t="str">
        <x:v>Other assets</x:v>
      </x:c>
      <x:c r="B209" s="277"/>
      <x:c r="C209" s="277"/>
      <x:c r="D209" s="277"/>
      <x:c r="E209" s="277" t="str">
        <x:v>Current / non-current</x:v>
      </x:c>
      <x:c r="F209" s="277"/>
      <x:c r="G209" s="277"/>
    </x:row>
    <x:row r="210">
      <x:c r="A210" s="279" t="str">
        <x:v>Total Other non-current assets</x:v>
      </x:c>
      <x:c r="B210" s="290" t="n">
        <x:f>SUM(B206:B209)</x:f>
        <x:v>0</x:v>
      </x:c>
      <x:c r="C210" s="290" t="n">
        <x:f>SUM(C206:C209)</x:f>
        <x:v>0</x:v>
      </x:c>
      <x:c r="D210" s="290"/>
      <x:c r="E210" s="290" t="str">
        <x:v>Current / non-current</x:v>
      </x:c>
      <x:c r="F210" s="290"/>
      <x:c r="G210" s="290"/>
    </x:row>
    <x:row r="211">
      <x:c r="A211" s="255" t="str">
        <x:v>Note 22 — Current investments</x:v>
      </x:c>
      <x:c r="B211" s="291"/>
      <x:c r="C211" s="291"/>
      <x:c r="D211" s="291"/>
      <x:c r="E211" s="291"/>
      <x:c r="F211" s="291"/>
      <x:c r="G211" s="291"/>
    </x:row>
    <x:row r="212">
      <x:c r="A212" s="248" t="str">
        <x:v>Particulars</x:v>
      </x:c>
      <x:c r="B212" s="261" t="str">
        <x:v>Current Year</x:v>
      </x:c>
      <x:c r="C212" s="261" t="str">
        <x:v>Previous Year</x:v>
      </x:c>
      <x:c r="D212" s="261" t="str">
        <x:v>Mapping / Source</x:v>
      </x:c>
      <x:c r="E212" s="261" t="str">
        <x:v>Classification</x:v>
      </x:c>
      <x:c r="F212" s="261" t="str">
        <x:v>Remarks</x:v>
      </x:c>
      <x:c r="G212" s="261"/>
    </x:row>
    <x:row r="213">
      <x:c r="A213" s="248" t="str">
        <x:v>Quoted investments</x:v>
      </x:c>
      <x:c r="B213" s="261"/>
      <x:c r="C213" s="261"/>
      <x:c r="D213" s="261"/>
      <x:c r="E213" s="261" t="str">
        <x:v>Current / non-current</x:v>
      </x:c>
      <x:c r="F213" s="261"/>
      <x:c r="G213" s="261"/>
    </x:row>
    <x:row r="214">
      <x:c r="A214" s="248" t="str">
        <x:v>Unquoted investments</x:v>
      </x:c>
      <x:c r="B214" s="261"/>
      <x:c r="C214" s="261"/>
      <x:c r="D214" s="261"/>
      <x:c r="E214" s="261" t="str">
        <x:v>Current / non-current</x:v>
      </x:c>
      <x:c r="F214" s="261"/>
      <x:c r="G214" s="261"/>
    </x:row>
    <x:row r="215">
      <x:c r="A215" s="248" t="str">
        <x:v>Investments in subsidiaries / associates / JVs</x:v>
      </x:c>
      <x:c r="B215" s="261"/>
      <x:c r="C215" s="261"/>
      <x:c r="D215" s="261"/>
      <x:c r="E215" s="261" t="str">
        <x:v>Current / non-current</x:v>
      </x:c>
      <x:c r="F215" s="261"/>
      <x:c r="G215" s="261"/>
    </x:row>
    <x:row r="216">
      <x:c r="A216" s="276" t="str">
        <x:v>Less: Impairment</x:v>
      </x:c>
      <x:c r="B216" s="277"/>
      <x:c r="C216" s="277"/>
      <x:c r="D216" s="277"/>
      <x:c r="E216" s="277" t="str">
        <x:v>Current / non-current</x:v>
      </x:c>
      <x:c r="F216" s="277"/>
      <x:c r="G216" s="277"/>
    </x:row>
    <x:row r="217">
      <x:c r="A217" s="234" t="str">
        <x:v>Total Current investments</x:v>
      </x:c>
      <x:c r="B217" s="236" t="n">
        <x:f>SUM(B213:B216)</x:f>
        <x:v>0</x:v>
      </x:c>
      <x:c r="C217" s="236" t="n">
        <x:f>SUM(C213:C216)</x:f>
        <x:v>0</x:v>
      </x:c>
      <x:c r="D217" s="236"/>
      <x:c r="E217" s="236" t="str">
        <x:v>Current / non-current</x:v>
      </x:c>
      <x:c r="F217" s="236"/>
      <x:c r="G217" s="236"/>
    </x:row>
    <x:row r="218">
      <x:c r="A218" s="280" t="str">
        <x:v>Note 23 — Inventories</x:v>
      </x:c>
      <x:c r="B218" s="292"/>
      <x:c r="C218" s="292"/>
      <x:c r="D218" s="292"/>
      <x:c r="E218" s="292"/>
      <x:c r="F218" s="292"/>
      <x:c r="G218" s="261"/>
    </x:row>
    <x:row r="219">
      <x:c r="A219" s="269" t="str">
        <x:v>Particulars</x:v>
      </x:c>
      <x:c r="B219" s="293" t="str">
        <x:v>Current Year</x:v>
      </x:c>
      <x:c r="C219" s="293" t="str">
        <x:v>Previous Year</x:v>
      </x:c>
      <x:c r="D219" s="293" t="str">
        <x:v>Mapping / Source</x:v>
      </x:c>
      <x:c r="E219" s="293" t="str">
        <x:v>Classification</x:v>
      </x:c>
      <x:c r="F219" s="293" t="str">
        <x:v>Remarks</x:v>
      </x:c>
      <x:c r="G219" s="261"/>
    </x:row>
    <x:row r="220">
      <x:c r="A220" s="248" t="str">
        <x:v>Raw materials</x:v>
      </x:c>
      <x:c r="B220" s="261"/>
      <x:c r="C220" s="261"/>
      <x:c r="D220" s="261"/>
      <x:c r="E220" s="261" t="str">
        <x:v>Current / non-current</x:v>
      </x:c>
      <x:c r="F220" s="261"/>
      <x:c r="G220" s="261"/>
    </x:row>
    <x:row r="221">
      <x:c r="A221" s="248" t="str">
        <x:v>Work-in-progress</x:v>
      </x:c>
      <x:c r="B221" s="261"/>
      <x:c r="C221" s="261"/>
      <x:c r="D221" s="261"/>
      <x:c r="E221" s="261" t="str">
        <x:v>Current / non-current</x:v>
      </x:c>
      <x:c r="F221" s="261"/>
      <x:c r="G221" s="261"/>
    </x:row>
    <x:row r="222">
      <x:c r="A222" s="248" t="str">
        <x:v>Finished goods</x:v>
      </x:c>
      <x:c r="B222" s="261"/>
      <x:c r="C222" s="261"/>
      <x:c r="D222" s="261"/>
      <x:c r="E222" s="261" t="str">
        <x:v>Current / non-current</x:v>
      </x:c>
      <x:c r="F222" s="261"/>
      <x:c r="G222" s="261"/>
    </x:row>
    <x:row r="223">
      <x:c r="A223" s="248" t="str">
        <x:v>Stock-in-trade</x:v>
      </x:c>
      <x:c r="B223" s="261"/>
      <x:c r="C223" s="261"/>
      <x:c r="D223" s="261"/>
      <x:c r="E223" s="261" t="str">
        <x:v>Current / non-current</x:v>
      </x:c>
      <x:c r="F223" s="261"/>
      <x:c r="G223" s="261"/>
    </x:row>
    <x:row r="224">
      <x:c r="A224" s="248" t="str">
        <x:v>Stores and spares</x:v>
      </x:c>
      <x:c r="B224" s="261"/>
      <x:c r="C224" s="261"/>
      <x:c r="D224" s="261"/>
      <x:c r="E224" s="261" t="str">
        <x:v>Current / non-current</x:v>
      </x:c>
      <x:c r="F224" s="261"/>
      <x:c r="G224" s="261"/>
    </x:row>
    <x:row r="225">
      <x:c r="A225" s="248" t="str">
        <x:v>Other inventories</x:v>
      </x:c>
      <x:c r="B225" s="261"/>
      <x:c r="C225" s="261"/>
      <x:c r="D225" s="261"/>
      <x:c r="E225" s="261" t="str">
        <x:v>Current / non-current</x:v>
      </x:c>
      <x:c r="F225" s="261"/>
      <x:c r="G225" s="261"/>
    </x:row>
    <x:row r="226">
      <x:c r="A226" s="248" t="str">
        <x:v>Total Inventories</x:v>
      </x:c>
      <x:c r="B226" s="261" t="n">
        <x:f>SUM(B220:B225)</x:f>
        <x:v>0</x:v>
      </x:c>
      <x:c r="C226" s="261" t="n">
        <x:f>SUM(C220:C225)</x:f>
        <x:v>0</x:v>
      </x:c>
      <x:c r="D226" s="261"/>
      <x:c r="E226" s="261" t="str">
        <x:v>Current / non-current</x:v>
      </x:c>
      <x:c r="F226" s="261"/>
      <x:c r="G226" s="261"/>
    </x:row>
    <x:row r="227">
      <x:c r="A227" s="248" t="str">
        <x:v>Note 24 — Trade receivables</x:v>
      </x:c>
      <x:c r="B227" s="261"/>
      <x:c r="C227" s="261"/>
      <x:c r="D227" s="261"/>
      <x:c r="E227" s="261"/>
      <x:c r="F227" s="261"/>
      <x:c r="G227" s="261"/>
    </x:row>
    <x:row r="228">
      <x:c r="A228" s="248" t="str">
        <x:v>Particulars</x:v>
      </x:c>
      <x:c r="B228" s="261" t="str">
        <x:v>Current Year</x:v>
      </x:c>
      <x:c r="C228" s="261" t="str">
        <x:v>Previous Year</x:v>
      </x:c>
      <x:c r="D228" s="261" t="str">
        <x:v>Mapping / Source</x:v>
      </x:c>
      <x:c r="E228" s="261" t="str">
        <x:v>Classification</x:v>
      </x:c>
      <x:c r="F228" s="261" t="str">
        <x:v>Remarks</x:v>
      </x:c>
      <x:c r="G228" s="261"/>
    </x:row>
    <x:row r="229">
      <x:c r="A229" s="248" t="str">
        <x:v>Secured, considered good</x:v>
      </x:c>
      <x:c r="B229" s="261"/>
      <x:c r="C229" s="261"/>
      <x:c r="D229" s="261"/>
      <x:c r="E229" s="261" t="str">
        <x:v>Current / non-current</x:v>
      </x:c>
      <x:c r="F229" s="261"/>
      <x:c r="G229" s="261"/>
    </x:row>
    <x:row r="230">
      <x:c r="A230" s="248" t="str">
        <x:v>Unsecured, considered good</x:v>
      </x:c>
      <x:c r="B230" s="261"/>
      <x:c r="C230" s="261"/>
      <x:c r="D230" s="261"/>
      <x:c r="E230" s="261" t="str">
        <x:v>Current / non-current</x:v>
      </x:c>
      <x:c r="F230" s="261"/>
      <x:c r="G230" s="261"/>
    </x:row>
    <x:row r="231">
      <x:c r="A231" s="248" t="str">
        <x:v>Significant increase in credit risk</x:v>
      </x:c>
      <x:c r="B231" s="261"/>
      <x:c r="C231" s="261"/>
      <x:c r="D231" s="261"/>
      <x:c r="E231" s="261" t="str">
        <x:v>Current / non-current</x:v>
      </x:c>
      <x:c r="F231" s="261"/>
      <x:c r="G231" s="261"/>
    </x:row>
    <x:row r="232">
      <x:c r="A232" s="248" t="str">
        <x:v>Credit impaired</x:v>
      </x:c>
      <x:c r="B232" s="261"/>
      <x:c r="C232" s="261"/>
      <x:c r="D232" s="261"/>
      <x:c r="E232" s="261" t="str">
        <x:v>Current / non-current</x:v>
      </x:c>
      <x:c r="F232" s="261"/>
      <x:c r="G232" s="261"/>
    </x:row>
    <x:row r="233">
      <x:c r="A233" s="248" t="str">
        <x:v>Less: Allowance for doubtful debts</x:v>
      </x:c>
      <x:c r="B233" s="261"/>
      <x:c r="C233" s="261"/>
      <x:c r="D233" s="261"/>
      <x:c r="E233" s="261" t="str">
        <x:v>Current / non-current</x:v>
      </x:c>
      <x:c r="F233" s="261"/>
      <x:c r="G233" s="261"/>
    </x:row>
    <x:row r="234">
      <x:c r="A234" s="248" t="str">
        <x:v>Total Trade receivables</x:v>
      </x:c>
      <x:c r="B234" s="261" t="n">
        <x:f>SUM(B229:B233)</x:f>
        <x:v>0</x:v>
      </x:c>
      <x:c r="C234" s="261" t="n">
        <x:f>SUM(C229:C233)</x:f>
        <x:v>0</x:v>
      </x:c>
      <x:c r="D234" s="261"/>
      <x:c r="E234" s="261" t="str">
        <x:v>Current / non-current</x:v>
      </x:c>
      <x:c r="F234" s="261"/>
      <x:c r="G234" s="261"/>
    </x:row>
    <x:row r="235">
      <x:c r="A235" s="248" t="str">
        <x:v>Note 25 — Cash and cash equivalents</x:v>
      </x:c>
      <x:c r="B235" s="261"/>
      <x:c r="C235" s="261"/>
      <x:c r="D235" s="261"/>
      <x:c r="E235" s="261"/>
      <x:c r="F235" s="261"/>
      <x:c r="G235" s="261"/>
    </x:row>
    <x:row r="236">
      <x:c r="A236" s="248" t="str">
        <x:v>Particulars</x:v>
      </x:c>
      <x:c r="B236" s="261" t="str">
        <x:v>Current Year</x:v>
      </x:c>
      <x:c r="C236" s="261" t="str">
        <x:v>Previous Year</x:v>
      </x:c>
      <x:c r="D236" s="261" t="str">
        <x:v>Mapping / Source</x:v>
      </x:c>
      <x:c r="E236" s="261" t="str">
        <x:v>Classification</x:v>
      </x:c>
      <x:c r="F236" s="261" t="str">
        <x:v>Remarks</x:v>
      </x:c>
      <x:c r="G236" s="261"/>
    </x:row>
    <x:row r="237">
      <x:c r="A237" s="248" t="str">
        <x:v>Cash on hand</x:v>
      </x:c>
      <x:c r="B237" s="261"/>
      <x:c r="C237" s="261"/>
      <x:c r="D237" s="261"/>
      <x:c r="E237" s="261" t="str">
        <x:v>Current / non-current</x:v>
      </x:c>
      <x:c r="F237" s="261"/>
      <x:c r="G237" s="261"/>
    </x:row>
    <x:row r="238">
      <x:c r="A238" s="234" t="str">
        <x:v>Balances with banks</x:v>
      </x:c>
      <x:c r="B238" s="236"/>
      <x:c r="C238" s="236"/>
      <x:c r="D238" s="236"/>
      <x:c r="E238" s="236" t="str">
        <x:v>Current / non-current</x:v>
      </x:c>
      <x:c r="F238" s="236"/>
      <x:c r="G238" s="236"/>
    </x:row>
    <x:row r="239">
      <x:c r="A239" s="282" t="str">
        <x:v>Cheques / drafts on hand</x:v>
      </x:c>
      <x:c r="B239" s="294"/>
      <x:c r="C239" s="294"/>
      <x:c r="D239" s="294"/>
      <x:c r="E239" s="294" t="str">
        <x:v>Current / non-current</x:v>
      </x:c>
      <x:c r="F239" s="294"/>
      <x:c r="G239" s="261"/>
    </x:row>
    <x:row r="240">
      <x:c r="A240" t="str">
        <x:v>Short-term deposits</x:v>
      </x:c>
      <x:c r="B240"/>
      <x:c r="C240"/>
      <x:c r="D240"/>
      <x:c r="E240" t="str">
        <x:v>Current / non-current</x:v>
      </x:c>
      <x:c r="F240"/>
      <x:c r="G240"/>
    </x:row>
    <x:row r="241">
      <x:c r="A241" t="str">
        <x:v>Total Cash and cash equivalents</x:v>
      </x:c>
      <x:c r="B241" t="n">
        <x:f>SUM(B237:B240)</x:f>
        <x:v>0</x:v>
      </x:c>
      <x:c r="C241" t="n">
        <x:f>SUM(C237:C240)</x:f>
        <x:v>0</x:v>
      </x:c>
      <x:c r="D241"/>
      <x:c r="E241" t="str">
        <x:v>Current / non-current</x:v>
      </x:c>
      <x:c r="F241"/>
      <x:c r="G241"/>
    </x:row>
    <x:row r="242">
      <x:c r="A242" t="str">
        <x:v>Note 26 — Short-term loans and advances</x:v>
      </x:c>
      <x:c r="B242"/>
      <x:c r="C242"/>
      <x:c r="D242"/>
      <x:c r="E242"/>
      <x:c r="F242"/>
      <x:c r="G242"/>
    </x:row>
    <x:row r="243">
      <x:c r="A243" t="str">
        <x:v>Particulars</x:v>
      </x:c>
      <x:c r="B243" t="str">
        <x:v>Current Year</x:v>
      </x:c>
      <x:c r="C243" t="str">
        <x:v>Previous Year</x:v>
      </x:c>
      <x:c r="D243" t="str">
        <x:v>Mapping / Source</x:v>
      </x:c>
      <x:c r="E243" t="str">
        <x:v>Classification</x:v>
      </x:c>
      <x:c r="F243" t="str">
        <x:v>Remarks</x:v>
      </x:c>
      <x:c r="G243"/>
    </x:row>
    <x:row r="244">
      <x:c r="A244" t="str">
        <x:v>Secured, considered good</x:v>
      </x:c>
      <x:c r="B244"/>
      <x:c r="C244"/>
      <x:c r="D244"/>
      <x:c r="E244" t="str">
        <x:v>Current / non-current</x:v>
      </x:c>
      <x:c r="F244"/>
      <x:c r="G244"/>
    </x:row>
    <x:row r="245">
      <x:c r="A245" t="str">
        <x:v>Unsecured, considered good</x:v>
      </x:c>
      <x:c r="B245"/>
      <x:c r="C245"/>
      <x:c r="D245"/>
      <x:c r="E245" t="str">
        <x:v>Current / non-current</x:v>
      </x:c>
      <x:c r="F245"/>
      <x:c r="G245"/>
    </x:row>
    <x:row r="246">
      <x:c r="A246" t="str">
        <x:v>Credit impaired / doubtful</x:v>
      </x:c>
      <x:c r="B246"/>
      <x:c r="C246"/>
      <x:c r="D246"/>
      <x:c r="E246" t="str">
        <x:v>Current / non-current</x:v>
      </x:c>
      <x:c r="F246"/>
      <x:c r="G246"/>
    </x:row>
    <x:row r="247">
      <x:c r="A247" t="str">
        <x:v>Less: Allowance / impairment</x:v>
      </x:c>
      <x:c r="B247"/>
      <x:c r="C247"/>
      <x:c r="D247"/>
      <x:c r="E247" t="str">
        <x:v>Current / non-current</x:v>
      </x:c>
      <x:c r="F247"/>
      <x:c r="G247"/>
    </x:row>
    <x:row r="248">
      <x:c r="A248" t="str">
        <x:v>Total Short-term loans and advances</x:v>
      </x:c>
      <x:c r="B248" t="n">
        <x:f>SUM(B244:B247)</x:f>
        <x:v>0</x:v>
      </x:c>
      <x:c r="C248" t="n">
        <x:f>SUM(C244:C247)</x:f>
        <x:v>0</x:v>
      </x:c>
      <x:c r="D248"/>
      <x:c r="E248" t="str">
        <x:v>Current / non-current</x:v>
      </x:c>
      <x:c r="F248"/>
      <x:c r="G248"/>
    </x:row>
    <x:row r="249">
      <x:c r="A249" t="str">
        <x:v>Note 27 — Other current assets</x:v>
      </x:c>
      <x:c r="B249"/>
      <x:c r="C249"/>
      <x:c r="D249"/>
      <x:c r="E249"/>
      <x:c r="F249"/>
      <x:c r="G249"/>
    </x:row>
    <x:row r="250">
      <x:c r="A250" t="str">
        <x:v>Particulars</x:v>
      </x:c>
      <x:c r="B250" t="str">
        <x:v>Current Year</x:v>
      </x:c>
      <x:c r="C250" t="str">
        <x:v>Previous Year</x:v>
      </x:c>
      <x:c r="D250" t="str">
        <x:v>Mapping / Source</x:v>
      </x:c>
      <x:c r="E250" t="str">
        <x:v>Classification</x:v>
      </x:c>
      <x:c r="F250" t="str">
        <x:v>Remarks</x:v>
      </x:c>
      <x:c r="G250"/>
    </x:row>
    <x:row r="251">
      <x:c r="A251" t="str">
        <x:v>Capital advances</x:v>
      </x:c>
      <x:c r="B251"/>
      <x:c r="C251"/>
      <x:c r="D251"/>
      <x:c r="E251" t="str">
        <x:v>Current / non-current</x:v>
      </x:c>
      <x:c r="F251"/>
      <x:c r="G251"/>
    </x:row>
    <x:row r="252">
      <x:c r="A252" t="str">
        <x:v>Prepaid expenses</x:v>
      </x:c>
      <x:c r="B252"/>
      <x:c r="C252"/>
      <x:c r="D252"/>
      <x:c r="E252" t="str">
        <x:v>Current / non-current</x:v>
      </x:c>
      <x:c r="F252"/>
      <x:c r="G252"/>
    </x:row>
    <x:row r="253">
      <x:c r="A253" t="str">
        <x:v>Balances with government authorities</x:v>
      </x:c>
      <x:c r="B253"/>
      <x:c r="C253"/>
      <x:c r="D253"/>
      <x:c r="E253" t="str">
        <x:v>Current / non-current</x:v>
      </x:c>
      <x:c r="F253"/>
      <x:c r="G253"/>
    </x:row>
    <x:row r="254">
      <x:c r="A254" t="str">
        <x:v>Other assets</x:v>
      </x:c>
      <x:c r="B254"/>
      <x:c r="C254"/>
      <x:c r="D254"/>
      <x:c r="E254" t="str">
        <x:v>Current / non-current</x:v>
      </x:c>
      <x:c r="F254"/>
      <x:c r="G254"/>
    </x:row>
    <x:row r="255">
      <x:c r="A255" t="str">
        <x:v>Total Other current assets</x:v>
      </x:c>
      <x:c r="B255" t="n">
        <x:f>SUM(B251:B254)</x:f>
        <x:v>0</x:v>
      </x:c>
      <x:c r="C255" t="n">
        <x:f>SUM(C251:C254)</x:f>
        <x:v>0</x:v>
      </x:c>
      <x:c r="D255"/>
      <x:c r="E255" t="str">
        <x:v>Current / non-current</x:v>
      </x:c>
      <x:c r="F255"/>
      <x:c r="G255"/>
    </x:row>
    <x:row r="256">
      <x:c r="A256"/>
      <x:c r="B256"/>
      <x:c r="C256"/>
      <x:c r="D256"/>
      <x:c r="E256"/>
      <x:c r="F256"/>
      <x:c r="G256"/>
    </x:row>
    <x:row r="257">
      <x:c r="A257" t="str">
        <x:v>Additional Schedule III Disclosures</x:v>
      </x:c>
      <x:c r="B257"/>
      <x:c r="C257"/>
      <x:c r="D257"/>
      <x:c r="E257"/>
      <x:c r="F257"/>
      <x:c r="G257"/>
    </x:row>
    <x:row r="258">
      <x:c r="A258" t="str">
        <x:v>Applicability</x:v>
      </x:c>
      <x:c r="B258" t="str">
        <x:v>Disclosure Group</x:v>
      </x:c>
      <x:c r="C258" t="str">
        <x:v>Automation Requirement</x:v>
      </x:c>
      <x:c r="D258" t="str">
        <x:v>Status</x:v>
      </x:c>
      <x:c r="E258" t="str">
        <x:v>Reference / Data Source</x:v>
      </x:c>
      <x:c r="F258" t="str">
        <x:v>Remarks</x:v>
      </x:c>
      <x:c r="G258"/>
    </x:row>
    <x:row r="259">
      <x:c r="A259" t="str">
        <x:v>All three divisions</x:v>
      </x:c>
      <x:c r="B259" t="str">
        <x:v>Rounding off</x:v>
      </x:c>
      <x:c r="C259" t="str">
        <x:v>Figures must be rounded based on total income thresholds and the same unit must be used consistently.</x:v>
      </x:c>
      <x:c r="D259" t="str">
        <x:v>Pending</x:v>
      </x:c>
      <x:c r="E259"/>
      <x:c r="F259"/>
      <x:c r="G259"/>
    </x:row>
    <x:row r="260">
      <x:c r="A260" t="str">
        <x:v>All three divisions</x:v>
      </x:c>
      <x:c r="B260" t="str">
        <x:v>Promoter shareholding</x:v>
      </x:c>
      <x:c r="C260" t="str">
        <x:v>Detailed promoter shareholding and percentage change disclosures.</x:v>
      </x:c>
      <x:c r="D260" t="str">
        <x:v>Pending</x:v>
      </x:c>
      <x:c r="E260"/>
      <x:c r="F260"/>
      <x:c r="G260"/>
    </x:row>
    <x:row r="261">
      <x:c r="A261" t="str">
        <x:v>All three divisions</x:v>
      </x:c>
      <x:c r="B261" t="str">
        <x:v>Title deeds</x:v>
      </x:c>
      <x:c r="C261" t="str">
        <x:v>Immovable-property title deeds not held in the company’s name.</x:v>
      </x:c>
      <x:c r="D261" t="str">
        <x:v>Pending</x:v>
      </x:c>
      <x:c r="E261"/>
      <x:c r="F261"/>
      <x:c r="G261"/>
    </x:row>
    <x:row r="262">
      <x:c r="A262" t="str">
        <x:v>Division I and II</x:v>
      </x:c>
      <x:c r="B262" t="str">
        <x:v>Loans/advances to specified persons</x:v>
      </x:c>
      <x:c r="C262" t="str">
        <x:v>Loans or advances in the nature of loans to promoters, directors, KMP and related parties, including repayable-on-demand terms.</x:v>
      </x:c>
      <x:c r="D262" t="str">
        <x:v>Pending</x:v>
      </x:c>
      <x:c r="E262"/>
      <x:c r="F262"/>
      <x:c r="G262"/>
    </x:row>
    <x:row r="263">
      <x:c r="A263" t="str">
        <x:v>All three divisions</x:v>
      </x:c>
      <x:c r="B263" t="str">
        <x:v>CWIP ageing</x:v>
      </x:c>
      <x:c r="C263" t="str">
        <x:v>Ageing and completion schedules for capital work-in-progress.</x:v>
      </x:c>
      <x:c r="D263" t="str">
        <x:v>Pending</x:v>
      </x:c>
      <x:c r="E263"/>
      <x:c r="F263"/>
      <x:c r="G263"/>
    </x:row>
    <x:row r="264">
      <x:c r="A264" t="str">
        <x:v>All three divisions</x:v>
      </x:c>
      <x:c r="B264" t="str">
        <x:v>Intangible assets under development ageing</x:v>
      </x:c>
      <x:c r="C264" t="str">
        <x:v>Ageing and completion schedules for intangible assets under development.</x:v>
      </x:c>
      <x:c r="D264" t="str">
        <x:v>Pending</x:v>
      </x:c>
      <x:c r="E264"/>
      <x:c r="F264"/>
      <x:c r="G264"/>
    </x:row>
    <x:row r="265">
      <x:c r="A265" t="str">
        <x:v>All three divisions</x:v>
      </x:c>
      <x:c r="B265" t="str">
        <x:v>Benami property</x:v>
      </x:c>
      <x:c r="C265" t="str">
        <x:v>Proceedings or property held under the Benami Transactions law.</x:v>
      </x:c>
      <x:c r="D265" t="str">
        <x:v>Pending</x:v>
      </x:c>
      <x:c r="E265"/>
      <x:c r="F265"/>
      <x:c r="G265"/>
    </x:row>
    <x:row r="266">
      <x:c r="A266" t="str">
        <x:v>All three divisions</x:v>
      </x:c>
      <x:c r="B266" t="str">
        <x:v>Borrowings utilisation</x:v>
      </x:c>
      <x:c r="C266" t="str">
        <x:v>Borrowings from banks and financial institutions not used for the stated purpose.</x:v>
      </x:c>
      <x:c r="D266" t="str">
        <x:v>Pending</x:v>
      </x:c>
      <x:c r="E266"/>
      <x:c r="F266"/>
      <x:c r="G266"/>
    </x:row>
    <x:row r="267">
      <x:c r="A267" t="str">
        <x:v>All three divisions</x:v>
      </x:c>
      <x:c r="B267" t="str">
        <x:v>Wilful defaulter</x:v>
      </x:c>
      <x:c r="C267" t="str">
        <x:v>Disclosure where the company has been declared a wilful defaulter.</x:v>
      </x:c>
      <x:c r="D267" t="str">
        <x:v>Pending</x:v>
      </x:c>
      <x:c r="E267"/>
      <x:c r="F267"/>
      <x:c r="G267"/>
    </x:row>
    <x:row r="268">
      <x:c r="A268" t="str">
        <x:v>All three divisions</x:v>
      </x:c>
      <x:c r="B268" t="str">
        <x:v>Struck-off companies</x:v>
      </x:c>
      <x:c r="C268" t="str">
        <x:v>Transactions and balances with companies struck off under the Companies Act.</x:v>
      </x:c>
      <x:c r="D268" t="str">
        <x:v>Pending</x:v>
      </x:c>
      <x:c r="E268"/>
      <x:c r="F268"/>
      <x:c r="G268"/>
    </x:row>
    <x:row r="269">
      <x:c r="A269" t="str">
        <x:v>All three divisions</x:v>
      </x:c>
      <x:c r="B269" t="str">
        <x:v>Charges</x:v>
      </x:c>
      <x:c r="C269" t="str">
        <x:v>Charges or satisfaction not registered with the Registrar of Companies within the statutory period.</x:v>
      </x:c>
      <x:c r="D269" t="str">
        <x:v>Pending</x:v>
      </x:c>
      <x:c r="E269"/>
      <x:c r="F269"/>
      <x:c r="G269"/>
    </x:row>
    <x:row r="270">
      <x:c r="A270" t="str">
        <x:v>All three divisions</x:v>
      </x:c>
      <x:c r="B270" t="str">
        <x:v>Layers</x:v>
      </x:c>
      <x:c r="C270" t="str">
        <x:v>Non-compliance with the prescribed number of layers of companies.</x:v>
      </x:c>
      <x:c r="D270" t="str">
        <x:v>Pending</x:v>
      </x:c>
      <x:c r="E270"/>
      <x:c r="F270"/>
      <x:c r="G270"/>
    </x:row>
    <x:row r="271">
      <x:c r="A271" t="str">
        <x:v>All three divisions</x:v>
      </x:c>
      <x:c r="B271" t="str">
        <x:v>Ratios</x:v>
      </x:c>
      <x:c r="C271" t="str">
        <x:v>Current ratio, debt-equity, DSCR, ROE, inventory/receivable/payable turnover, net capital turnover, net profit ratio, ROCE and return on investment, with explanations for material variance.</x:v>
      </x:c>
      <x:c r="D271" t="str">
        <x:v>Pending</x:v>
      </x:c>
      <x:c r="E271"/>
      <x:c r="F271"/>
      <x:c r="G271"/>
    </x:row>
    <x:row r="272">
      <x:c r="A272" t="str">
        <x:v>All three divisions</x:v>
      </x:c>
      <x:c r="B272" t="str">
        <x:v>Schemes of arrangement</x:v>
      </x:c>
      <x:c r="C272" t="str">
        <x:v>Accounting effect and compliance with the approved scheme and applicable standards.</x:v>
      </x:c>
      <x:c r="D272" t="str">
        <x:v>Pending</x:v>
      </x:c>
      <x:c r="E272"/>
      <x:c r="F272"/>
      <x:c r="G272"/>
    </x:row>
    <x:row r="273">
      <x:c r="A273" t="str">
        <x:v>All three divisions</x:v>
      </x:c>
      <x:c r="B273" t="str">
        <x:v>Intermediaries / ultimate beneficiaries</x:v>
      </x:c>
      <x:c r="C273" t="str">
        <x:v>Funds advanced, received or routed through intermediaries and ultimate beneficiaries.</x:v>
      </x:c>
      <x:c r="D273" t="str">
        <x:v>Pending</x:v>
      </x:c>
      <x:c r="E273"/>
      <x:c r="F273"/>
      <x:c r="G273"/>
    </x:row>
    <x:row r="274">
      <x:c r="A274" t="str">
        <x:v>All three divisions</x:v>
      </x:c>
      <x:c r="B274" t="str">
        <x:v>Undisclosed income</x:v>
      </x:c>
      <x:c r="C274" t="str">
        <x:v>Previously unrecorded income surrendered or disclosed in tax assessments.</x:v>
      </x:c>
      <x:c r="D274" t="str">
        <x:v>Pending</x:v>
      </x:c>
      <x:c r="E274"/>
      <x:c r="F274"/>
      <x:c r="G274"/>
    </x:row>
    <x:row r="275">
      <x:c r="A275" t="str">
        <x:v>All three divisions</x:v>
      </x:c>
      <x:c r="B275" t="str">
        <x:v>CSR</x:v>
      </x:c>
      <x:c r="C275" t="str">
        <x:v>Corporate Social Responsibility expenditure and unspent amounts.</x:v>
      </x:c>
      <x:c r="D275" t="str">
        <x:v>Pending</x:v>
      </x:c>
      <x:c r="E275"/>
      <x:c r="F275"/>
      <x:c r="G275"/>
    </x:row>
    <x:row r="276">
      <x:c r="A276" t="str">
        <x:v>All three divisions</x:v>
      </x:c>
      <x:c r="B276" t="str">
        <x:v>Crypto / virtual currency</x:v>
      </x:c>
      <x:c r="C276" t="str">
        <x:v>Profit or loss, holdings and deposits/advances involving crypto or virtual currency.</x:v>
      </x:c>
      <x:c r="D276" t="str">
        <x:v>Pending</x:v>
      </x:c>
      <x:c r="E276"/>
      <x:c r="F276"/>
      <x:c r="G276"/>
    </x:row>
    <x:row r="277">
      <x:c r="A277"/>
      <x:c r="B277"/>
      <x:c r="C277"/>
      <x:c r="D277"/>
      <x:c r="E277"/>
      <x:c r="F277"/>
      <x:c r="G277"/>
    </x:row>
    <x:row r="278">
      <x:c r="A278" t="str">
        <x:v>Source: https://resource.cdn.icai.org/68981clcgc55147-gnd1.pdf</x:v>
      </x:c>
      <x:c r="B278"/>
      <x:c r="C278"/>
      <x:c r="D278"/>
      <x:c r="E278"/>
      <x:c r="F278"/>
      <x:c r="G278"/>
    </x:row>
    <x:row r="279">
      <x:c r="A279"/>
      <x:c r="B279"/>
      <x:c r="C279"/>
      <x:c r="D279"/>
      <x:c r="E279"/>
      <x:c r="F279"/>
      <x:c r="G279"/>
    </x:row>
    <x:row r="280">
      <x:c r="A280"/>
      <x:c r="B280"/>
      <x:c r="C280"/>
      <x:c r="D280"/>
      <x:c r="E280"/>
      <x:c r="F280"/>
      <x:c r="G280"/>
    </x:row>
    <x:row r="281">
      <x:c r="A281" t="str">
        <x:v>Schedule III Division I – Notes to Statement of Profit and Loss</x:v>
      </x:c>
      <x:c r="B281"/>
      <x:c r="C281"/>
      <x:c r="D281"/>
      <x:c r="E281"/>
      <x:c r="F281"/>
      <x:c r="G281"/>
    </x:row>
    <x:row r="282">
      <x:c r="A282"/>
      <x:c r="B282"/>
      <x:c r="C282"/>
      <x:c r="D282"/>
      <x:c r="E282"/>
      <x:c r="F282"/>
      <x:c r="G282"/>
    </x:row>
    <x:row r="283">
      <x:c r="A283" t="str">
        <x:v>Note 28 – Revenue from operations</x:v>
      </x:c>
      <x:c r="B283"/>
      <x:c r="C283"/>
      <x:c r="D283"/>
      <x:c r="E283"/>
      <x:c r="F283"/>
      <x:c r="G283"/>
    </x:row>
    <x:row r="284">
      <x:c r="A284" t="str">
        <x:v>Particulars</x:v>
      </x:c>
      <x:c r="B284" t="str">
        <x:v>Current reporting period</x:v>
      </x:c>
      <x:c r="C284" t="str">
        <x:v>Previous reporting period</x:v>
      </x:c>
      <x:c r="D284" t="str">
        <x:v>Mapping / Source</x:v>
      </x:c>
      <x:c r="E284" t="str">
        <x:v>Classification</x:v>
      </x:c>
      <x:c r="F284" t="str">
        <x:v>Remarks</x:v>
      </x:c>
      <x:c r="G284"/>
    </x:row>
    <x:row r="285">
      <x:c r="A285" t="str">
        <x:v>Sale of products</x:v>
      </x:c>
      <x:c r="B285"/>
      <x:c r="C285"/>
      <x:c r="D285"/>
      <x:c r="E285"/>
      <x:c r="F285"/>
      <x:c r="G285"/>
    </x:row>
    <x:row r="286">
      <x:c r="A286" t="str">
        <x:v>Sale of services</x:v>
      </x:c>
      <x:c r="B286"/>
      <x:c r="C286"/>
      <x:c r="D286"/>
      <x:c r="E286"/>
      <x:c r="F286"/>
      <x:c r="G286"/>
    </x:row>
    <x:row r="287">
      <x:c r="A287" t="str">
        <x:v>Other operating revenue</x:v>
      </x:c>
      <x:c r="B287"/>
      <x:c r="C287"/>
      <x:c r="D287"/>
      <x:c r="E287"/>
      <x:c r="F287"/>
      <x:c r="G287"/>
    </x:row>
    <x:row r="288">
      <x:c r="A288" t="str">
        <x:v>Less: Excise duty, where applicable</x:v>
      </x:c>
      <x:c r="B288"/>
      <x:c r="C288"/>
      <x:c r="D288"/>
      <x:c r="E288"/>
      <x:c r="F288"/>
      <x:c r="G288"/>
    </x:row>
    <x:row r="289">
      <x:c r="A289" t="str">
        <x:v>Total Revenue from operations</x:v>
      </x:c>
      <x:c r="B289" t="n">
        <x:f>SUM(B285:B288)</x:f>
        <x:v>0</x:v>
      </x:c>
      <x:c r="C289" t="n">
        <x:f>SUM(C285:C288)</x:f>
        <x:v>0</x:v>
      </x:c>
      <x:c r="D289"/>
      <x:c r="E289"/>
      <x:c r="F289"/>
      <x:c r="G289"/>
    </x:row>
    <x:row r="290">
      <x:c r="A290"/>
      <x:c r="B290"/>
      <x:c r="C290"/>
      <x:c r="D290"/>
      <x:c r="E290"/>
      <x:c r="F290"/>
      <x:c r="G290"/>
    </x:row>
    <x:row r="291">
      <x:c r="A291" t="str">
        <x:v>Note 29 – Other income</x:v>
      </x:c>
      <x:c r="B291"/>
      <x:c r="C291"/>
      <x:c r="D291"/>
      <x:c r="E291"/>
      <x:c r="F291"/>
      <x:c r="G291"/>
    </x:row>
    <x:row r="292">
      <x:c r="A292" t="str">
        <x:v>Particulars</x:v>
      </x:c>
      <x:c r="B292" t="str">
        <x:v>Current reporting period</x:v>
      </x:c>
      <x:c r="C292" t="str">
        <x:v>Previous reporting period</x:v>
      </x:c>
      <x:c r="D292" t="str">
        <x:v>Mapping / Source</x:v>
      </x:c>
      <x:c r="E292" t="str">
        <x:v>Classification</x:v>
      </x:c>
      <x:c r="F292" t="str">
        <x:v>Remarks</x:v>
      </x:c>
      <x:c r="G292"/>
    </x:row>
    <x:row r="293">
      <x:c r="A293" t="str">
        <x:v>Interest income</x:v>
      </x:c>
      <x:c r="B293"/>
      <x:c r="C293"/>
      <x:c r="D293"/>
      <x:c r="E293"/>
      <x:c r="F293"/>
      <x:c r="G293"/>
    </x:row>
    <x:row r="294">
      <x:c r="A294" t="str">
        <x:v>Dividend income</x:v>
      </x:c>
      <x:c r="B294"/>
      <x:c r="C294"/>
      <x:c r="D294"/>
      <x:c r="E294"/>
      <x:c r="F294"/>
      <x:c r="G294"/>
    </x:row>
    <x:row r="295">
      <x:c r="A295" t="str">
        <x:v>Net gain/(loss) on sale of investments</x:v>
      </x:c>
      <x:c r="B295"/>
      <x:c r="C295"/>
      <x:c r="D295"/>
      <x:c r="E295"/>
      <x:c r="F295"/>
      <x:c r="G295"/>
    </x:row>
    <x:row r="296">
      <x:c r="A296" t="str">
        <x:v>Other non-operating income</x:v>
      </x:c>
      <x:c r="B296"/>
      <x:c r="C296"/>
      <x:c r="D296"/>
      <x:c r="E296"/>
      <x:c r="F296"/>
      <x:c r="G296"/>
    </x:row>
    <x:row r="297">
      <x:c r="A297" t="str">
        <x:v>Total Other income</x:v>
      </x:c>
      <x:c r="B297" t="n">
        <x:f>SUM(B293:B296)</x:f>
        <x:v>0</x:v>
      </x:c>
      <x:c r="C297" t="n">
        <x:f>SUM(C293:C296)</x:f>
        <x:v>0</x:v>
      </x:c>
      <x:c r="D297"/>
      <x:c r="E297"/>
      <x:c r="F297"/>
      <x:c r="G297"/>
    </x:row>
    <x:row r="298">
      <x:c r="A298"/>
      <x:c r="B298"/>
      <x:c r="C298"/>
      <x:c r="D298"/>
      <x:c r="E298"/>
      <x:c r="F298"/>
      <x:c r="G298"/>
    </x:row>
    <x:row r="299">
      <x:c r="A299" t="str">
        <x:v>Note 30 – Cost of materials consumed</x:v>
      </x:c>
      <x:c r="B299"/>
      <x:c r="C299"/>
      <x:c r="D299"/>
      <x:c r="E299"/>
      <x:c r="F299"/>
      <x:c r="G299"/>
    </x:row>
    <x:row r="300">
      <x:c r="A300" t="str">
        <x:v>Particulars</x:v>
      </x:c>
      <x:c r="B300" t="str">
        <x:v>Current reporting period</x:v>
      </x:c>
      <x:c r="C300" t="str">
        <x:v>Previous reporting period</x:v>
      </x:c>
      <x:c r="D300" t="str">
        <x:v>Mapping / Source</x:v>
      </x:c>
      <x:c r="E300" t="str">
        <x:v>Classification</x:v>
      </x:c>
      <x:c r="F300" t="str">
        <x:v>Remarks</x:v>
      </x:c>
      <x:c r="G300"/>
    </x:row>
    <x:row r="301">
      <x:c r="A301" t="str">
        <x:v>Opening stock of raw materials</x:v>
      </x:c>
      <x:c r="B301"/>
      <x:c r="C301"/>
      <x:c r="D301"/>
      <x:c r="E301"/>
      <x:c r="F301"/>
      <x:c r="G301"/>
    </x:row>
    <x:row r="302">
      <x:c r="A302" t="str">
        <x:v>Purchases of raw materials</x:v>
      </x:c>
      <x:c r="B302"/>
      <x:c r="C302"/>
      <x:c r="D302"/>
      <x:c r="E302"/>
      <x:c r="F302"/>
      <x:c r="G302"/>
    </x:row>
    <x:row r="303">
      <x:c r="A303" t="str">
        <x:v>Less: Closing stock of raw materials</x:v>
      </x:c>
      <x:c r="B303"/>
      <x:c r="C303"/>
      <x:c r="D303"/>
      <x:c r="E303"/>
      <x:c r="F303"/>
      <x:c r="G303"/>
    </x:row>
    <x:row r="304">
      <x:c r="A304" t="str">
        <x:v>Total Cost of materials consumed</x:v>
      </x:c>
      <x:c r="B304" t="n">
        <x:f>SUM(B301:B303)</x:f>
        <x:v>0</x:v>
      </x:c>
      <x:c r="C304" t="n">
        <x:f>SUM(C301:C303)</x:f>
        <x:v>0</x:v>
      </x:c>
      <x:c r="D304"/>
      <x:c r="E304"/>
      <x:c r="F304"/>
      <x:c r="G304"/>
    </x:row>
    <x:row r="305">
      <x:c r="A305"/>
      <x:c r="B305"/>
      <x:c r="C305"/>
      <x:c r="D305"/>
      <x:c r="E305"/>
      <x:c r="F305"/>
      <x:c r="G305"/>
    </x:row>
    <x:row r="306">
      <x:c r="A306" t="str">
        <x:v>Note 31 – Purchases of Stock-in-Trade</x:v>
      </x:c>
      <x:c r="B306"/>
      <x:c r="C306"/>
      <x:c r="D306"/>
      <x:c r="E306"/>
      <x:c r="F306"/>
      <x:c r="G306"/>
    </x:row>
    <x:row r="307">
      <x:c r="A307" t="str">
        <x:v>Particulars</x:v>
      </x:c>
      <x:c r="B307" t="str">
        <x:v>Current reporting period</x:v>
      </x:c>
      <x:c r="C307" t="str">
        <x:v>Previous reporting period</x:v>
      </x:c>
      <x:c r="D307" t="str">
        <x:v>Mapping / Source</x:v>
      </x:c>
      <x:c r="E307" t="str">
        <x:v>Classification</x:v>
      </x:c>
      <x:c r="F307" t="str">
        <x:v>Remarks</x:v>
      </x:c>
      <x:c r="G307"/>
    </x:row>
    <x:row r="308">
      <x:c r="A308" t="str">
        <x:v>Purchases under broad heads</x:v>
      </x:c>
      <x:c r="B308"/>
      <x:c r="C308"/>
      <x:c r="D308"/>
      <x:c r="E308"/>
      <x:c r="F308"/>
      <x:c r="G308"/>
    </x:row>
    <x:row r="309">
      <x:c r="A309" t="str">
        <x:v>Other direct purchase costs</x:v>
      </x:c>
      <x:c r="B309"/>
      <x:c r="C309"/>
      <x:c r="D309"/>
      <x:c r="E309"/>
      <x:c r="F309"/>
      <x:c r="G309"/>
    </x:row>
    <x:row r="310">
      <x:c r="A310" t="str">
        <x:v>Total Purchases of Stock-in-Trade</x:v>
      </x:c>
      <x:c r="B310" t="n">
        <x:f>SUM(B308:B309)</x:f>
        <x:v>0</x:v>
      </x:c>
      <x:c r="C310" t="n">
        <x:f>SUM(C308:C309)</x:f>
        <x:v>0</x:v>
      </x:c>
      <x:c r="D310"/>
      <x:c r="E310"/>
      <x:c r="F310"/>
      <x:c r="G310"/>
    </x:row>
    <x:row r="311">
      <x:c r="A311"/>
      <x:c r="B311"/>
      <x:c r="C311"/>
      <x:c r="D311"/>
      <x:c r="E311"/>
      <x:c r="F311"/>
      <x:c r="G311"/>
    </x:row>
    <x:row r="312">
      <x:c r="A312" t="str">
        <x:v>Note 32 – Changes in inventories</x:v>
      </x:c>
      <x:c r="B312"/>
      <x:c r="C312"/>
      <x:c r="D312"/>
      <x:c r="E312"/>
      <x:c r="F312"/>
      <x:c r="G312"/>
    </x:row>
    <x:row r="313">
      <x:c r="A313" t="str">
        <x:v>Particulars</x:v>
      </x:c>
      <x:c r="B313" t="str">
        <x:v>Current reporting period</x:v>
      </x:c>
      <x:c r="C313" t="str">
        <x:v>Previous reporting period</x:v>
      </x:c>
      <x:c r="D313" t="str">
        <x:v>Mapping / Source</x:v>
      </x:c>
      <x:c r="E313" t="str">
        <x:v>Classification</x:v>
      </x:c>
      <x:c r="F313" t="str">
        <x:v>Remarks</x:v>
      </x:c>
      <x:c r="G313"/>
    </x:row>
    <x:row r="314">
      <x:c r="A314" t="str">
        <x:v>Opening finished goods</x:v>
      </x:c>
      <x:c r="B314"/>
      <x:c r="C314"/>
      <x:c r="D314"/>
      <x:c r="E314"/>
      <x:c r="F314"/>
      <x:c r="G314"/>
    </x:row>
    <x:row r="315">
      <x:c r="A315" t="str">
        <x:v>Opening work-in-progress</x:v>
      </x:c>
      <x:c r="B315"/>
      <x:c r="C315"/>
      <x:c r="D315"/>
      <x:c r="E315"/>
      <x:c r="F315"/>
      <x:c r="G315"/>
    </x:row>
    <x:row r="316">
      <x:c r="A316" t="str">
        <x:v>Opening Stock-in-Trade</x:v>
      </x:c>
      <x:c r="B316"/>
      <x:c r="C316"/>
      <x:c r="D316"/>
      <x:c r="E316"/>
      <x:c r="F316"/>
      <x:c r="G316"/>
    </x:row>
    <x:row r="317">
      <x:c r="A317" t="str">
        <x:v>Less: Closing inventories</x:v>
      </x:c>
      <x:c r="B317"/>
      <x:c r="C317"/>
      <x:c r="D317"/>
      <x:c r="E317"/>
      <x:c r="F317"/>
      <x:c r="G317"/>
    </x:row>
    <x:row r="318">
      <x:c r="A318" t="str">
        <x:v>Total Changes in inventories</x:v>
      </x:c>
      <x:c r="B318" t="n">
        <x:f>SUM(B314:B317)</x:f>
        <x:v>0</x:v>
      </x:c>
      <x:c r="C318" t="n">
        <x:f>SUM(C314:C317)</x:f>
        <x:v>0</x:v>
      </x:c>
      <x:c r="D318"/>
      <x:c r="E318"/>
      <x:c r="F318"/>
      <x:c r="G318"/>
    </x:row>
    <x:row r="319">
      <x:c r="A319"/>
      <x:c r="B319"/>
      <x:c r="C319"/>
      <x:c r="D319"/>
      <x:c r="E319"/>
      <x:c r="F319"/>
      <x:c r="G319"/>
    </x:row>
    <x:row r="320">
      <x:c r="A320" t="str">
        <x:v>Note 33 – Employee benefits expense</x:v>
      </x:c>
      <x:c r="B320"/>
      <x:c r="C320"/>
      <x:c r="D320"/>
      <x:c r="E320"/>
      <x:c r="F320"/>
      <x:c r="G320"/>
    </x:row>
    <x:row r="321">
      <x:c r="A321" t="str">
        <x:v>Particulars</x:v>
      </x:c>
      <x:c r="B321" t="str">
        <x:v>Current reporting period</x:v>
      </x:c>
      <x:c r="C321" t="str">
        <x:v>Previous reporting period</x:v>
      </x:c>
      <x:c r="D321" t="str">
        <x:v>Mapping / Source</x:v>
      </x:c>
      <x:c r="E321" t="str">
        <x:v>Classification</x:v>
      </x:c>
      <x:c r="F321" t="str">
        <x:v>Remarks</x:v>
      </x:c>
      <x:c r="G321"/>
    </x:row>
    <x:row r="322">
      <x:c r="A322" t="str">
        <x:v>Salaries and wages</x:v>
      </x:c>
      <x:c r="B322"/>
      <x:c r="C322"/>
      <x:c r="D322"/>
      <x:c r="E322"/>
      <x:c r="F322"/>
      <x:c r="G322"/>
    </x:row>
    <x:row r="323">
      <x:c r="A323" t="str">
        <x:v>Contribution to provident and other funds</x:v>
      </x:c>
      <x:c r="B323"/>
      <x:c r="C323"/>
      <x:c r="D323"/>
      <x:c r="E323"/>
      <x:c r="F323"/>
      <x:c r="G323"/>
    </x:row>
    <x:row r="324">
      <x:c r="A324" t="str">
        <x:v>ESOP/ESPP expense</x:v>
      </x:c>
      <x:c r="B324"/>
      <x:c r="C324"/>
      <x:c r="D324"/>
      <x:c r="E324"/>
      <x:c r="F324"/>
      <x:c r="G324"/>
    </x:row>
    <x:row r="325">
      <x:c r="A325" t="str">
        <x:v>Staff welfare expense</x:v>
      </x:c>
      <x:c r="B325"/>
      <x:c r="C325"/>
      <x:c r="D325"/>
      <x:c r="E325"/>
      <x:c r="F325"/>
      <x:c r="G325"/>
    </x:row>
    <x:row r="326">
      <x:c r="A326" t="str">
        <x:v>Total Employee benefits expense</x:v>
      </x:c>
      <x:c r="B326" t="n">
        <x:f>SUM(B322:B325)</x:f>
        <x:v>0</x:v>
      </x:c>
      <x:c r="C326" t="n">
        <x:f>SUM(C322:C325)</x:f>
        <x:v>0</x:v>
      </x:c>
      <x:c r="D326"/>
      <x:c r="E326"/>
      <x:c r="F326"/>
      <x:c r="G326"/>
    </x:row>
    <x:row r="327">
      <x:c r="A327"/>
      <x:c r="B327"/>
      <x:c r="C327"/>
      <x:c r="D327"/>
      <x:c r="E327"/>
      <x:c r="F327"/>
      <x:c r="G327"/>
    </x:row>
    <x:row r="328">
      <x:c r="A328" t="str">
        <x:v>Note 34 – Finance costs</x:v>
      </x:c>
      <x:c r="B328"/>
      <x:c r="C328"/>
      <x:c r="D328"/>
      <x:c r="E328"/>
      <x:c r="F328"/>
      <x:c r="G328"/>
    </x:row>
    <x:row r="329">
      <x:c r="A329" t="str">
        <x:v>Particulars</x:v>
      </x:c>
      <x:c r="B329" t="str">
        <x:v>Current reporting period</x:v>
      </x:c>
      <x:c r="C329" t="str">
        <x:v>Previous reporting period</x:v>
      </x:c>
      <x:c r="D329" t="str">
        <x:v>Mapping / Source</x:v>
      </x:c>
      <x:c r="E329" t="str">
        <x:v>Classification</x:v>
      </x:c>
      <x:c r="F329" t="str">
        <x:v>Remarks</x:v>
      </x:c>
      <x:c r="G329"/>
    </x:row>
    <x:row r="330">
      <x:c r="A330" t="str">
        <x:v>Interest expense</x:v>
      </x:c>
      <x:c r="B330"/>
      <x:c r="C330"/>
      <x:c r="D330"/>
      <x:c r="E330"/>
      <x:c r="F330"/>
      <x:c r="G330"/>
    </x:row>
    <x:row r="331">
      <x:c r="A331" t="str">
        <x:v>Other borrowing costs</x:v>
      </x:c>
      <x:c r="B331"/>
      <x:c r="C331"/>
      <x:c r="D331"/>
      <x:c r="E331"/>
      <x:c r="F331"/>
      <x:c r="G331"/>
    </x:row>
    <x:row r="332">
      <x:c r="A332" t="str">
        <x:v>Net foreign exchange difference treated as finance cost</x:v>
      </x:c>
      <x:c r="B332"/>
      <x:c r="C332"/>
      <x:c r="D332"/>
      <x:c r="E332"/>
      <x:c r="F332"/>
      <x:c r="G332"/>
    </x:row>
    <x:row r="333">
      <x:c r="A333" t="str">
        <x:v>Total Finance costs</x:v>
      </x:c>
      <x:c r="B333" t="n">
        <x:f>SUM(B330:B332)</x:f>
        <x:v>0</x:v>
      </x:c>
      <x:c r="C333" t="n">
        <x:f>SUM(C330:C332)</x:f>
        <x:v>0</x:v>
      </x:c>
      <x:c r="D333"/>
      <x:c r="E333"/>
      <x:c r="F333"/>
      <x:c r="G333"/>
    </x:row>
    <x:row r="334">
      <x:c r="A334"/>
      <x:c r="B334"/>
      <x:c r="C334"/>
      <x:c r="D334"/>
      <x:c r="E334"/>
      <x:c r="F334"/>
      <x:c r="G334"/>
    </x:row>
    <x:row r="335">
      <x:c r="A335" t="str">
        <x:v>Note 35 – Depreciation and amortization expense</x:v>
      </x:c>
      <x:c r="B335"/>
      <x:c r="C335"/>
      <x:c r="D335"/>
      <x:c r="E335"/>
      <x:c r="F335"/>
      <x:c r="G335"/>
    </x:row>
    <x:row r="336">
      <x:c r="A336" t="str">
        <x:v>Particulars</x:v>
      </x:c>
      <x:c r="B336" t="str">
        <x:v>Current reporting period</x:v>
      </x:c>
      <x:c r="C336" t="str">
        <x:v>Previous reporting period</x:v>
      </x:c>
      <x:c r="D336" t="str">
        <x:v>Mapping / Source</x:v>
      </x:c>
      <x:c r="E336" t="str">
        <x:v>Classification</x:v>
      </x:c>
      <x:c r="F336" t="str">
        <x:v>Remarks</x:v>
      </x:c>
      <x:c r="G336"/>
    </x:row>
    <x:row r="337">
      <x:c r="A337" t="str">
        <x:v>Depreciation on Property, Plant and Equipment</x:v>
      </x:c>
      <x:c r="B337"/>
      <x:c r="C337"/>
      <x:c r="D337"/>
      <x:c r="E337"/>
      <x:c r="F337"/>
      <x:c r="G337"/>
    </x:row>
    <x:row r="338">
      <x:c r="A338" t="str">
        <x:v>Amortization of intangible assets</x:v>
      </x:c>
      <x:c r="B338"/>
      <x:c r="C338"/>
      <x:c r="D338"/>
      <x:c r="E338"/>
      <x:c r="F338"/>
      <x:c r="G338"/>
    </x:row>
    <x:row r="339">
      <x:c r="A339" t="str">
        <x:v>Total Depreciation and amortization expense</x:v>
      </x:c>
      <x:c r="B339" t="n">
        <x:f>SUM(B337:B338)</x:f>
        <x:v>0</x:v>
      </x:c>
      <x:c r="C339" t="n">
        <x:f>SUM(C337:C338)</x:f>
        <x:v>0</x:v>
      </x:c>
      <x:c r="D339"/>
      <x:c r="E339"/>
      <x:c r="F339"/>
      <x:c r="G339"/>
    </x:row>
    <x:row r="340">
      <x:c r="A340"/>
      <x:c r="B340"/>
      <x:c r="C340"/>
      <x:c r="D340"/>
      <x:c r="E340"/>
      <x:c r="F340"/>
      <x:c r="G340"/>
    </x:row>
    <x:row r="341">
      <x:c r="A341" t="str">
        <x:v>Note 36 – Other expenses</x:v>
      </x:c>
      <x:c r="B341"/>
      <x:c r="C341"/>
      <x:c r="D341"/>
      <x:c r="E341"/>
      <x:c r="F341"/>
      <x:c r="G341"/>
    </x:row>
    <x:row r="342">
      <x:c r="A342" t="str">
        <x:v>Particulars</x:v>
      </x:c>
      <x:c r="B342" t="str">
        <x:v>Current reporting period</x:v>
      </x:c>
      <x:c r="C342" t="str">
        <x:v>Previous reporting period</x:v>
      </x:c>
      <x:c r="D342" t="str">
        <x:v>Mapping / Source</x:v>
      </x:c>
      <x:c r="E342" t="str">
        <x:v>Classification</x:v>
      </x:c>
      <x:c r="F342" t="str">
        <x:v>Remarks</x:v>
      </x:c>
      <x:c r="G342"/>
    </x:row>
    <x:row r="343">
      <x:c r="A343" t="str">
        <x:v>Consumption of stores and spares</x:v>
      </x:c>
      <x:c r="B343"/>
      <x:c r="C343"/>
      <x:c r="D343"/>
      <x:c r="E343"/>
      <x:c r="F343"/>
      <x:c r="G343"/>
    </x:row>
    <x:row r="344">
      <x:c r="A344" t="str">
        <x:v>Power and fuel</x:v>
      </x:c>
      <x:c r="B344"/>
      <x:c r="C344"/>
      <x:c r="D344"/>
      <x:c r="E344"/>
      <x:c r="F344"/>
      <x:c r="G344"/>
    </x:row>
    <x:row r="345">
      <x:c r="A345" t="str">
        <x:v>Rent</x:v>
      </x:c>
      <x:c r="B345"/>
      <x:c r="C345"/>
      <x:c r="D345"/>
      <x:c r="E345"/>
      <x:c r="F345"/>
      <x:c r="G345"/>
    </x:row>
    <x:row r="346">
      <x:c r="A346" t="str">
        <x:v>Repairs</x:v>
      </x:c>
      <x:c r="B346"/>
      <x:c r="C346"/>
      <x:c r="D346"/>
      <x:c r="E346"/>
      <x:c r="F346"/>
      <x:c r="G346"/>
    </x:row>
    <x:row r="347">
      <x:c r="A347" t="str">
        <x:v>Insurance</x:v>
      </x:c>
      <x:c r="B347"/>
      <x:c r="C347"/>
      <x:c r="D347"/>
      <x:c r="E347"/>
      <x:c r="F347"/>
      <x:c r="G347"/>
    </x:row>
    <x:row r="348">
      <x:c r="A348" t="str">
        <x:v>Rates and taxes</x:v>
      </x:c>
      <x:c r="B348"/>
      <x:c r="C348"/>
      <x:c r="D348"/>
      <x:c r="E348"/>
      <x:c r="F348"/>
      <x:c r="G348"/>
    </x:row>
    <x:row r="349">
      <x:c r="A349" t="str">
        <x:v>Auditor remuneration</x:v>
      </x:c>
      <x:c r="B349"/>
      <x:c r="C349"/>
      <x:c r="D349"/>
      <x:c r="E349"/>
      <x:c r="F349"/>
      <x:c r="G349"/>
    </x:row>
    <x:row r="350">
      <x:c r="A350" t="str">
        <x:v>CSR expenditure</x:v>
      </x:c>
      <x:c r="B350"/>
      <x:c r="C350"/>
      <x:c r="D350"/>
      <x:c r="E350"/>
      <x:c r="F350"/>
      <x:c r="G350"/>
    </x:row>
    <x:row r="351">
      <x:c r="A351" t="str">
        <x:v>Other expenses</x:v>
      </x:c>
      <x:c r="B351"/>
      <x:c r="C351"/>
      <x:c r="D351"/>
      <x:c r="E351"/>
      <x:c r="F351"/>
      <x:c r="G351"/>
    </x:row>
    <x:row r="352">
      <x:c r="A352" t="str">
        <x:v>Total Other expenses</x:v>
      </x:c>
      <x:c r="B352" t="n">
        <x:f>SUM(B343:B351)</x:f>
        <x:v>0</x:v>
      </x:c>
      <x:c r="C352" t="n">
        <x:f>SUM(C343:C351)</x:f>
        <x:v>0</x:v>
      </x:c>
      <x:c r="D352"/>
      <x:c r="E352"/>
      <x:c r="F352"/>
      <x:c r="G352"/>
    </x:row>
    <x:row r="353">
      <x:c r="A353"/>
      <x:c r="B353"/>
      <x:c r="C353"/>
      <x:c r="D353"/>
      <x:c r="E353"/>
      <x:c r="F353"/>
      <x:c r="G353"/>
    </x:row>
    <x:row r="354">
      <x:c r="A354" t="str">
        <x:v>Note 37 – Exceptional items</x:v>
      </x:c>
      <x:c r="B354"/>
      <x:c r="C354"/>
      <x:c r="D354"/>
      <x:c r="E354"/>
      <x:c r="F354"/>
      <x:c r="G354"/>
    </x:row>
    <x:row r="355">
      <x:c r="A355" t="str">
        <x:v>Particulars</x:v>
      </x:c>
      <x:c r="B355" t="str">
        <x:v>Current reporting period</x:v>
      </x:c>
      <x:c r="C355" t="str">
        <x:v>Previous reporting period</x:v>
      </x:c>
      <x:c r="D355" t="str">
        <x:v>Mapping / Source</x:v>
      </x:c>
      <x:c r="E355" t="str">
        <x:v>Classification</x:v>
      </x:c>
      <x:c r="F355" t="str">
        <x:v>Remarks</x:v>
      </x:c>
      <x:c r="G355"/>
    </x:row>
    <x:row r="356">
      <x:c r="A356" t="str">
        <x:v>Exceptional income</x:v>
      </x:c>
      <x:c r="B356"/>
      <x:c r="C356"/>
      <x:c r="D356"/>
      <x:c r="E356"/>
      <x:c r="F356"/>
      <x:c r="G356"/>
    </x:row>
    <x:row r="357">
      <x:c r="A357" t="str">
        <x:v>Exceptional expense</x:v>
      </x:c>
      <x:c r="B357"/>
      <x:c r="C357"/>
      <x:c r="D357"/>
      <x:c r="E357"/>
      <x:c r="F357"/>
      <x:c r="G357"/>
    </x:row>
    <x:row r="358">
      <x:c r="A358" t="str">
        <x:v>Total Exceptional items</x:v>
      </x:c>
      <x:c r="B358" t="n">
        <x:f>SUM(B356:B357)</x:f>
        <x:v>0</x:v>
      </x:c>
      <x:c r="C358" t="n">
        <x:f>SUM(C356:C357)</x:f>
        <x:v>0</x:v>
      </x:c>
      <x:c r="D358"/>
      <x:c r="E358"/>
      <x:c r="F358"/>
      <x:c r="G358"/>
    </x:row>
    <x:row r="359">
      <x:c r="A359"/>
      <x:c r="B359"/>
      <x:c r="C359"/>
      <x:c r="D359"/>
      <x:c r="E359"/>
      <x:c r="F359"/>
      <x:c r="G359"/>
    </x:row>
    <x:row r="360">
      <x:c r="A360" t="str">
        <x:v>Note 38 – Extraordinary items</x:v>
      </x:c>
      <x:c r="B360"/>
      <x:c r="C360"/>
      <x:c r="D360"/>
      <x:c r="E360"/>
      <x:c r="F360"/>
      <x:c r="G360"/>
    </x:row>
    <x:row r="361">
      <x:c r="A361" t="str">
        <x:v>Particulars</x:v>
      </x:c>
      <x:c r="B361" t="str">
        <x:v>Current reporting period</x:v>
      </x:c>
      <x:c r="C361" t="str">
        <x:v>Previous reporting period</x:v>
      </x:c>
      <x:c r="D361" t="str">
        <x:v>Mapping / Source</x:v>
      </x:c>
      <x:c r="E361" t="str">
        <x:v>Classification</x:v>
      </x:c>
      <x:c r="F361" t="str">
        <x:v>Remarks</x:v>
      </x:c>
      <x:c r="G361"/>
    </x:row>
    <x:row r="362">
      <x:c r="A362" t="str">
        <x:v>Extraordinary income</x:v>
      </x:c>
      <x:c r="B362"/>
      <x:c r="C362"/>
      <x:c r="D362"/>
      <x:c r="E362"/>
      <x:c r="F362"/>
      <x:c r="G362"/>
    </x:row>
    <x:row r="363">
      <x:c r="A363" t="str">
        <x:v>Extraordinary expense</x:v>
      </x:c>
      <x:c r="B363"/>
      <x:c r="C363"/>
      <x:c r="D363"/>
      <x:c r="E363"/>
      <x:c r="F363"/>
      <x:c r="G363"/>
    </x:row>
    <x:row r="364">
      <x:c r="A364" t="str">
        <x:v>Total Extraordinary items</x:v>
      </x:c>
      <x:c r="B364" t="n">
        <x:f>SUM(B362:B363)</x:f>
        <x:v>0</x:v>
      </x:c>
      <x:c r="C364" t="n">
        <x:f>SUM(C362:C363)</x:f>
        <x:v>0</x:v>
      </x:c>
      <x:c r="D364"/>
      <x:c r="E364"/>
      <x:c r="F364"/>
      <x:c r="G364"/>
    </x:row>
    <x:row r="365">
      <x:c r="A365"/>
      <x:c r="B365"/>
      <x:c r="C365"/>
      <x:c r="D365"/>
      <x:c r="E365"/>
      <x:c r="F365"/>
      <x:c r="G365"/>
    </x:row>
    <x:row r="366">
      <x:c r="A366" t="str">
        <x:v>Note 39 – Tax expense</x:v>
      </x:c>
      <x:c r="B366"/>
      <x:c r="C366"/>
      <x:c r="D366"/>
      <x:c r="E366"/>
      <x:c r="F366"/>
      <x:c r="G366"/>
    </x:row>
    <x:row r="367">
      <x:c r="A367" t="str">
        <x:v>Particulars</x:v>
      </x:c>
      <x:c r="B367" t="str">
        <x:v>Current reporting period</x:v>
      </x:c>
      <x:c r="C367" t="str">
        <x:v>Previous reporting period</x:v>
      </x:c>
      <x:c r="D367" t="str">
        <x:v>Mapping / Source</x:v>
      </x:c>
      <x:c r="E367" t="str">
        <x:v>Classification</x:v>
      </x:c>
      <x:c r="F367" t="str">
        <x:v>Remarks</x:v>
      </x:c>
      <x:c r="G367"/>
    </x:row>
    <x:row r="368">
      <x:c r="A368" t="str">
        <x:v>Current tax</x:v>
      </x:c>
      <x:c r="B368"/>
      <x:c r="C368"/>
      <x:c r="D368"/>
      <x:c r="E368"/>
      <x:c r="F368"/>
      <x:c r="G368"/>
    </x:row>
    <x:row r="369">
      <x:c r="A369" t="str">
        <x:v>Deferred tax</x:v>
      </x:c>
      <x:c r="B369"/>
      <x:c r="C369"/>
      <x:c r="D369"/>
      <x:c r="E369"/>
      <x:c r="F369"/>
      <x:c r="G369"/>
    </x:row>
    <x:row r="370">
      <x:c r="A370" t="str">
        <x:v>Tax adjustments for earlier years</x:v>
      </x:c>
      <x:c r="B370"/>
      <x:c r="C370"/>
      <x:c r="D370"/>
      <x:c r="E370"/>
      <x:c r="F370"/>
      <x:c r="G370"/>
    </x:row>
    <x:row r="371">
      <x:c r="A371" t="str">
        <x:v>Total Tax expense</x:v>
      </x:c>
      <x:c r="B371" t="n">
        <x:f>SUM(B368:B370)</x:f>
        <x:v>0</x:v>
      </x:c>
      <x:c r="C371" t="n">
        <x:f>SUM(C368:C370)</x:f>
        <x:v>0</x:v>
      </x:c>
      <x:c r="D371"/>
      <x:c r="E371"/>
      <x:c r="F371"/>
      <x:c r="G371"/>
    </x:row>
    <x:row r="372">
      <x:c r="A372"/>
      <x:c r="B372"/>
      <x:c r="C372"/>
      <x:c r="D372"/>
      <x:c r="E372"/>
      <x:c r="F372"/>
      <x:c r="G372"/>
    </x:row>
    <x:row r="373">
      <x:c r="A373" t="str">
        <x:v>Note 40 – Discontinued operations</x:v>
      </x:c>
      <x:c r="B373"/>
      <x:c r="C373"/>
      <x:c r="D373"/>
      <x:c r="E373"/>
      <x:c r="F373"/>
      <x:c r="G373"/>
    </x:row>
    <x:row r="374">
      <x:c r="A374" t="str">
        <x:v>Particulars</x:v>
      </x:c>
      <x:c r="B374" t="str">
        <x:v>Current reporting period</x:v>
      </x:c>
      <x:c r="C374" t="str">
        <x:v>Previous reporting period</x:v>
      </x:c>
      <x:c r="D374" t="str">
        <x:v>Mapping / Source</x:v>
      </x:c>
      <x:c r="E374" t="str">
        <x:v>Classification</x:v>
      </x:c>
      <x:c r="F374" t="str">
        <x:v>Remarks</x:v>
      </x:c>
      <x:c r="G374"/>
    </x:row>
    <x:row r="375">
      <x:c r="A375" t="str">
        <x:v>Profit/(loss) before tax</x:v>
      </x:c>
      <x:c r="B375"/>
      <x:c r="C375"/>
      <x:c r="D375"/>
      <x:c r="E375"/>
      <x:c r="F375"/>
      <x:c r="G375"/>
    </x:row>
    <x:row r="376">
      <x:c r="A376" t="str">
        <x:v>Tax expense</x:v>
      </x:c>
      <x:c r="B376"/>
      <x:c r="C376"/>
      <x:c r="D376"/>
      <x:c r="E376"/>
      <x:c r="F376"/>
      <x:c r="G376"/>
    </x:row>
    <x:row r="377">
      <x:c r="A377" t="str">
        <x:v>Profit/(loss) after tax</x:v>
      </x:c>
      <x:c r="B377"/>
      <x:c r="C377"/>
      <x:c r="D377"/>
      <x:c r="E377"/>
      <x:c r="F377"/>
      <x:c r="G377"/>
    </x:row>
    <x:row r="378">
      <x:c r="A378" t="str">
        <x:v>Total Discontinued operations</x:v>
      </x:c>
      <x:c r="B378" t="n">
        <x:f>SUM(B375:B377)</x:f>
        <x:v>0</x:v>
      </x:c>
      <x:c r="C378" t="n">
        <x:f>SUM(C375:C377)</x:f>
        <x:v>0</x:v>
      </x:c>
      <x:c r="D378"/>
      <x:c r="E378"/>
      <x:c r="F378"/>
      <x:c r="G378"/>
    </x:row>
    <x:row r="379">
      <x:c r="A379"/>
      <x:c r="B379"/>
      <x:c r="C379"/>
      <x:c r="D379"/>
      <x:c r="E379"/>
      <x:c r="F379"/>
      <x:c r="G379"/>
    </x:row>
    <x:row r="380">
      <x:c r="A380" t="str">
        <x:v>Note 41 – Earnings per share</x:v>
      </x:c>
      <x:c r="B380"/>
      <x:c r="C380"/>
      <x:c r="D380"/>
      <x:c r="E380"/>
      <x:c r="F380"/>
      <x:c r="G380"/>
    </x:row>
    <x:row r="381">
      <x:c r="A381" t="str">
        <x:v>Particulars</x:v>
      </x:c>
      <x:c r="B381" t="str">
        <x:v>Current reporting period</x:v>
      </x:c>
      <x:c r="C381" t="str">
        <x:v>Previous reporting period</x:v>
      </x:c>
      <x:c r="D381" t="str">
        <x:v>Mapping / Source</x:v>
      </x:c>
      <x:c r="E381" t="str">
        <x:v>Classification</x:v>
      </x:c>
      <x:c r="F381" t="str">
        <x:v>Remarks</x:v>
      </x:c>
      <x:c r="G381"/>
    </x:row>
    <x:row r="382">
      <x:c r="A382" t="str">
        <x:v>Basic EPS</x:v>
      </x:c>
      <x:c r="B382"/>
      <x:c r="C382"/>
      <x:c r="D382"/>
      <x:c r="E382"/>
      <x:c r="F382"/>
      <x:c r="G382"/>
    </x:row>
    <x:row r="383">
      <x:c r="A383" t="str">
        <x:v>Diluted EPS</x:v>
      </x:c>
      <x:c r="B383"/>
      <x:c r="C383"/>
      <x:c r="D383"/>
      <x:c r="E383"/>
      <x:c r="F383"/>
      <x:c r="G383"/>
    </x:row>
    <x:row r="384">
      <x:c r="A384" t="str">
        <x:v>Weighted average equity shares – Basic</x:v>
      </x:c>
      <x:c r="B384"/>
      <x:c r="C384"/>
      <x:c r="D384"/>
      <x:c r="E384"/>
      <x:c r="F384"/>
      <x:c r="G384"/>
    </x:row>
    <x:row r="385">
      <x:c r="A385" t="str">
        <x:v>Weighted average equity shares – Diluted</x:v>
      </x:c>
      <x:c r="B385"/>
      <x:c r="C385"/>
      <x:c r="D385"/>
      <x:c r="E385"/>
      <x:c r="F385"/>
      <x:c r="G385"/>
    </x:row>
    <x:row r="386">
      <x:c r="A386" t="str">
        <x:v>Total Earnings per share</x:v>
      </x:c>
      <x:c r="B386" t="n">
        <x:f>SUM(B382:B385)</x:f>
        <x:v>0</x:v>
      </x:c>
      <x:c r="C386" t="n">
        <x:f>SUM(C382:C385)</x:f>
        <x:v>0</x:v>
      </x:c>
      <x:c r="D386"/>
      <x:c r="E386"/>
      <x:c r="F386"/>
      <x:c r="G386"/>
    </x:row>
  </x:sheetData>
  <x:mergeCells>
    <x:mergeCell ref="A1:F1"/>
    <x:mergeCell ref="A2:F2"/>
    <x:mergeCell ref="A3:F3"/>
    <x:mergeCell ref="A35:F35"/>
    <x:mergeCell ref="A41:F41"/>
    <x:mergeCell ref="A49:F49"/>
    <x:mergeCell ref="A53:F53"/>
    <x:mergeCell ref="A57:F57"/>
    <x:mergeCell ref="A64:F64"/>
    <x:mergeCell ref="A70:F70"/>
    <x:mergeCell ref="A77:F77"/>
    <x:mergeCell ref="A84:F84"/>
    <x:mergeCell ref="A91:F91"/>
    <x:mergeCell ref="A97:F97"/>
    <x:mergeCell ref="A103:F103"/>
    <x:mergeCell ref="A110:F110"/>
    <x:mergeCell ref="A117:F117"/>
    <x:mergeCell ref="A126:F126"/>
    <x:mergeCell ref="A133:F133"/>
    <x:mergeCell ref="A139:F139"/>
    <x:mergeCell ref="A145:F145"/>
    <x:mergeCell ref="A152:F152"/>
    <x:mergeCell ref="A158:F158"/>
    <x:mergeCell ref="A165:F165"/>
    <x:mergeCell ref="A172:F172"/>
    <x:mergeCell ref="A179:F179"/>
    <x:mergeCell ref="A188:F188"/>
    <x:mergeCell ref="A196:F196"/>
    <x:mergeCell ref="A203:F203"/>
    <x:mergeCell ref="A210:F210"/>
    <x:mergeCell ref="A218:F218"/>
    <x:mergeCell ref="A239:F239"/>
  </x:mergeCells>
  <x:dataValidations count="1">
    <x:dataValidation type="list" sqref="D220:D237">
      <x:formula1>"Pending,Prepared,Reviewed,Not Applicable"</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38" hidden="0" customWidth="1"/>
    <x:col min="2" max="2" width="22" hidden="0" customWidth="1"/>
    <x:col min="3" max="3" width="22" hidden="0" customWidth="1"/>
    <x:col min="4" max="4" width="28" hidden="0" customWidth="1"/>
    <x:col min="5" max="5" width="22" hidden="0" customWidth="1"/>
    <x:col min="6" max="6" width="34" hidden="0" customWidth="1"/>
    <x:col min="7" max="7" width="16" hidden="0" customWidth="1"/>
  </x:cols>
  <x:sheetData>
    <x:row r="1" ht="24" customHeight="1">
      <x:c r="A1" s="242" t="str">
        <x:v>PART II – STATEMENT OF PROFIT AND LOSS</x:v>
      </x:c>
      <x:c r="B1" s="284"/>
      <x:c r="C1" s="284"/>
      <x:c r="D1" s="284"/>
      <x:c r="E1" s="284"/>
      <x:c r="F1" s="284"/>
      <x:c r="G1" s="284"/>
    </x:row>
    <x:row r="2">
      <x:c r="A2" s="243" t="n">
        <x:f>'Basic Info'!C13</x:f>
        <x:v>0</x:v>
      </x:c>
      <x:c r="B2" s="285"/>
      <x:c r="C2" s="285"/>
      <x:c r="D2" s="285"/>
      <x:c r="E2" s="285"/>
      <x:c r="F2" s="285"/>
      <x:c r="G2" s="285"/>
    </x:row>
    <x:row r="3">
      <x:c r="A3" s="245" t="str">
        <x:f>"Statement of Profit and Loss for the period ended "&amp;TEXT('Basic Info'!C8,"dd-mmm-yyyy")</x:f>
        <x:v>Statement of Profit and Loss for the period ended </x:v>
      </x:c>
      <x:c r="B3" s="286"/>
      <x:c r="C3" s="286"/>
      <x:c r="D3" s="286"/>
      <x:c r="E3" s="286"/>
      <x:c r="F3" s="286"/>
      <x:c r="G3" s="285"/>
    </x:row>
    <x:row r="4">
      <x:c r="A4" s="231" t="str">
        <x:f>"(Rupees in "&amp;'Basic Info'!C17&amp;")"</x:f>
        <x:v>(Rupees in Default)</x:v>
      </x:c>
      <x:c r="B4" s="287"/>
      <x:c r="C4" s="287"/>
      <x:c r="D4" s="287"/>
      <x:c r="E4" s="287"/>
      <x:c r="F4" s="287"/>
      <x:c r="G4" s="287"/>
    </x:row>
    <x:row r="5" ht="30" customHeight="1">
      <x:c r="A5" s="247"/>
      <x:c r="B5" s="288" t="str">
        <x:v>Particulars</x:v>
      </x:c>
      <x:c r="C5" s="288" t="str">
        <x:v>Note No.</x:v>
      </x:c>
      <x:c r="D5" s="288" t="str">
        <x:v>Figures for the current reporting period</x:v>
      </x:c>
      <x:c r="E5" s="236" t="str">
        <x:v>Figures for the previous reporting period</x:v>
      </x:c>
      <x:c r="F5" s="236"/>
      <x:c r="G5" s="236"/>
    </x:row>
    <x:row r="6">
      <x:c r="A6" s="248"/>
      <x:c r="B6" s="289" t="str">
        <x:v>1</x:v>
      </x:c>
      <x:c r="C6" s="289" t="str">
        <x:v>2</x:v>
      </x:c>
      <x:c r="D6" s="289" t="str">
        <x:v>3</x:v>
      </x:c>
      <x:c r="E6" s="236" t="str">
        <x:v>4</x:v>
      </x:c>
      <x:c r="F6" s="236"/>
      <x:c r="G6" s="236"/>
    </x:row>
    <x:row r="7">
      <x:c r="A7" s="248" t="str">
        <x:v>I.</x:v>
      </x:c>
      <x:c r="B7" s="289" t="str">
        <x:v>Revenue from operations</x:v>
      </x:c>
      <x:c r="C7" s="289" t="n">
        <x:v>41</x:v>
      </x:c>
      <x:c r="D7" s="289"/>
      <x:c r="E7" s="236"/>
      <x:c r="F7" s="236"/>
      <x:c r="G7" s="236"/>
    </x:row>
    <x:row r="8">
      <x:c r="A8" s="248" t="str">
        <x:v>II.</x:v>
      </x:c>
      <x:c r="B8" s="289" t="str">
        <x:v>Other income</x:v>
      </x:c>
      <x:c r="C8" s="289" t="n">
        <x:v>42</x:v>
      </x:c>
      <x:c r="D8" s="289"/>
      <x:c r="E8" s="236"/>
      <x:c r="F8" s="236"/>
      <x:c r="G8" s="236"/>
    </x:row>
    <x:row r="9">
      <x:c r="A9" s="248" t="str">
        <x:v>III.</x:v>
      </x:c>
      <x:c r="B9" s="289" t="str">
        <x:v>Total income (I+II)</x:v>
      </x:c>
      <x:c r="C9" s="289"/>
      <x:c r="D9" s="289"/>
      <x:c r="E9" s="236"/>
      <x:c r="F9" s="236"/>
      <x:c r="G9" s="236"/>
    </x:row>
    <x:row r="10">
      <x:c r="A10" s="248" t="str">
        <x:v>IV.</x:v>
      </x:c>
      <x:c r="B10" s="289" t="str">
        <x:v>Expenses:</x:v>
      </x:c>
      <x:c r="C10" s="289"/>
      <x:c r="D10" s="289"/>
      <x:c r="E10" s="236"/>
      <x:c r="F10" s="236"/>
      <x:c r="G10" s="236"/>
    </x:row>
    <x:row r="11">
      <x:c r="A11" s="248"/>
      <x:c r="B11" s="289" t="str">
        <x:v>Cost of materials consumed</x:v>
      </x:c>
      <x:c r="C11" s="289" t="n">
        <x:v>43</x:v>
      </x:c>
      <x:c r="D11" s="289"/>
      <x:c r="E11" s="236"/>
      <x:c r="F11" s="236"/>
      <x:c r="G11" s="236"/>
    </x:row>
    <x:row r="12">
      <x:c r="A12" s="248"/>
      <x:c r="B12" s="289" t="str">
        <x:v>Purchases of Stock-in-Trade</x:v>
      </x:c>
      <x:c r="C12" s="289" t="n">
        <x:v>44</x:v>
      </x:c>
      <x:c r="D12" s="289"/>
      <x:c r="E12" s="236"/>
      <x:c r="F12" s="236"/>
      <x:c r="G12" s="236"/>
    </x:row>
    <x:row r="13">
      <x:c r="A13" s="248"/>
      <x:c r="B13" s="289" t="str">
        <x:v>Changes in inventories of finished goods, Stock-in-Trade and work-in-progress</x:v>
      </x:c>
      <x:c r="C13" s="289" t="n">
        <x:v>45</x:v>
      </x:c>
      <x:c r="D13" s="289"/>
      <x:c r="E13" s="236"/>
      <x:c r="F13" s="236"/>
      <x:c r="G13" s="236"/>
    </x:row>
    <x:row r="14">
      <x:c r="A14" s="248"/>
      <x:c r="B14" s="289" t="str">
        <x:v>Employee benefits expense</x:v>
      </x:c>
      <x:c r="C14" s="289" t="n">
        <x:v>46</x:v>
      </x:c>
      <x:c r="D14" s="289"/>
      <x:c r="E14" s="236"/>
      <x:c r="F14" s="236"/>
      <x:c r="G14" s="236"/>
    </x:row>
    <x:row r="15">
      <x:c r="A15" s="248"/>
      <x:c r="B15" s="289" t="str">
        <x:v>Finance costs</x:v>
      </x:c>
      <x:c r="C15" s="289" t="n">
        <x:v>47</x:v>
      </x:c>
      <x:c r="D15" s="289"/>
      <x:c r="E15" s="236"/>
      <x:c r="F15" s="236"/>
      <x:c r="G15" s="236"/>
    </x:row>
    <x:row r="16">
      <x:c r="A16" s="248"/>
      <x:c r="B16" s="289" t="str">
        <x:v>Depreciation and amortization expense</x:v>
      </x:c>
      <x:c r="C16" s="289" t="n">
        <x:v>48</x:v>
      </x:c>
      <x:c r="D16" s="289"/>
      <x:c r="E16" s="236"/>
      <x:c r="F16" s="236"/>
      <x:c r="G16" s="236"/>
    </x:row>
    <x:row r="17">
      <x:c r="A17" s="248"/>
      <x:c r="B17" s="289" t="str">
        <x:v>Other expenses</x:v>
      </x:c>
      <x:c r="C17" s="289" t="n">
        <x:v>49</x:v>
      </x:c>
      <x:c r="D17" s="289"/>
      <x:c r="E17" s="236"/>
      <x:c r="F17" s="236"/>
      <x:c r="G17" s="236"/>
    </x:row>
    <x:row r="18">
      <x:c r="A18" s="248"/>
      <x:c r="B18" s="289" t="str">
        <x:v>Total expenses (IV)</x:v>
      </x:c>
      <x:c r="C18" s="289"/>
      <x:c r="D18" s="289"/>
      <x:c r="E18" s="236"/>
      <x:c r="F18" s="236"/>
      <x:c r="G18" s="236"/>
    </x:row>
    <x:row r="19">
      <x:c r="A19" s="248" t="str">
        <x:v>V.</x:v>
      </x:c>
      <x:c r="B19" s="289" t="str">
        <x:v>Profit/(Loss) before exceptional items and tax (III-IV)</x:v>
      </x:c>
      <x:c r="C19" s="289"/>
      <x:c r="D19" s="289"/>
      <x:c r="E19" s="236"/>
      <x:c r="F19" s="236"/>
      <x:c r="G19" s="236"/>
    </x:row>
    <x:row r="20">
      <x:c r="A20" s="248" t="str">
        <x:v>VI.</x:v>
      </x:c>
      <x:c r="B20" s="289" t="str">
        <x:v>Exceptional items</x:v>
      </x:c>
      <x:c r="C20" s="289" t="n">
        <x:v>50</x:v>
      </x:c>
      <x:c r="D20" s="289"/>
      <x:c r="E20" s="236"/>
      <x:c r="F20" s="236"/>
      <x:c r="G20" s="236"/>
    </x:row>
    <x:row r="21">
      <x:c r="A21" s="248" t="str">
        <x:v>VII.</x:v>
      </x:c>
      <x:c r="B21" s="289" t="str">
        <x:v>Profit/(Loss) before tax (V-VI)</x:v>
      </x:c>
      <x:c r="C21" s="289"/>
      <x:c r="D21" s="289"/>
      <x:c r="E21" s="236"/>
      <x:c r="F21" s="236"/>
      <x:c r="G21" s="236"/>
    </x:row>
    <x:row r="22">
      <x:c r="A22" s="248" t="str">
        <x:v>VIII.</x:v>
      </x:c>
      <x:c r="B22" s="289" t="str">
        <x:v>Tax expense:</x:v>
      </x:c>
      <x:c r="C22" s="289" t="n">
        <x:v>51</x:v>
      </x:c>
      <x:c r="D22" s="289"/>
      <x:c r="E22" s="236"/>
      <x:c r="F22" s="236"/>
      <x:c r="G22" s="236"/>
    </x:row>
    <x:row r="23">
      <x:c r="A23" s="248"/>
      <x:c r="B23" s="289" t="str">
        <x:v>(1) Current tax</x:v>
      </x:c>
      <x:c r="C23" s="289"/>
      <x:c r="D23" s="289"/>
      <x:c r="E23" s="236"/>
      <x:c r="F23" s="236"/>
      <x:c r="G23" s="236"/>
    </x:row>
    <x:row r="24">
      <x:c r="A24" s="248"/>
      <x:c r="B24" s="289" t="str">
        <x:v>(2) Deferred tax</x:v>
      </x:c>
      <x:c r="C24" s="289"/>
      <x:c r="D24" s="289"/>
      <x:c r="E24" s="236"/>
      <x:c r="F24" s="236"/>
      <x:c r="G24" s="236"/>
    </x:row>
    <x:row r="25">
      <x:c r="A25" s="248" t="str">
        <x:v>IX.</x:v>
      </x:c>
      <x:c r="B25" s="289" t="str">
        <x:v>Profit/(Loss) for the period from continuing operations (VII-VIII)</x:v>
      </x:c>
      <x:c r="C25" s="289"/>
      <x:c r="D25" s="289"/>
      <x:c r="E25" s="236"/>
      <x:c r="F25" s="236"/>
      <x:c r="G25" s="236"/>
    </x:row>
    <x:row r="26">
      <x:c r="A26" s="248" t="str">
        <x:v>X.</x:v>
      </x:c>
      <x:c r="B26" s="289" t="str">
        <x:v>Profit/(Loss) from discontinued operations</x:v>
      </x:c>
      <x:c r="C26" s="289" t="n">
        <x:v>52</x:v>
      </x:c>
      <x:c r="D26" s="289"/>
      <x:c r="E26" s="236"/>
      <x:c r="F26" s="236"/>
      <x:c r="G26" s="236"/>
    </x:row>
    <x:row r="27">
      <x:c r="A27" s="248" t="str">
        <x:v>XI.</x:v>
      </x:c>
      <x:c r="B27" s="289" t="str">
        <x:v>Tax expense of discontinued operations</x:v>
      </x:c>
      <x:c r="C27" s="289"/>
      <x:c r="D27" s="289"/>
      <x:c r="E27" s="236"/>
      <x:c r="F27" s="236"/>
      <x:c r="G27" s="236"/>
    </x:row>
    <x:row r="28">
      <x:c r="A28" s="248" t="str">
        <x:v>XII.</x:v>
      </x:c>
      <x:c r="B28" s="289" t="str">
        <x:v>Profit/(Loss) from discontinued operations after tax (X-XI)</x:v>
      </x:c>
      <x:c r="C28" s="289"/>
      <x:c r="D28" s="289"/>
      <x:c r="E28" s="236"/>
      <x:c r="F28" s="236"/>
      <x:c r="G28" s="236"/>
    </x:row>
    <x:row r="29">
      <x:c r="A29" s="248" t="str">
        <x:v>XIII.</x:v>
      </x:c>
      <x:c r="B29" s="289" t="str">
        <x:v>Profit/(Loss) for the period (IX+XII)</x:v>
      </x:c>
      <x:c r="C29" s="289"/>
      <x:c r="D29" s="289"/>
      <x:c r="E29" s="236"/>
      <x:c r="F29" s="236"/>
      <x:c r="G29" s="236"/>
    </x:row>
    <x:row r="30">
      <x:c r="A30" s="248" t="str">
        <x:v>XIV.</x:v>
      </x:c>
      <x:c r="B30" s="289" t="str">
        <x:v>Other Comprehensive Income</x:v>
      </x:c>
      <x:c r="C30" s="289" t="n">
        <x:v>53</x:v>
      </x:c>
      <x:c r="D30" s="289"/>
      <x:c r="E30" s="236"/>
      <x:c r="F30" s="236"/>
      <x:c r="G30" s="236"/>
    </x:row>
    <x:row r="31">
      <x:c r="A31" s="248"/>
      <x:c r="B31" s="289" t="str">
        <x:v>A. Items that will not be reclassified to profit or loss</x:v>
      </x:c>
      <x:c r="C31" s="289"/>
      <x:c r="D31" s="289"/>
      <x:c r="E31" s="236"/>
      <x:c r="F31" s="236"/>
      <x:c r="G31" s="236"/>
    </x:row>
    <x:row r="32">
      <x:c r="A32" s="248"/>
      <x:c r="B32" s="289" t="str">
        <x:v>Income tax relating to items that will not be reclassified to profit or loss</x:v>
      </x:c>
      <x:c r="C32" s="289"/>
      <x:c r="D32" s="289"/>
      <x:c r="E32" s="236"/>
      <x:c r="F32" s="236"/>
      <x:c r="G32" s="236"/>
    </x:row>
    <x:row r="33">
      <x:c r="A33" s="248"/>
      <x:c r="B33" s="289" t="str">
        <x:v>B. Items that will be reclassified to profit or loss</x:v>
      </x:c>
      <x:c r="C33" s="289"/>
      <x:c r="D33" s="289"/>
      <x:c r="E33" s="236"/>
      <x:c r="F33" s="236"/>
      <x:c r="G33" s="236"/>
    </x:row>
    <x:row r="34">
      <x:c r="A34" s="248"/>
      <x:c r="B34" s="289" t="str">
        <x:v>Income tax relating to items that will be reclassified to profit or loss</x:v>
      </x:c>
      <x:c r="C34" s="289"/>
      <x:c r="D34" s="289"/>
      <x:c r="E34" s="236"/>
      <x:c r="F34" s="236"/>
      <x:c r="G34" s="236"/>
    </x:row>
    <x:row r="35">
      <x:c r="A35" s="248" t="str">
        <x:v>XV.</x:v>
      </x:c>
      <x:c r="B35" s="289" t="str">
        <x:v>Total Comprehensive Income for the period (XIII+XIV)</x:v>
      </x:c>
      <x:c r="C35" s="289"/>
      <x:c r="D35" s="289"/>
      <x:c r="E35" s="236"/>
      <x:c r="F35" s="236"/>
      <x:c r="G35" s="236"/>
    </x:row>
    <x:row r="36">
      <x:c r="A36" s="248" t="str">
        <x:v>XVI.</x:v>
      </x:c>
      <x:c r="B36" s="289" t="str">
        <x:v>Earnings per equity share – continuing operations</x:v>
      </x:c>
      <x:c r="C36" s="289" t="n">
        <x:v>54</x:v>
      </x:c>
      <x:c r="D36" s="289"/>
      <x:c r="E36" s="236"/>
      <x:c r="F36" s="236"/>
      <x:c r="G36" s="236"/>
    </x:row>
    <x:row r="37">
      <x:c r="A37" s="248"/>
      <x:c r="B37" s="289" t="str">
        <x:v>Basic</x:v>
      </x:c>
      <x:c r="C37" s="289"/>
      <x:c r="D37" s="289"/>
      <x:c r="E37" s="236"/>
      <x:c r="F37" s="236"/>
      <x:c r="G37" s="236"/>
    </x:row>
    <x:row r="38">
      <x:c r="A38" s="248"/>
      <x:c r="B38" s="289" t="str">
        <x:v>Diluted</x:v>
      </x:c>
      <x:c r="C38" s="289"/>
      <x:c r="D38" s="289"/>
      <x:c r="E38" s="236"/>
      <x:c r="F38" s="236"/>
      <x:c r="G38" s="236"/>
    </x:row>
    <x:row r="39">
      <x:c r="A39" s="248" t="str">
        <x:v>XVII.</x:v>
      </x:c>
      <x:c r="B39" s="289" t="str">
        <x:v>Earnings per equity share – discontinued operations</x:v>
      </x:c>
      <x:c r="C39" s="289"/>
      <x:c r="D39" s="289"/>
      <x:c r="E39" s="236"/>
      <x:c r="F39" s="236"/>
      <x:c r="G39" s="236"/>
    </x:row>
    <x:row r="40">
      <x:c r="A40" s="248"/>
      <x:c r="B40" s="289" t="str">
        <x:v>Basic</x:v>
      </x:c>
      <x:c r="C40" s="289"/>
      <x:c r="D40" s="289"/>
      <x:c r="E40" s="236"/>
      <x:c r="F40" s="236"/>
      <x:c r="G40" s="236"/>
    </x:row>
    <x:row r="41">
      <x:c r="A41" s="248"/>
      <x:c r="B41" s="289" t="str">
        <x:v>Diluted</x:v>
      </x:c>
      <x:c r="C41" s="289"/>
      <x:c r="D41" s="289"/>
      <x:c r="E41" s="236"/>
      <x:c r="F41" s="236"/>
      <x:c r="G41" s="236"/>
    </x:row>
    <x:row r="42">
      <x:c r="A42" s="248" t="str">
        <x:v>XVIII.</x:v>
      </x:c>
      <x:c r="B42" s="289" t="str">
        <x:v>Earnings per equity share – continuing and discontinued operations</x:v>
      </x:c>
      <x:c r="C42" s="289"/>
      <x:c r="D42" s="289"/>
      <x:c r="E42" s="236"/>
      <x:c r="F42" s="236"/>
      <x:c r="G42" s="236"/>
    </x:row>
    <x:row r="43">
      <x:c r="A43" s="248"/>
      <x:c r="B43" s="289" t="str">
        <x:v>Basic</x:v>
      </x:c>
      <x:c r="C43" s="289"/>
      <x:c r="D43" s="289"/>
      <x:c r="E43" s="236"/>
      <x:c r="F43" s="236"/>
      <x:c r="G43" s="236"/>
    </x:row>
    <x:row r="44">
      <x:c r="A44" s="248"/>
      <x:c r="B44" s="289" t="str">
        <x:v>Diluted</x:v>
      </x:c>
      <x:c r="C44" s="289"/>
      <x:c r="D44" s="289"/>
      <x:c r="E44" s="236"/>
      <x:c r="F44" s="236"/>
      <x:c r="G44" s="236"/>
    </x:row>
    <x:row r="45">
      <x:c r="A45" s="248" t="str">
        <x:v>See accompanying notes to the financial statements</x:v>
      </x:c>
      <x:c r="B45" s="289"/>
      <x:c r="C45" s="289"/>
      <x:c r="D45" s="289"/>
      <x:c r="E45" s="236"/>
      <x:c r="F45" s="236"/>
      <x:c r="G45" s="236"/>
    </x:row>
    <x:row r="46">
      <x:c r="A46" s="234"/>
      <x:c r="B46" s="236"/>
      <x:c r="C46" s="236"/>
      <x:c r="D46" s="236"/>
      <x:c r="E46" s="236"/>
      <x:c r="F46" s="236"/>
      <x:c r="G46" s="236"/>
    </x:row>
    <x:row r="47">
      <x:c r="A47" s="234"/>
      <x:c r="B47" s="236"/>
      <x:c r="C47" s="236"/>
      <x:c r="D47" s="236"/>
      <x:c r="E47" s="236"/>
      <x:c r="F47" s="236"/>
      <x:c r="G47" s="236"/>
    </x:row>
    <x:row r="48">
      <x:c r="A48" s="279"/>
      <x:c r="B48" s="290"/>
      <x:c r="C48" s="290"/>
      <x:c r="D48" s="290"/>
      <x:c r="E48" s="290"/>
      <x:c r="F48" s="290"/>
      <x:c r="G48" s="290"/>
    </x:row>
    <x:row r="49">
      <x:c r="A49" s="255"/>
      <x:c r="B49" s="291"/>
      <x:c r="C49" s="291"/>
      <x:c r="D49" s="291"/>
      <x:c r="E49" s="291"/>
      <x:c r="F49" s="291"/>
      <x:c r="G49" s="291"/>
    </x:row>
    <x:row r="50">
      <x:c r="A50" s="248" t="str">
        <x:v>Schedule III Division II — Notes to Balance Sheet</x:v>
      </x:c>
      <x:c r="B50" s="261"/>
      <x:c r="C50" s="261"/>
      <x:c r="D50" s="261"/>
      <x:c r="E50" s="261"/>
      <x:c r="F50" s="261"/>
      <x:c r="G50" s="261" t="str">
        <x:v>DIVISION II GROUP</x:v>
      </x:c>
    </x:row>
    <x:row r="51">
      <x:c r="A51" s="248" t="n">
        <x:f>'Basic Info'!C13</x:f>
        <x:v>0</x:v>
      </x:c>
      <x:c r="B51" s="261"/>
      <x:c r="C51" s="261"/>
      <x:c r="D51" s="261"/>
      <x:c r="E51" s="261"/>
      <x:c r="F51" s="261"/>
      <x:c r="G51" s="261"/>
    </x:row>
    <x:row r="52">
      <x:c r="A52" s="248" t="str">
        <x:f>"Notes forming part of the Financial Statements for the year ended "&amp;TEXT('Basic Info'!C8,"dd-mmm-yyyy")</x:f>
        <x:v>Notes forming part of the Financial Statements for the year ended </x:v>
      </x:c>
      <x:c r="B52" s="261"/>
      <x:c r="C52" s="261"/>
      <x:c r="D52" s="261"/>
      <x:c r="E52" s="261"/>
      <x:c r="F52" s="261"/>
      <x:c r="G52" s="261"/>
    </x:row>
    <x:row r="53">
      <x:c r="A53" s="248"/>
      <x:c r="B53" s="261"/>
      <x:c r="C53" s="261"/>
      <x:c r="D53" s="261"/>
      <x:c r="E53" s="261"/>
      <x:c r="F53" s="261"/>
      <x:c r="G53" s="261"/>
    </x:row>
    <x:row r="54">
      <x:c r="A54" s="248" t="str">
        <x:v>Note No.</x:v>
      </x:c>
      <x:c r="B54" s="261" t="str">
        <x:v>Particulars</x:v>
      </x:c>
      <x:c r="C54" s="261" t="str">
        <x:v>Balance Sheet Section</x:v>
      </x:c>
      <x:c r="D54" s="261" t="str">
        <x:v>Classification Basis</x:v>
      </x:c>
      <x:c r="E54" s="261"/>
      <x:c r="F54" s="261"/>
      <x:c r="G54" s="261"/>
    </x:row>
    <x:row r="55">
      <x:c r="A55" s="248" t="n">
        <x:v>1</x:v>
      </x:c>
      <x:c r="B55" s="261" t="str">
        <x:v>Property, Plant and Equipment</x:v>
      </x:c>
      <x:c r="C55" s="261" t="str">
        <x:v>Non-current assets</x:v>
      </x:c>
      <x:c r="D55" s="261" t="str">
        <x:v>Current / non-current + financial classification</x:v>
      </x:c>
      <x:c r="E55" s="261"/>
      <x:c r="F55" s="261"/>
      <x:c r="G55" s="261"/>
    </x:row>
    <x:row r="56">
      <x:c r="A56" s="276" t="n">
        <x:v>2</x:v>
      </x:c>
      <x:c r="B56" s="277" t="str">
        <x:v>Capital work-in-progress</x:v>
      </x:c>
      <x:c r="C56" s="277" t="str">
        <x:v>Non-current assets</x:v>
      </x:c>
      <x:c r="D56" s="277" t="str">
        <x:v>Current / non-current + financial classification</x:v>
      </x:c>
      <x:c r="E56" s="277"/>
      <x:c r="F56" s="277"/>
      <x:c r="G56" s="277"/>
    </x:row>
    <x:row r="57">
      <x:c r="A57" s="279" t="n">
        <x:v>3</x:v>
      </x:c>
      <x:c r="B57" s="290" t="str">
        <x:v>Investment property</x:v>
      </x:c>
      <x:c r="C57" s="290" t="str">
        <x:v>Non-current assets</x:v>
      </x:c>
      <x:c r="D57" s="290" t="str">
        <x:v>Current / non-current + financial classification</x:v>
      </x:c>
      <x:c r="E57" s="290"/>
      <x:c r="F57" s="290"/>
      <x:c r="G57" s="290"/>
    </x:row>
    <x:row r="58">
      <x:c r="A58" s="255" t="n">
        <x:v>4</x:v>
      </x:c>
      <x:c r="B58" s="291" t="str">
        <x:v>Goodwill</x:v>
      </x:c>
      <x:c r="C58" s="291" t="str">
        <x:v>Non-current assets</x:v>
      </x:c>
      <x:c r="D58" s="291" t="str">
        <x:v>Current / non-current + financial classification</x:v>
      </x:c>
      <x:c r="E58" s="291"/>
      <x:c r="F58" s="291"/>
      <x:c r="G58" s="291"/>
    </x:row>
    <x:row r="59">
      <x:c r="A59" s="248" t="n">
        <x:v>5</x:v>
      </x:c>
      <x:c r="B59" s="261" t="str">
        <x:v>Other intangible assets</x:v>
      </x:c>
      <x:c r="C59" s="261" t="str">
        <x:v>Non-current assets</x:v>
      </x:c>
      <x:c r="D59" s="261" t="str">
        <x:v>Current / non-current + financial classification</x:v>
      </x:c>
      <x:c r="E59" s="261"/>
      <x:c r="F59" s="261"/>
      <x:c r="G59" s="261"/>
    </x:row>
    <x:row r="60">
      <x:c r="A60" s="248" t="n">
        <x:v>6</x:v>
      </x:c>
      <x:c r="B60" s="261" t="str">
        <x:v>Intangible assets under development</x:v>
      </x:c>
      <x:c r="C60" s="261" t="str">
        <x:v>Non-current assets</x:v>
      </x:c>
      <x:c r="D60" s="261" t="str">
        <x:v>Current / non-current + financial classification</x:v>
      </x:c>
      <x:c r="E60" s="261"/>
      <x:c r="F60" s="261"/>
      <x:c r="G60" s="261"/>
    </x:row>
    <x:row r="61">
      <x:c r="A61" s="248" t="n">
        <x:v>7</x:v>
      </x:c>
      <x:c r="B61" s="261" t="str">
        <x:v>Biological assets other than bearer plants</x:v>
      </x:c>
      <x:c r="C61" s="261" t="str">
        <x:v>Non-current assets</x:v>
      </x:c>
      <x:c r="D61" s="261" t="str">
        <x:v>Current / non-current + financial classification</x:v>
      </x:c>
      <x:c r="E61" s="261"/>
      <x:c r="F61" s="261"/>
      <x:c r="G61" s="261"/>
    </x:row>
    <x:row r="62">
      <x:c r="A62" s="276" t="n">
        <x:v>8</x:v>
      </x:c>
      <x:c r="B62" s="277" t="str">
        <x:v>Investments — Non-current assets</x:v>
      </x:c>
      <x:c r="C62" s="277" t="str">
        <x:v>Non-current assets</x:v>
      </x:c>
      <x:c r="D62" s="277" t="str">
        <x:v>Current / non-current + financial classification</x:v>
      </x:c>
      <x:c r="E62" s="277"/>
      <x:c r="F62" s="277"/>
      <x:c r="G62" s="277"/>
    </x:row>
    <x:row r="63">
      <x:c r="A63" s="279" t="n">
        <x:v>9</x:v>
      </x:c>
      <x:c r="B63" s="290" t="str">
        <x:v>Trade receivables — Non-current assets</x:v>
      </x:c>
      <x:c r="C63" s="290" t="str">
        <x:v>Non-current assets</x:v>
      </x:c>
      <x:c r="D63" s="290" t="str">
        <x:v>Current / non-current + financial classification</x:v>
      </x:c>
      <x:c r="E63" s="290"/>
      <x:c r="F63" s="290"/>
      <x:c r="G63" s="290"/>
    </x:row>
    <x:row r="64">
      <x:c r="A64" s="255" t="n">
        <x:v>10</x:v>
      </x:c>
      <x:c r="B64" s="291" t="str">
        <x:v>Loans — Non-current assets</x:v>
      </x:c>
      <x:c r="C64" s="291" t="str">
        <x:v>Non-current assets</x:v>
      </x:c>
      <x:c r="D64" s="291" t="str">
        <x:v>Current / non-current + financial classification</x:v>
      </x:c>
      <x:c r="E64" s="291"/>
      <x:c r="F64" s="291"/>
      <x:c r="G64" s="291"/>
    </x:row>
    <x:row r="65">
      <x:c r="A65" s="248" t="n">
        <x:v>11</x:v>
      </x:c>
      <x:c r="B65" s="261" t="str">
        <x:v>Other financial assets (to be specified) — Non-current assets</x:v>
      </x:c>
      <x:c r="C65" s="261" t="str">
        <x:v>Non-current assets</x:v>
      </x:c>
      <x:c r="D65" s="261" t="str">
        <x:v>Current / non-current + financial classification</x:v>
      </x:c>
      <x:c r="E65" s="261"/>
      <x:c r="F65" s="261"/>
      <x:c r="G65" s="261"/>
    </x:row>
    <x:row r="66">
      <x:c r="A66" s="248" t="n">
        <x:v>12</x:v>
      </x:c>
      <x:c r="B66" s="261" t="str">
        <x:v>Deferred tax assets (Net)</x:v>
      </x:c>
      <x:c r="C66" s="261" t="str">
        <x:v>Non-current assets</x:v>
      </x:c>
      <x:c r="D66" s="261" t="str">
        <x:v>Current / non-current + financial classification</x:v>
      </x:c>
      <x:c r="E66" s="261"/>
      <x:c r="F66" s="261"/>
      <x:c r="G66" s="261"/>
    </x:row>
    <x:row r="67">
      <x:c r="A67" s="248" t="n">
        <x:v>13</x:v>
      </x:c>
      <x:c r="B67" s="261" t="str">
        <x:v>Other non-current assets</x:v>
      </x:c>
      <x:c r="C67" s="261" t="str">
        <x:v>Non-current assets</x:v>
      </x:c>
      <x:c r="D67" s="261" t="str">
        <x:v>Current / non-current + financial classification</x:v>
      </x:c>
      <x:c r="E67" s="261"/>
      <x:c r="F67" s="261"/>
      <x:c r="G67" s="261"/>
    </x:row>
    <x:row r="68">
      <x:c r="A68" s="276" t="n">
        <x:v>14</x:v>
      </x:c>
      <x:c r="B68" s="277" t="str">
        <x:v>Inventories</x:v>
      </x:c>
      <x:c r="C68" s="277" t="str">
        <x:v>Current assets</x:v>
      </x:c>
      <x:c r="D68" s="277" t="str">
        <x:v>Current / non-current + financial classification</x:v>
      </x:c>
      <x:c r="E68" s="277"/>
      <x:c r="F68" s="277"/>
      <x:c r="G68" s="277"/>
    </x:row>
    <x:row r="69">
      <x:c r="A69" s="279" t="n">
        <x:v>15</x:v>
      </x:c>
      <x:c r="B69" s="290" t="str">
        <x:v>Investments — Current assets</x:v>
      </x:c>
      <x:c r="C69" s="290" t="str">
        <x:v>Current assets</x:v>
      </x:c>
      <x:c r="D69" s="290" t="str">
        <x:v>Current / non-current + financial classification</x:v>
      </x:c>
      <x:c r="E69" s="290"/>
      <x:c r="F69" s="290"/>
      <x:c r="G69" s="290"/>
    </x:row>
    <x:row r="70">
      <x:c r="A70" s="255" t="n">
        <x:v>16</x:v>
      </x:c>
      <x:c r="B70" s="291" t="str">
        <x:v>Trade receivables — Current assets</x:v>
      </x:c>
      <x:c r="C70" s="291" t="str">
        <x:v>Current assets</x:v>
      </x:c>
      <x:c r="D70" s="291" t="str">
        <x:v>Current / non-current + financial classification</x:v>
      </x:c>
      <x:c r="E70" s="291"/>
      <x:c r="F70" s="291"/>
      <x:c r="G70" s="291"/>
    </x:row>
    <x:row r="71">
      <x:c r="A71" s="248" t="n">
        <x:v>17</x:v>
      </x:c>
      <x:c r="B71" s="261" t="str">
        <x:v>Cash and cash equivalents</x:v>
      </x:c>
      <x:c r="C71" s="261" t="str">
        <x:v>Current assets</x:v>
      </x:c>
      <x:c r="D71" s="261" t="str">
        <x:v>Current / non-current + financial classification</x:v>
      </x:c>
      <x:c r="E71" s="261"/>
      <x:c r="F71" s="261"/>
      <x:c r="G71" s="261"/>
    </x:row>
    <x:row r="72">
      <x:c r="A72" s="248" t="n">
        <x:v>18</x:v>
      </x:c>
      <x:c r="B72" s="261" t="str">
        <x:v>Bank balances other than cash and cash equivalents</x:v>
      </x:c>
      <x:c r="C72" s="261" t="str">
        <x:v>Current assets</x:v>
      </x:c>
      <x:c r="D72" s="261" t="str">
        <x:v>Current / non-current + financial classification</x:v>
      </x:c>
      <x:c r="E72" s="261"/>
      <x:c r="F72" s="261"/>
      <x:c r="G72" s="261"/>
    </x:row>
    <x:row r="73">
      <x:c r="A73" s="248" t="n">
        <x:v>19</x:v>
      </x:c>
      <x:c r="B73" s="261" t="str">
        <x:v>Loans — Current assets</x:v>
      </x:c>
      <x:c r="C73" s="261" t="str">
        <x:v>Current assets</x:v>
      </x:c>
      <x:c r="D73" s="261" t="str">
        <x:v>Current / non-current + financial classification</x:v>
      </x:c>
      <x:c r="E73" s="261"/>
      <x:c r="F73" s="261"/>
      <x:c r="G73" s="261"/>
    </x:row>
    <x:row r="74">
      <x:c r="A74" s="276" t="n">
        <x:v>20</x:v>
      </x:c>
      <x:c r="B74" s="277" t="str">
        <x:v>Other financial assets (to be specified) — Current assets</x:v>
      </x:c>
      <x:c r="C74" s="277" t="str">
        <x:v>Current assets</x:v>
      </x:c>
      <x:c r="D74" s="277" t="str">
        <x:v>Current / non-current + financial classification</x:v>
      </x:c>
      <x:c r="E74" s="277"/>
      <x:c r="F74" s="277"/>
      <x:c r="G74" s="277"/>
    </x:row>
    <x:row r="75">
      <x:c r="A75" s="279" t="n">
        <x:v>21</x:v>
      </x:c>
      <x:c r="B75" s="290" t="str">
        <x:v>Current tax assets (Net)</x:v>
      </x:c>
      <x:c r="C75" s="290" t="str">
        <x:v>Current assets</x:v>
      </x:c>
      <x:c r="D75" s="290" t="str">
        <x:v>Current / non-current + financial classification</x:v>
      </x:c>
      <x:c r="E75" s="290"/>
      <x:c r="F75" s="290"/>
      <x:c r="G75" s="290"/>
    </x:row>
    <x:row r="76">
      <x:c r="A76" s="255" t="n">
        <x:v>22</x:v>
      </x:c>
      <x:c r="B76" s="291" t="str">
        <x:v>Other current assets</x:v>
      </x:c>
      <x:c r="C76" s="291" t="str">
        <x:v>Current assets</x:v>
      </x:c>
      <x:c r="D76" s="291" t="str">
        <x:v>Current / non-current + financial classification</x:v>
      </x:c>
      <x:c r="E76" s="291"/>
      <x:c r="F76" s="291"/>
      <x:c r="G76" s="291"/>
    </x:row>
    <x:row r="77">
      <x:c r="A77" s="248" t="n">
        <x:v>23</x:v>
      </x:c>
      <x:c r="B77" s="261" t="str">
        <x:v>Equity share capital</x:v>
      </x:c>
      <x:c r="C77" s="261" t="str">
        <x:v>Equity</x:v>
      </x:c>
      <x:c r="D77" s="261" t="str">
        <x:v>Current / non-current + financial classification</x:v>
      </x:c>
      <x:c r="E77" s="261"/>
      <x:c r="F77" s="261"/>
      <x:c r="G77" s="261"/>
    </x:row>
    <x:row r="78">
      <x:c r="A78" s="248" t="n">
        <x:v>24</x:v>
      </x:c>
      <x:c r="B78" s="261" t="str">
        <x:v>Other equity</x:v>
      </x:c>
      <x:c r="C78" s="261" t="str">
        <x:v>Equity</x:v>
      </x:c>
      <x:c r="D78" s="261" t="str">
        <x:v>Current / non-current + financial classification</x:v>
      </x:c>
      <x:c r="E78" s="261"/>
      <x:c r="F78" s="261"/>
      <x:c r="G78" s="261"/>
    </x:row>
    <x:row r="79">
      <x:c r="A79" s="248" t="n">
        <x:v>25</x:v>
      </x:c>
      <x:c r="B79" s="261" t="str">
        <x:v>Borrowings — Non-current liabilities</x:v>
      </x:c>
      <x:c r="C79" s="261" t="str">
        <x:v>Non-current liabilities</x:v>
      </x:c>
      <x:c r="D79" s="261" t="str">
        <x:v>Current / non-current + financial classification</x:v>
      </x:c>
      <x:c r="E79" s="261"/>
      <x:c r="F79" s="261"/>
      <x:c r="G79" s="261"/>
    </x:row>
    <x:row r="80">
      <x:c r="A80" s="248" t="n">
        <x:v>26</x:v>
      </x:c>
      <x:c r="B80" s="261" t="str">
        <x:v>Lease liabilities — Non-current liabilities</x:v>
      </x:c>
      <x:c r="C80" s="261" t="str">
        <x:v>Non-current liabilities</x:v>
      </x:c>
      <x:c r="D80" s="261" t="str">
        <x:v>Current / non-current + financial classification</x:v>
      </x:c>
      <x:c r="E80" s="261"/>
      <x:c r="F80" s="261"/>
      <x:c r="G80" s="261"/>
    </x:row>
    <x:row r="81">
      <x:c r="A81" s="276" t="n">
        <x:v>27</x:v>
      </x:c>
      <x:c r="B81" s="277" t="str">
        <x:v>Total outstanding dues of micro enterprises and small enterprises — Non-current liabilities</x:v>
      </x:c>
      <x:c r="C81" s="277" t="str">
        <x:v>Non-current liabilities</x:v>
      </x:c>
      <x:c r="D81" s="277" t="str">
        <x:v>Current / non-current + financial classification</x:v>
      </x:c>
      <x:c r="E81" s="277"/>
      <x:c r="F81" s="277"/>
      <x:c r="G81" s="277"/>
    </x:row>
    <x:row r="82">
      <x:c r="A82" s="279" t="n">
        <x:v>28</x:v>
      </x:c>
      <x:c r="B82" s="290" t="str">
        <x:v>Total outstanding dues of creditors other than micro enterprises and small enterprises — Non-current liabilities</x:v>
      </x:c>
      <x:c r="C82" s="290" t="str">
        <x:v>Non-current liabilities</x:v>
      </x:c>
      <x:c r="D82" s="290" t="str">
        <x:v>Current / non-current + financial classification</x:v>
      </x:c>
      <x:c r="E82" s="290"/>
      <x:c r="F82" s="290"/>
      <x:c r="G82" s="290"/>
    </x:row>
    <x:row r="83">
      <x:c r="A83" s="255" t="n">
        <x:v>29</x:v>
      </x:c>
      <x:c r="B83" s="291" t="str">
        <x:v>Other financial liabilities (to be specified) — Non-current liabilities</x:v>
      </x:c>
      <x:c r="C83" s="291" t="str">
        <x:v>Non-current liabilities</x:v>
      </x:c>
      <x:c r="D83" s="291" t="str">
        <x:v>Current / non-current + financial classification</x:v>
      </x:c>
      <x:c r="E83" s="291"/>
      <x:c r="F83" s="291"/>
      <x:c r="G83" s="291"/>
    </x:row>
    <x:row r="84">
      <x:c r="A84" s="248" t="n">
        <x:v>30</x:v>
      </x:c>
      <x:c r="B84" s="261" t="str">
        <x:v>Provisions — Non-current liabilities</x:v>
      </x:c>
      <x:c r="C84" s="261" t="str">
        <x:v>Non-current liabilities</x:v>
      </x:c>
      <x:c r="D84" s="261" t="str">
        <x:v>Current / non-current + financial classification</x:v>
      </x:c>
      <x:c r="E84" s="261"/>
      <x:c r="F84" s="261"/>
      <x:c r="G84" s="261"/>
    </x:row>
    <x:row r="85">
      <x:c r="A85" s="248" t="n">
        <x:v>31</x:v>
      </x:c>
      <x:c r="B85" s="261" t="str">
        <x:v>Deferred tax liabilities (Net)</x:v>
      </x:c>
      <x:c r="C85" s="261" t="str">
        <x:v>Non-current liabilities</x:v>
      </x:c>
      <x:c r="D85" s="261" t="str">
        <x:v>Current / non-current + financial classification</x:v>
      </x:c>
      <x:c r="E85" s="261"/>
      <x:c r="F85" s="261"/>
      <x:c r="G85" s="261"/>
    </x:row>
    <x:row r="86">
      <x:c r="A86" s="248" t="n">
        <x:v>32</x:v>
      </x:c>
      <x:c r="B86" s="261" t="str">
        <x:v>Other non-current liabilities</x:v>
      </x:c>
      <x:c r="C86" s="261" t="str">
        <x:v>Non-current liabilities</x:v>
      </x:c>
      <x:c r="D86" s="261" t="str">
        <x:v>Current / non-current + financial classification</x:v>
      </x:c>
      <x:c r="E86" s="261"/>
      <x:c r="F86" s="261"/>
      <x:c r="G86" s="261"/>
    </x:row>
    <x:row r="87">
      <x:c r="A87" s="276" t="n">
        <x:v>33</x:v>
      </x:c>
      <x:c r="B87" s="277" t="str">
        <x:v>Borrowings — Current liabilities</x:v>
      </x:c>
      <x:c r="C87" s="277" t="str">
        <x:v>Current liabilities</x:v>
      </x:c>
      <x:c r="D87" s="277" t="str">
        <x:v>Current / non-current + financial classification</x:v>
      </x:c>
      <x:c r="E87" s="277"/>
      <x:c r="F87" s="277"/>
      <x:c r="G87" s="277"/>
    </x:row>
    <x:row r="88">
      <x:c r="A88" s="279" t="n">
        <x:v>34</x:v>
      </x:c>
      <x:c r="B88" s="290" t="str">
        <x:v>Lease liabilities — Current liabilities</x:v>
      </x:c>
      <x:c r="C88" s="290" t="str">
        <x:v>Current liabilities</x:v>
      </x:c>
      <x:c r="D88" s="290" t="str">
        <x:v>Current / non-current + financial classification</x:v>
      </x:c>
      <x:c r="E88" s="290"/>
      <x:c r="F88" s="290"/>
      <x:c r="G88" s="290"/>
    </x:row>
    <x:row r="89">
      <x:c r="A89" s="255" t="n">
        <x:v>35</x:v>
      </x:c>
      <x:c r="B89" s="291" t="str">
        <x:v>Total outstanding dues of micro enterprises and small enterprises — Current liabilities</x:v>
      </x:c>
      <x:c r="C89" s="291" t="str">
        <x:v>Current liabilities</x:v>
      </x:c>
      <x:c r="D89" s="291" t="str">
        <x:v>Current / non-current + financial classification</x:v>
      </x:c>
      <x:c r="E89" s="291"/>
      <x:c r="F89" s="291"/>
      <x:c r="G89" s="291"/>
    </x:row>
    <x:row r="90">
      <x:c r="A90" s="248" t="n">
        <x:v>36</x:v>
      </x:c>
      <x:c r="B90" s="261" t="str">
        <x:v>Total outstanding dues of creditors other than micro enterprises and small enterprises — Current liabilities</x:v>
      </x:c>
      <x:c r="C90" s="261" t="str">
        <x:v>Current liabilities</x:v>
      </x:c>
      <x:c r="D90" s="261" t="str">
        <x:v>Current / non-current + financial classification</x:v>
      </x:c>
      <x:c r="E90" s="261"/>
      <x:c r="F90" s="261"/>
      <x:c r="G90" s="261"/>
    </x:row>
    <x:row r="91">
      <x:c r="A91" s="248" t="n">
        <x:v>37</x:v>
      </x:c>
      <x:c r="B91" s="261" t="str">
        <x:v>Other financial liabilities (to be specified) — Current liabilities</x:v>
      </x:c>
      <x:c r="C91" s="261" t="str">
        <x:v>Current liabilities</x:v>
      </x:c>
      <x:c r="D91" s="261" t="str">
        <x:v>Current / non-current + financial classification</x:v>
      </x:c>
      <x:c r="E91" s="261"/>
      <x:c r="F91" s="261"/>
      <x:c r="G91" s="261"/>
    </x:row>
    <x:row r="92">
      <x:c r="A92" s="248" t="n">
        <x:v>38</x:v>
      </x:c>
      <x:c r="B92" s="261" t="str">
        <x:v>Other current liabilities</x:v>
      </x:c>
      <x:c r="C92" s="261" t="str">
        <x:v>Current liabilities</x:v>
      </x:c>
      <x:c r="D92" s="261" t="str">
        <x:v>Current / non-current + financial classification</x:v>
      </x:c>
      <x:c r="E92" s="261"/>
      <x:c r="F92" s="261"/>
      <x:c r="G92" s="261"/>
    </x:row>
    <x:row r="93">
      <x:c r="A93" s="276" t="n">
        <x:v>39</x:v>
      </x:c>
      <x:c r="B93" s="277" t="str">
        <x:v>Provisions — Current liabilities</x:v>
      </x:c>
      <x:c r="C93" s="277" t="str">
        <x:v>Current liabilities</x:v>
      </x:c>
      <x:c r="D93" s="277" t="str">
        <x:v>Current / non-current + financial classification</x:v>
      </x:c>
      <x:c r="E93" s="277"/>
      <x:c r="F93" s="277"/>
      <x:c r="G93" s="277"/>
    </x:row>
    <x:row r="94">
      <x:c r="A94" s="279" t="n">
        <x:v>40</x:v>
      </x:c>
      <x:c r="B94" s="290" t="str">
        <x:v>Current tax liabilities (Net)</x:v>
      </x:c>
      <x:c r="C94" s="290" t="str">
        <x:v>Current liabilities</x:v>
      </x:c>
      <x:c r="D94" s="290" t="str">
        <x:v>Current / non-current + financial classification</x:v>
      </x:c>
      <x:c r="E94" s="290"/>
      <x:c r="F94" s="290"/>
      <x:c r="G94" s="290"/>
    </x:row>
    <x:row r="95">
      <x:c r="A95" s="255"/>
      <x:c r="B95" s="291"/>
      <x:c r="C95" s="291"/>
      <x:c r="D95" s="291"/>
      <x:c r="E95" s="291"/>
      <x:c r="F95" s="291"/>
      <x:c r="G95" s="291"/>
    </x:row>
    <x:row r="96">
      <x:c r="A96" s="248"/>
      <x:c r="B96" s="261"/>
      <x:c r="C96" s="261"/>
      <x:c r="D96" s="261"/>
      <x:c r="E96" s="261"/>
      <x:c r="F96" s="261"/>
      <x:c r="G96" s="261"/>
    </x:row>
    <x:row r="97">
      <x:c r="A97" s="248" t="str">
        <x:v>Note 1 — Property, Plant and Equipment</x:v>
      </x:c>
      <x:c r="B97" s="261"/>
      <x:c r="C97" s="261"/>
      <x:c r="D97" s="261"/>
      <x:c r="E97" s="261"/>
      <x:c r="F97" s="261"/>
      <x:c r="G97" s="261"/>
    </x:row>
    <x:row r="98">
      <x:c r="A98" s="248" t="str">
        <x:v>Particulars</x:v>
      </x:c>
      <x:c r="B98" s="261" t="str">
        <x:v>Current Year</x:v>
      </x:c>
      <x:c r="C98" s="261" t="str">
        <x:v>Previous Year</x:v>
      </x:c>
      <x:c r="D98" s="261" t="str">
        <x:v>Mapping / Source</x:v>
      </x:c>
      <x:c r="E98" s="261" t="str">
        <x:v>Classification</x:v>
      </x:c>
      <x:c r="F98" s="261" t="str">
        <x:v>Remarks</x:v>
      </x:c>
      <x:c r="G98" s="261"/>
    </x:row>
    <x:row r="99">
      <x:c r="A99" s="248" t="str">
        <x:v>Land</x:v>
      </x:c>
      <x:c r="B99" s="261"/>
      <x:c r="C99" s="261"/>
      <x:c r="D99" s="261"/>
      <x:c r="E99" s="261" t="str">
        <x:v>Current / non-current + financial classification</x:v>
      </x:c>
      <x:c r="F99" s="261"/>
      <x:c r="G99" s="261"/>
    </x:row>
    <x:row r="100">
      <x:c r="A100" s="276" t="str">
        <x:v>Buildings</x:v>
      </x:c>
      <x:c r="B100" s="277"/>
      <x:c r="C100" s="277"/>
      <x:c r="D100" s="277"/>
      <x:c r="E100" s="277" t="str">
        <x:v>Current / non-current + financial classification</x:v>
      </x:c>
      <x:c r="F100" s="277"/>
      <x:c r="G100" s="277"/>
    </x:row>
    <x:row r="101">
      <x:c r="A101" s="279" t="str">
        <x:v>Plant and equipment</x:v>
      </x:c>
      <x:c r="B101" s="290"/>
      <x:c r="C101" s="290"/>
      <x:c r="D101" s="290"/>
      <x:c r="E101" s="290" t="str">
        <x:v>Current / non-current + financial classification</x:v>
      </x:c>
      <x:c r="F101" s="290"/>
      <x:c r="G101" s="290"/>
    </x:row>
    <x:row r="102">
      <x:c r="A102" s="255" t="str">
        <x:v>Furniture and fixtures</x:v>
      </x:c>
      <x:c r="B102" s="291"/>
      <x:c r="C102" s="291"/>
      <x:c r="D102" s="291"/>
      <x:c r="E102" s="291" t="str">
        <x:v>Current / non-current + financial classification</x:v>
      </x:c>
      <x:c r="F102" s="291"/>
      <x:c r="G102" s="291"/>
    </x:row>
    <x:row r="103">
      <x:c r="A103" s="248" t="str">
        <x:v>Vehicles</x:v>
      </x:c>
      <x:c r="B103" s="261"/>
      <x:c r="C103" s="261"/>
      <x:c r="D103" s="261"/>
      <x:c r="E103" s="261" t="str">
        <x:v>Current / non-current + financial classification</x:v>
      </x:c>
      <x:c r="F103" s="261"/>
      <x:c r="G103" s="261"/>
    </x:row>
    <x:row r="104">
      <x:c r="A104" s="248" t="str">
        <x:v>Office equipment / computers</x:v>
      </x:c>
      <x:c r="B104" s="261"/>
      <x:c r="C104" s="261"/>
      <x:c r="D104" s="261"/>
      <x:c r="E104" s="261" t="str">
        <x:v>Current / non-current + financial classification</x:v>
      </x:c>
      <x:c r="F104" s="261"/>
      <x:c r="G104" s="261"/>
    </x:row>
    <x:row r="105">
      <x:c r="A105" s="248" t="str">
        <x:v>Total Property, Plant and Equipment</x:v>
      </x:c>
      <x:c r="B105" s="261" t="n">
        <x:f>SUM(B99:B104)</x:f>
        <x:v>0</x:v>
      </x:c>
      <x:c r="C105" s="261" t="n">
        <x:f>SUM(C99:C104)</x:f>
        <x:v>0</x:v>
      </x:c>
      <x:c r="D105" s="261"/>
      <x:c r="E105" s="261" t="str">
        <x:v>Current / non-current + financial classification</x:v>
      </x:c>
      <x:c r="F105" s="261"/>
      <x:c r="G105" s="261"/>
    </x:row>
    <x:row r="106">
      <x:c r="A106" s="248" t="str">
        <x:v>Note 2 — Capital work-in-progress</x:v>
      </x:c>
      <x:c r="B106" s="261"/>
      <x:c r="C106" s="261"/>
      <x:c r="D106" s="261"/>
      <x:c r="E106" s="261"/>
      <x:c r="F106" s="261"/>
      <x:c r="G106" s="261"/>
    </x:row>
    <x:row r="107">
      <x:c r="A107" s="248" t="str">
        <x:v>Particulars</x:v>
      </x:c>
      <x:c r="B107" s="261" t="str">
        <x:v>Current Year</x:v>
      </x:c>
      <x:c r="C107" s="261" t="str">
        <x:v>Previous Year</x:v>
      </x:c>
      <x:c r="D107" s="261" t="str">
        <x:v>Mapping / Source</x:v>
      </x:c>
      <x:c r="E107" s="261" t="str">
        <x:v>Classification</x:v>
      </x:c>
      <x:c r="F107" s="261" t="str">
        <x:v>Remarks</x:v>
      </x:c>
      <x:c r="G107" s="261"/>
    </x:row>
    <x:row r="108">
      <x:c r="A108" s="276" t="str">
        <x:v>Projects in progress</x:v>
      </x:c>
      <x:c r="B108" s="277"/>
      <x:c r="C108" s="277"/>
      <x:c r="D108" s="277"/>
      <x:c r="E108" s="277" t="str">
        <x:v>Current / non-current + financial classification</x:v>
      </x:c>
      <x:c r="F108" s="277"/>
      <x:c r="G108" s="277"/>
    </x:row>
    <x:row r="109">
      <x:c r="A109" s="279" t="str">
        <x:v>Projects temporarily suspended</x:v>
      </x:c>
      <x:c r="B109" s="290"/>
      <x:c r="C109" s="290"/>
      <x:c r="D109" s="290"/>
      <x:c r="E109" s="290" t="str">
        <x:v>Current / non-current + financial classification</x:v>
      </x:c>
      <x:c r="F109" s="290"/>
      <x:c r="G109" s="290"/>
    </x:row>
    <x:row r="110">
      <x:c r="A110" s="255" t="str">
        <x:v>Capital advances transferred / adjustments</x:v>
      </x:c>
      <x:c r="B110" s="291"/>
      <x:c r="C110" s="291"/>
      <x:c r="D110" s="291"/>
      <x:c r="E110" s="291" t="str">
        <x:v>Current / non-current + financial classification</x:v>
      </x:c>
      <x:c r="F110" s="291"/>
      <x:c r="G110" s="291"/>
    </x:row>
    <x:row r="111">
      <x:c r="A111" s="248" t="str">
        <x:v>Total Capital work-in-progress</x:v>
      </x:c>
      <x:c r="B111" s="261" t="n">
        <x:f>SUM(B108:B110)</x:f>
        <x:v>0</x:v>
      </x:c>
      <x:c r="C111" s="261" t="n">
        <x:f>SUM(C108:C110)</x:f>
        <x:v>0</x:v>
      </x:c>
      <x:c r="D111" s="261"/>
      <x:c r="E111" s="261" t="str">
        <x:v>Current / non-current + financial classification</x:v>
      </x:c>
      <x:c r="F111" s="261"/>
      <x:c r="G111" s="261"/>
    </x:row>
    <x:row r="112">
      <x:c r="A112" s="248" t="str">
        <x:v>Note 3 — Investment property</x:v>
      </x:c>
      <x:c r="B112" s="261"/>
      <x:c r="C112" s="261"/>
      <x:c r="D112" s="261"/>
      <x:c r="E112" s="261"/>
      <x:c r="F112" s="261"/>
      <x:c r="G112" s="261"/>
    </x:row>
    <x:row r="113">
      <x:c r="A113" s="248" t="str">
        <x:v>Particulars</x:v>
      </x:c>
      <x:c r="B113" s="261" t="str">
        <x:v>Current Year</x:v>
      </x:c>
      <x:c r="C113" s="261" t="str">
        <x:v>Previous Year</x:v>
      </x:c>
      <x:c r="D113" s="261" t="str">
        <x:v>Mapping / Source</x:v>
      </x:c>
      <x:c r="E113" s="261" t="str">
        <x:v>Classification</x:v>
      </x:c>
      <x:c r="F113" s="261" t="str">
        <x:v>Remarks</x:v>
      </x:c>
      <x:c r="G113" s="261"/>
    </x:row>
    <x:row r="114">
      <x:c r="A114" s="248" t="str">
        <x:v>Land</x:v>
      </x:c>
      <x:c r="B114" s="261"/>
      <x:c r="C114" s="261"/>
      <x:c r="D114" s="261"/>
      <x:c r="E114" s="261" t="str">
        <x:v>Current / non-current + financial classification</x:v>
      </x:c>
      <x:c r="F114" s="261"/>
      <x:c r="G114" s="261"/>
    </x:row>
    <x:row r="115">
      <x:c r="A115" s="276" t="str">
        <x:v>Buildings</x:v>
      </x:c>
      <x:c r="B115" s="277"/>
      <x:c r="C115" s="277"/>
      <x:c r="D115" s="277"/>
      <x:c r="E115" s="277" t="str">
        <x:v>Current / non-current + financial classification</x:v>
      </x:c>
      <x:c r="F115" s="277"/>
      <x:c r="G115" s="277"/>
    </x:row>
    <x:row r="116">
      <x:c r="A116" s="279" t="str">
        <x:v>Less: Accumulated depreciation / impairment</x:v>
      </x:c>
      <x:c r="B116" s="290"/>
      <x:c r="C116" s="290"/>
      <x:c r="D116" s="290"/>
      <x:c r="E116" s="290" t="str">
        <x:v>Current / non-current + financial classification</x:v>
      </x:c>
      <x:c r="F116" s="290"/>
      <x:c r="G116" s="290"/>
    </x:row>
    <x:row r="117">
      <x:c r="A117" s="255" t="str">
        <x:v>Total Investment property</x:v>
      </x:c>
      <x:c r="B117" s="291" t="n">
        <x:f>SUM(B114:B116)</x:f>
        <x:v>0</x:v>
      </x:c>
      <x:c r="C117" s="291" t="n">
        <x:f>SUM(C114:C116)</x:f>
        <x:v>0</x:v>
      </x:c>
      <x:c r="D117" s="291"/>
      <x:c r="E117" s="291" t="str">
        <x:v>Current / non-current + financial classification</x:v>
      </x:c>
      <x:c r="F117" s="291"/>
      <x:c r="G117" s="291"/>
    </x:row>
    <x:row r="118">
      <x:c r="A118" s="248" t="str">
        <x:v>Note 4 — Goodwill</x:v>
      </x:c>
      <x:c r="B118" s="261"/>
      <x:c r="C118" s="261"/>
      <x:c r="D118" s="261"/>
      <x:c r="E118" s="261"/>
      <x:c r="F118" s="261"/>
      <x:c r="G118" s="261"/>
    </x:row>
    <x:row r="119">
      <x:c r="A119" s="248" t="str">
        <x:v>Particulars</x:v>
      </x:c>
      <x:c r="B119" s="261" t="str">
        <x:v>Current Year</x:v>
      </x:c>
      <x:c r="C119" s="261" t="str">
        <x:v>Previous Year</x:v>
      </x:c>
      <x:c r="D119" s="261" t="str">
        <x:v>Mapping / Source</x:v>
      </x:c>
      <x:c r="E119" s="261" t="str">
        <x:v>Classification</x:v>
      </x:c>
      <x:c r="F119" s="261" t="str">
        <x:v>Remarks</x:v>
      </x:c>
      <x:c r="G119" s="261"/>
    </x:row>
    <x:row r="120">
      <x:c r="A120" s="248" t="str">
        <x:v>Goodwill on business combinations</x:v>
      </x:c>
      <x:c r="B120" s="261"/>
      <x:c r="C120" s="261"/>
      <x:c r="D120" s="261"/>
      <x:c r="E120" s="261" t="str">
        <x:v>Current / non-current + financial classification</x:v>
      </x:c>
      <x:c r="F120" s="261"/>
      <x:c r="G120" s="261"/>
    </x:row>
    <x:row r="121">
      <x:c r="A121" s="248" t="str">
        <x:v>Less: Impairment</x:v>
      </x:c>
      <x:c r="B121" s="261"/>
      <x:c r="C121" s="261"/>
      <x:c r="D121" s="261"/>
      <x:c r="E121" s="261" t="str">
        <x:v>Current / non-current + financial classification</x:v>
      </x:c>
      <x:c r="F121" s="261"/>
      <x:c r="G121" s="261"/>
    </x:row>
    <x:row r="122">
      <x:c r="A122" s="276" t="str">
        <x:v>Other adjustments</x:v>
      </x:c>
      <x:c r="B122" s="277"/>
      <x:c r="C122" s="277"/>
      <x:c r="D122" s="277"/>
      <x:c r="E122" s="277" t="str">
        <x:v>Current / non-current + financial classification</x:v>
      </x:c>
      <x:c r="F122" s="277"/>
      <x:c r="G122" s="277"/>
    </x:row>
    <x:row r="123">
      <x:c r="A123" s="279" t="str">
        <x:v>Total Goodwill</x:v>
      </x:c>
      <x:c r="B123" s="290" t="n">
        <x:f>SUM(B120:B122)</x:f>
        <x:v>0</x:v>
      </x:c>
      <x:c r="C123" s="290" t="n">
        <x:f>SUM(C120:C122)</x:f>
        <x:v>0</x:v>
      </x:c>
      <x:c r="D123" s="290"/>
      <x:c r="E123" s="290" t="str">
        <x:v>Current / non-current + financial classification</x:v>
      </x:c>
      <x:c r="F123" s="290"/>
      <x:c r="G123" s="290"/>
    </x:row>
    <x:row r="124">
      <x:c r="A124" s="255" t="str">
        <x:v>Note 5 — Other intangible assets</x:v>
      </x:c>
      <x:c r="B124" s="291"/>
      <x:c r="C124" s="291"/>
      <x:c r="D124" s="291"/>
      <x:c r="E124" s="291"/>
      <x:c r="F124" s="291"/>
      <x:c r="G124" s="291"/>
    </x:row>
    <x:row r="125">
      <x:c r="A125" s="248" t="str">
        <x:v>Particulars</x:v>
      </x:c>
      <x:c r="B125" s="261" t="str">
        <x:v>Current Year</x:v>
      </x:c>
      <x:c r="C125" s="261" t="str">
        <x:v>Previous Year</x:v>
      </x:c>
      <x:c r="D125" s="261" t="str">
        <x:v>Mapping / Source</x:v>
      </x:c>
      <x:c r="E125" s="261" t="str">
        <x:v>Classification</x:v>
      </x:c>
      <x:c r="F125" s="261" t="str">
        <x:v>Remarks</x:v>
      </x:c>
      <x:c r="G125" s="261"/>
    </x:row>
    <x:row r="126">
      <x:c r="A126" s="248" t="str">
        <x:v>Software</x:v>
      </x:c>
      <x:c r="B126" s="261"/>
      <x:c r="C126" s="261"/>
      <x:c r="D126" s="261"/>
      <x:c r="E126" s="261" t="str">
        <x:v>Current / non-current + financial classification</x:v>
      </x:c>
      <x:c r="F126" s="261"/>
      <x:c r="G126" s="261"/>
    </x:row>
    <x:row r="127">
      <x:c r="A127" s="248" t="str">
        <x:v>Licences and franchises</x:v>
      </x:c>
      <x:c r="B127" s="261"/>
      <x:c r="C127" s="261"/>
      <x:c r="D127" s="261"/>
      <x:c r="E127" s="261" t="str">
        <x:v>Current / non-current + financial classification</x:v>
      </x:c>
      <x:c r="F127" s="261"/>
      <x:c r="G127" s="261"/>
    </x:row>
    <x:row r="128">
      <x:c r="A128" s="276" t="str">
        <x:v>Brands / trademarks</x:v>
      </x:c>
      <x:c r="B128" s="277"/>
      <x:c r="C128" s="277"/>
      <x:c r="D128" s="277"/>
      <x:c r="E128" s="277" t="str">
        <x:v>Current / non-current + financial classification</x:v>
      </x:c>
      <x:c r="F128" s="277"/>
      <x:c r="G128" s="277"/>
    </x:row>
    <x:row r="129">
      <x:c r="A129" s="279" t="str">
        <x:v>Other intangible assets</x:v>
      </x:c>
      <x:c r="B129" s="290"/>
      <x:c r="C129" s="290"/>
      <x:c r="D129" s="290"/>
      <x:c r="E129" s="290" t="str">
        <x:v>Current / non-current + financial classification</x:v>
      </x:c>
      <x:c r="F129" s="290"/>
      <x:c r="G129" s="290"/>
    </x:row>
    <x:row r="130">
      <x:c r="A130" s="255" t="str">
        <x:v>Total Other intangible assets</x:v>
      </x:c>
      <x:c r="B130" s="291" t="n">
        <x:f>SUM(B126:B129)</x:f>
        <x:v>0</x:v>
      </x:c>
      <x:c r="C130" s="291" t="n">
        <x:f>SUM(C126:C129)</x:f>
        <x:v>0</x:v>
      </x:c>
      <x:c r="D130" s="291"/>
      <x:c r="E130" s="291" t="str">
        <x:v>Current / non-current + financial classification</x:v>
      </x:c>
      <x:c r="F130" s="291"/>
      <x:c r="G130" s="291"/>
    </x:row>
    <x:row r="131">
      <x:c r="A131" s="248" t="str">
        <x:v>Note 6 — Intangible assets under development</x:v>
      </x:c>
      <x:c r="B131" s="261"/>
      <x:c r="C131" s="261"/>
      <x:c r="D131" s="261"/>
      <x:c r="E131" s="261"/>
      <x:c r="F131" s="261"/>
      <x:c r="G131" s="261"/>
    </x:row>
    <x:row r="132">
      <x:c r="A132" s="248" t="str">
        <x:v>Particulars</x:v>
      </x:c>
      <x:c r="B132" s="261" t="str">
        <x:v>Current Year</x:v>
      </x:c>
      <x:c r="C132" s="261" t="str">
        <x:v>Previous Year</x:v>
      </x:c>
      <x:c r="D132" s="261" t="str">
        <x:v>Mapping / Source</x:v>
      </x:c>
      <x:c r="E132" s="261" t="str">
        <x:v>Classification</x:v>
      </x:c>
      <x:c r="F132" s="261" t="str">
        <x:v>Remarks</x:v>
      </x:c>
      <x:c r="G132" s="261"/>
    </x:row>
    <x:row r="133">
      <x:c r="A133" s="248" t="str">
        <x:v>Software under development</x:v>
      </x:c>
      <x:c r="B133" s="261"/>
      <x:c r="C133" s="261"/>
      <x:c r="D133" s="261"/>
      <x:c r="E133" s="261" t="str">
        <x:v>Current / non-current + financial classification</x:v>
      </x:c>
      <x:c r="F133" s="261"/>
      <x:c r="G133" s="261"/>
    </x:row>
    <x:row r="134">
      <x:c r="A134" s="248" t="str">
        <x:v>Licences / rights under development</x:v>
      </x:c>
      <x:c r="B134" s="261"/>
      <x:c r="C134" s="261"/>
      <x:c r="D134" s="261"/>
      <x:c r="E134" s="261" t="str">
        <x:v>Current / non-current + financial classification</x:v>
      </x:c>
      <x:c r="F134" s="261"/>
      <x:c r="G134" s="261"/>
    </x:row>
    <x:row r="135">
      <x:c r="A135" s="276" t="str">
        <x:v>Other intangible projects</x:v>
      </x:c>
      <x:c r="B135" s="277"/>
      <x:c r="C135" s="277"/>
      <x:c r="D135" s="277"/>
      <x:c r="E135" s="277" t="str">
        <x:v>Current / non-current + financial classification</x:v>
      </x:c>
      <x:c r="F135" s="277"/>
      <x:c r="G135" s="277"/>
    </x:row>
    <x:row r="136">
      <x:c r="A136" s="279" t="str">
        <x:v>Total Intangible assets under development</x:v>
      </x:c>
      <x:c r="B136" s="290" t="n">
        <x:f>SUM(B133:B135)</x:f>
        <x:v>0</x:v>
      </x:c>
      <x:c r="C136" s="290" t="n">
        <x:f>SUM(C133:C135)</x:f>
        <x:v>0</x:v>
      </x:c>
      <x:c r="D136" s="290"/>
      <x:c r="E136" s="290" t="str">
        <x:v>Current / non-current + financial classification</x:v>
      </x:c>
      <x:c r="F136" s="290"/>
      <x:c r="G136" s="290"/>
    </x:row>
    <x:row r="137">
      <x:c r="A137" s="255" t="str">
        <x:v>Note 7 — Biological assets other than bearer plants</x:v>
      </x:c>
      <x:c r="B137" s="291"/>
      <x:c r="C137" s="291"/>
      <x:c r="D137" s="291"/>
      <x:c r="E137" s="291"/>
      <x:c r="F137" s="291"/>
      <x:c r="G137" s="291"/>
    </x:row>
    <x:row r="138">
      <x:c r="A138" s="248" t="str">
        <x:v>Particulars</x:v>
      </x:c>
      <x:c r="B138" s="261" t="str">
        <x:v>Current Year</x:v>
      </x:c>
      <x:c r="C138" s="261" t="str">
        <x:v>Previous Year</x:v>
      </x:c>
      <x:c r="D138" s="261" t="str">
        <x:v>Mapping / Source</x:v>
      </x:c>
      <x:c r="E138" s="261" t="str">
        <x:v>Classification</x:v>
      </x:c>
      <x:c r="F138" s="261" t="str">
        <x:v>Remarks</x:v>
      </x:c>
      <x:c r="G138" s="261"/>
    </x:row>
    <x:row r="139">
      <x:c r="A139" s="248" t="str">
        <x:v>Biological assets</x:v>
      </x:c>
      <x:c r="B139" s="261"/>
      <x:c r="C139" s="261"/>
      <x:c r="D139" s="261"/>
      <x:c r="E139" s="261" t="str">
        <x:v>Current / non-current + financial classification</x:v>
      </x:c>
      <x:c r="F139" s="261"/>
      <x:c r="G139" s="261"/>
    </x:row>
    <x:row r="140">
      <x:c r="A140" s="248" t="str">
        <x:v>Fair value / cost adjustments</x:v>
      </x:c>
      <x:c r="B140" s="261"/>
      <x:c r="C140" s="261"/>
      <x:c r="D140" s="261"/>
      <x:c r="E140" s="261" t="str">
        <x:v>Current / non-current + financial classification</x:v>
      </x:c>
      <x:c r="F140" s="261"/>
      <x:c r="G140" s="261"/>
    </x:row>
    <x:row r="141">
      <x:c r="A141" s="248" t="str">
        <x:v>Less: Impairment</x:v>
      </x:c>
      <x:c r="B141" s="261"/>
      <x:c r="C141" s="261"/>
      <x:c r="D141" s="261"/>
      <x:c r="E141" s="261" t="str">
        <x:v>Current / non-current + financial classification</x:v>
      </x:c>
      <x:c r="F141" s="261"/>
      <x:c r="G141" s="261"/>
    </x:row>
    <x:row r="142">
      <x:c r="A142" s="248" t="str">
        <x:v>Total Biological assets other than bearer plants</x:v>
      </x:c>
      <x:c r="B142" s="261" t="n">
        <x:f>SUM(B139:B141)</x:f>
        <x:v>0</x:v>
      </x:c>
      <x:c r="C142" s="261" t="n">
        <x:f>SUM(C139:C141)</x:f>
        <x:v>0</x:v>
      </x:c>
      <x:c r="D142" s="261"/>
      <x:c r="E142" s="261" t="str">
        <x:v>Current / non-current + financial classification</x:v>
      </x:c>
      <x:c r="F142" s="261"/>
      <x:c r="G142" s="261"/>
    </x:row>
    <x:row r="143">
      <x:c r="A143" s="248" t="str">
        <x:v>Note 8 — Investments — Non-current assets</x:v>
      </x:c>
      <x:c r="B143" s="261"/>
      <x:c r="C143" s="261"/>
      <x:c r="D143" s="261"/>
      <x:c r="E143" s="261"/>
      <x:c r="F143" s="261"/>
      <x:c r="G143" s="261"/>
    </x:row>
    <x:row r="144">
      <x:c r="A144" s="276" t="str">
        <x:v>Particulars</x:v>
      </x:c>
      <x:c r="B144" s="277" t="str">
        <x:v>Current Year</x:v>
      </x:c>
      <x:c r="C144" s="277" t="str">
        <x:v>Previous Year</x:v>
      </x:c>
      <x:c r="D144" s="277" t="str">
        <x:v>Mapping / Source</x:v>
      </x:c>
      <x:c r="E144" s="277" t="str">
        <x:v>Classification</x:v>
      </x:c>
      <x:c r="F144" s="277" t="str">
        <x:v>Remarks</x:v>
      </x:c>
      <x:c r="G144" s="277"/>
    </x:row>
    <x:row r="145">
      <x:c r="A145" s="279" t="str">
        <x:v>Quoted investments</x:v>
      </x:c>
      <x:c r="B145" s="290"/>
      <x:c r="C145" s="290"/>
      <x:c r="D145" s="290"/>
      <x:c r="E145" s="290" t="str">
        <x:v>Current / non-current + financial classification</x:v>
      </x:c>
      <x:c r="F145" s="290"/>
      <x:c r="G145" s="290"/>
    </x:row>
    <x:row r="146">
      <x:c r="A146" s="255" t="str">
        <x:v>Unquoted investments</x:v>
      </x:c>
      <x:c r="B146" s="291"/>
      <x:c r="C146" s="291"/>
      <x:c r="D146" s="291"/>
      <x:c r="E146" s="291" t="str">
        <x:v>Current / non-current + financial classification</x:v>
      </x:c>
      <x:c r="F146" s="291"/>
      <x:c r="G146" s="291"/>
    </x:row>
    <x:row r="147">
      <x:c r="A147" s="248" t="str">
        <x:v>Investments in subsidiaries / associates / JVs</x:v>
      </x:c>
      <x:c r="B147" s="261"/>
      <x:c r="C147" s="261"/>
      <x:c r="D147" s="261"/>
      <x:c r="E147" s="261" t="str">
        <x:v>Current / non-current + financial classification</x:v>
      </x:c>
      <x:c r="F147" s="261"/>
      <x:c r="G147" s="261"/>
    </x:row>
    <x:row r="148">
      <x:c r="A148" s="248" t="str">
        <x:v>Less: Impairment</x:v>
      </x:c>
      <x:c r="B148" s="261"/>
      <x:c r="C148" s="261"/>
      <x:c r="D148" s="261"/>
      <x:c r="E148" s="261" t="str">
        <x:v>Current / non-current + financial classification</x:v>
      </x:c>
      <x:c r="F148" s="261"/>
      <x:c r="G148" s="261"/>
    </x:row>
    <x:row r="149">
      <x:c r="A149" s="248" t="str">
        <x:v>Total Investments</x:v>
      </x:c>
      <x:c r="B149" s="261" t="n">
        <x:f>SUM(B145:B148)</x:f>
        <x:v>0</x:v>
      </x:c>
      <x:c r="C149" s="261" t="n">
        <x:f>SUM(C145:C148)</x:f>
        <x:v>0</x:v>
      </x:c>
      <x:c r="D149" s="261"/>
      <x:c r="E149" s="261" t="str">
        <x:v>Current / non-current + financial classification</x:v>
      </x:c>
      <x:c r="F149" s="261"/>
      <x:c r="G149" s="261"/>
    </x:row>
    <x:row r="150">
      <x:c r="A150" s="248" t="str">
        <x:v>Note 9 — Trade receivables — Non-current assets</x:v>
      </x:c>
      <x:c r="B150" s="261"/>
      <x:c r="C150" s="261"/>
      <x:c r="D150" s="261"/>
      <x:c r="E150" s="261"/>
      <x:c r="F150" s="261"/>
      <x:c r="G150" s="261"/>
    </x:row>
    <x:row r="151">
      <x:c r="A151" s="276" t="str">
        <x:v>Particulars</x:v>
      </x:c>
      <x:c r="B151" s="277" t="str">
        <x:v>Current Year</x:v>
      </x:c>
      <x:c r="C151" s="277" t="str">
        <x:v>Previous Year</x:v>
      </x:c>
      <x:c r="D151" s="277" t="str">
        <x:v>Mapping / Source</x:v>
      </x:c>
      <x:c r="E151" s="277" t="str">
        <x:v>Classification</x:v>
      </x:c>
      <x:c r="F151" s="277" t="str">
        <x:v>Remarks</x:v>
      </x:c>
      <x:c r="G151" s="277"/>
    </x:row>
    <x:row r="152">
      <x:c r="A152" s="279" t="str">
        <x:v>Secured, considered good</x:v>
      </x:c>
      <x:c r="B152" s="290"/>
      <x:c r="C152" s="290"/>
      <x:c r="D152" s="290"/>
      <x:c r="E152" s="290" t="str">
        <x:v>Current / non-current + financial classification</x:v>
      </x:c>
      <x:c r="F152" s="290"/>
      <x:c r="G152" s="290"/>
    </x:row>
    <x:row r="153">
      <x:c r="A153" s="255" t="str">
        <x:v>Unsecured, considered good</x:v>
      </x:c>
      <x:c r="B153" s="291"/>
      <x:c r="C153" s="291"/>
      <x:c r="D153" s="291"/>
      <x:c r="E153" s="291" t="str">
        <x:v>Current / non-current + financial classification</x:v>
      </x:c>
      <x:c r="F153" s="291"/>
      <x:c r="G153" s="291"/>
    </x:row>
    <x:row r="154">
      <x:c r="A154" s="248" t="str">
        <x:v>Significant increase in credit risk</x:v>
      </x:c>
      <x:c r="B154" s="261"/>
      <x:c r="C154" s="261"/>
      <x:c r="D154" s="261"/>
      <x:c r="E154" s="261" t="str">
        <x:v>Current / non-current + financial classification</x:v>
      </x:c>
      <x:c r="F154" s="261"/>
      <x:c r="G154" s="261"/>
    </x:row>
    <x:row r="155">
      <x:c r="A155" s="248" t="str">
        <x:v>Credit impaired</x:v>
      </x:c>
      <x:c r="B155" s="261"/>
      <x:c r="C155" s="261"/>
      <x:c r="D155" s="261"/>
      <x:c r="E155" s="261" t="str">
        <x:v>Current / non-current + financial classification</x:v>
      </x:c>
      <x:c r="F155" s="261"/>
      <x:c r="G155" s="261"/>
    </x:row>
    <x:row r="156">
      <x:c r="A156" s="248" t="str">
        <x:v>Less: Allowance for doubtful debts</x:v>
      </x:c>
      <x:c r="B156" s="261"/>
      <x:c r="C156" s="261"/>
      <x:c r="D156" s="261"/>
      <x:c r="E156" s="261" t="str">
        <x:v>Current / non-current + financial classification</x:v>
      </x:c>
      <x:c r="F156" s="261"/>
      <x:c r="G156" s="261"/>
    </x:row>
    <x:row r="157">
      <x:c r="A157" s="248" t="str">
        <x:v>Total Trade receivables</x:v>
      </x:c>
      <x:c r="B157" s="261" t="n">
        <x:f>SUM(B152:B156)</x:f>
        <x:v>0</x:v>
      </x:c>
      <x:c r="C157" s="261" t="n">
        <x:f>SUM(C152:C156)</x:f>
        <x:v>0</x:v>
      </x:c>
      <x:c r="D157" s="261"/>
      <x:c r="E157" s="261" t="str">
        <x:v>Current / non-current + financial classification</x:v>
      </x:c>
      <x:c r="F157" s="261"/>
      <x:c r="G157" s="261"/>
    </x:row>
    <x:row r="158">
      <x:c r="A158" s="248" t="str">
        <x:v>Note 10 — Loans — Non-current assets</x:v>
      </x:c>
      <x:c r="B158" s="261"/>
      <x:c r="C158" s="261"/>
      <x:c r="D158" s="261"/>
      <x:c r="E158" s="261"/>
      <x:c r="F158" s="261"/>
      <x:c r="G158" s="261"/>
    </x:row>
    <x:row r="159">
      <x:c r="A159" s="276" t="str">
        <x:v>Particulars</x:v>
      </x:c>
      <x:c r="B159" s="277" t="str">
        <x:v>Current Year</x:v>
      </x:c>
      <x:c r="C159" s="277" t="str">
        <x:v>Previous Year</x:v>
      </x:c>
      <x:c r="D159" s="277" t="str">
        <x:v>Mapping / Source</x:v>
      </x:c>
      <x:c r="E159" s="277" t="str">
        <x:v>Classification</x:v>
      </x:c>
      <x:c r="F159" s="277" t="str">
        <x:v>Remarks</x:v>
      </x:c>
      <x:c r="G159" s="277"/>
    </x:row>
    <x:row r="160">
      <x:c r="A160" s="279" t="str">
        <x:v>Secured, considered good</x:v>
      </x:c>
      <x:c r="B160" s="290"/>
      <x:c r="C160" s="290"/>
      <x:c r="D160" s="290"/>
      <x:c r="E160" s="290" t="str">
        <x:v>Current / non-current + financial classification</x:v>
      </x:c>
      <x:c r="F160" s="290"/>
      <x:c r="G160" s="290"/>
    </x:row>
    <x:row r="161">
      <x:c r="A161" s="255" t="str">
        <x:v>Unsecured, considered good</x:v>
      </x:c>
      <x:c r="B161" s="291"/>
      <x:c r="C161" s="291"/>
      <x:c r="D161" s="291"/>
      <x:c r="E161" s="291" t="str">
        <x:v>Current / non-current + financial classification</x:v>
      </x:c>
      <x:c r="F161" s="291"/>
      <x:c r="G161" s="291"/>
    </x:row>
    <x:row r="162">
      <x:c r="A162" s="248" t="str">
        <x:v>Credit impaired / doubtful</x:v>
      </x:c>
      <x:c r="B162" s="261"/>
      <x:c r="C162" s="261"/>
      <x:c r="D162" s="261"/>
      <x:c r="E162" s="261" t="str">
        <x:v>Current / non-current + financial classification</x:v>
      </x:c>
      <x:c r="F162" s="261"/>
      <x:c r="G162" s="261"/>
    </x:row>
    <x:row r="163">
      <x:c r="A163" s="248" t="str">
        <x:v>Less: Allowance / impairment</x:v>
      </x:c>
      <x:c r="B163" s="261"/>
      <x:c r="C163" s="261"/>
      <x:c r="D163" s="261"/>
      <x:c r="E163" s="261" t="str">
        <x:v>Current / non-current + financial classification</x:v>
      </x:c>
      <x:c r="F163" s="261"/>
      <x:c r="G163" s="261"/>
    </x:row>
    <x:row r="164">
      <x:c r="A164" s="248" t="str">
        <x:v>Total Loans</x:v>
      </x:c>
      <x:c r="B164" s="261" t="n">
        <x:f>SUM(B160:B163)</x:f>
        <x:v>0</x:v>
      </x:c>
      <x:c r="C164" s="261" t="n">
        <x:f>SUM(C160:C163)</x:f>
        <x:v>0</x:v>
      </x:c>
      <x:c r="D164" s="261"/>
      <x:c r="E164" s="261" t="str">
        <x:v>Current / non-current + financial classification</x:v>
      </x:c>
      <x:c r="F164" s="261"/>
      <x:c r="G164" s="261"/>
    </x:row>
    <x:row r="165">
      <x:c r="A165" s="248" t="str">
        <x:v>Note 11 — Other financial assets (to be specified) — Non-current assets</x:v>
      </x:c>
      <x:c r="B165" s="261"/>
      <x:c r="C165" s="261"/>
      <x:c r="D165" s="261"/>
      <x:c r="E165" s="261"/>
      <x:c r="F165" s="261"/>
      <x:c r="G165" s="261"/>
    </x:row>
    <x:row r="166">
      <x:c r="A166" s="276" t="str">
        <x:v>Particulars</x:v>
      </x:c>
      <x:c r="B166" s="277" t="str">
        <x:v>Current Year</x:v>
      </x:c>
      <x:c r="C166" s="277" t="str">
        <x:v>Previous Year</x:v>
      </x:c>
      <x:c r="D166" s="277" t="str">
        <x:v>Mapping / Source</x:v>
      </x:c>
      <x:c r="E166" s="277" t="str">
        <x:v>Classification</x:v>
      </x:c>
      <x:c r="F166" s="277" t="str">
        <x:v>Remarks</x:v>
      </x:c>
      <x:c r="G166" s="277"/>
    </x:row>
    <x:row r="167">
      <x:c r="A167" s="279" t="str">
        <x:v>Security deposits</x:v>
      </x:c>
      <x:c r="B167" s="290"/>
      <x:c r="C167" s="290"/>
      <x:c r="D167" s="290"/>
      <x:c r="E167" s="290" t="str">
        <x:v>Current / non-current + financial classification</x:v>
      </x:c>
      <x:c r="F167" s="290"/>
      <x:c r="G167" s="290"/>
    </x:row>
    <x:row r="168">
      <x:c r="A168" s="255" t="str">
        <x:v>Interest accrued</x:v>
      </x:c>
      <x:c r="B168" s="291"/>
      <x:c r="C168" s="291"/>
      <x:c r="D168" s="291"/>
      <x:c r="E168" s="291" t="str">
        <x:v>Current / non-current + financial classification</x:v>
      </x:c>
      <x:c r="F168" s="291"/>
      <x:c r="G168" s="291"/>
    </x:row>
    <x:row r="169">
      <x:c r="A169" s="248" t="str">
        <x:v>Derivative / contractual receivables</x:v>
      </x:c>
      <x:c r="B169" s="261"/>
      <x:c r="C169" s="261"/>
      <x:c r="D169" s="261"/>
      <x:c r="E169" s="261" t="str">
        <x:v>Current / non-current + financial classification</x:v>
      </x:c>
      <x:c r="F169" s="261"/>
      <x:c r="G169" s="261"/>
    </x:row>
    <x:row r="170">
      <x:c r="A170" s="248" t="str">
        <x:v>Other financial assets</x:v>
      </x:c>
      <x:c r="B170" s="261"/>
      <x:c r="C170" s="261"/>
      <x:c r="D170" s="261"/>
      <x:c r="E170" s="261" t="str">
        <x:v>Current / non-current + financial classification</x:v>
      </x:c>
      <x:c r="F170" s="261"/>
      <x:c r="G170" s="261"/>
    </x:row>
    <x:row r="171">
      <x:c r="A171" s="248" t="str">
        <x:v>Total Other financial assets (to be specified)</x:v>
      </x:c>
      <x:c r="B171" s="261" t="n">
        <x:f>SUM(B167:B170)</x:f>
        <x:v>0</x:v>
      </x:c>
      <x:c r="C171" s="261" t="n">
        <x:f>SUM(C167:C170)</x:f>
        <x:v>0</x:v>
      </x:c>
      <x:c r="D171" s="261"/>
      <x:c r="E171" s="261" t="str">
        <x:v>Current / non-current + financial classification</x:v>
      </x:c>
      <x:c r="F171" s="261"/>
      <x:c r="G171" s="261"/>
    </x:row>
    <x:row r="172">
      <x:c r="A172" s="248" t="str">
        <x:v>Note 12 — Deferred tax assets (Net)</x:v>
      </x:c>
      <x:c r="B172" s="261"/>
      <x:c r="C172" s="261"/>
      <x:c r="D172" s="261"/>
      <x:c r="E172" s="261"/>
      <x:c r="F172" s="261"/>
      <x:c r="G172" s="261"/>
    </x:row>
    <x:row r="173">
      <x:c r="A173" s="276" t="str">
        <x:v>Particulars</x:v>
      </x:c>
      <x:c r="B173" s="277" t="str">
        <x:v>Current Year</x:v>
      </x:c>
      <x:c r="C173" s="277" t="str">
        <x:v>Previous Year</x:v>
      </x:c>
      <x:c r="D173" s="277" t="str">
        <x:v>Mapping / Source</x:v>
      </x:c>
      <x:c r="E173" s="277" t="str">
        <x:v>Classification</x:v>
      </x:c>
      <x:c r="F173" s="277" t="str">
        <x:v>Remarks</x:v>
      </x:c>
      <x:c r="G173" s="277"/>
    </x:row>
    <x:row r="174">
      <x:c r="A174" s="279" t="str">
        <x:v>Timing differences / temporary differences</x:v>
      </x:c>
      <x:c r="B174" s="290"/>
      <x:c r="C174" s="290"/>
      <x:c r="D174" s="290"/>
      <x:c r="E174" s="290" t="str">
        <x:v>Current / non-current + financial classification</x:v>
      </x:c>
      <x:c r="F174" s="290"/>
      <x:c r="G174" s="290"/>
    </x:row>
    <x:row r="175">
      <x:c r="A175" s="255" t="str">
        <x:v>Unused tax losses / credits</x:v>
      </x:c>
      <x:c r="B175" s="291"/>
      <x:c r="C175" s="291"/>
      <x:c r="D175" s="291"/>
      <x:c r="E175" s="291" t="str">
        <x:v>Current / non-current + financial classification</x:v>
      </x:c>
      <x:c r="F175" s="291"/>
      <x:c r="G175" s="291"/>
    </x:row>
    <x:row r="176">
      <x:c r="A176" s="248" t="str">
        <x:v>Other deferred tax balances</x:v>
      </x:c>
      <x:c r="B176" s="261"/>
      <x:c r="C176" s="261"/>
      <x:c r="D176" s="261"/>
      <x:c r="E176" s="261" t="str">
        <x:v>Current / non-current + financial classification</x:v>
      </x:c>
      <x:c r="F176" s="261"/>
      <x:c r="G176" s="261"/>
    </x:row>
    <x:row r="177">
      <x:c r="A177" s="248" t="str">
        <x:v>Total Deferred tax assets (Net)</x:v>
      </x:c>
      <x:c r="B177" s="261" t="n">
        <x:f>SUM(B174:B176)</x:f>
        <x:v>0</x:v>
      </x:c>
      <x:c r="C177" s="261" t="n">
        <x:f>SUM(C174:C176)</x:f>
        <x:v>0</x:v>
      </x:c>
      <x:c r="D177" s="261"/>
      <x:c r="E177" s="261" t="str">
        <x:v>Current / non-current + financial classification</x:v>
      </x:c>
      <x:c r="F177" s="261"/>
      <x:c r="G177" s="261"/>
    </x:row>
    <x:row r="178">
      <x:c r="A178" s="248" t="str">
        <x:v>Note 13 — Other non-current assets</x:v>
      </x:c>
      <x:c r="B178" s="261"/>
      <x:c r="C178" s="261"/>
      <x:c r="D178" s="261"/>
      <x:c r="E178" s="261"/>
      <x:c r="F178" s="261"/>
      <x:c r="G178" s="261"/>
    </x:row>
    <x:row r="179">
      <x:c r="A179" s="248" t="str">
        <x:v>Particulars</x:v>
      </x:c>
      <x:c r="B179" s="261" t="str">
        <x:v>Current Year</x:v>
      </x:c>
      <x:c r="C179" s="261" t="str">
        <x:v>Previous Year</x:v>
      </x:c>
      <x:c r="D179" s="261" t="str">
        <x:v>Mapping / Source</x:v>
      </x:c>
      <x:c r="E179" s="261" t="str">
        <x:v>Classification</x:v>
      </x:c>
      <x:c r="F179" s="261" t="str">
        <x:v>Remarks</x:v>
      </x:c>
      <x:c r="G179" s="261"/>
    </x:row>
    <x:row r="180">
      <x:c r="A180" s="276" t="str">
        <x:v>Capital advances</x:v>
      </x:c>
      <x:c r="B180" s="277"/>
      <x:c r="C180" s="277"/>
      <x:c r="D180" s="277"/>
      <x:c r="E180" s="277" t="str">
        <x:v>Current / non-current + financial classification</x:v>
      </x:c>
      <x:c r="F180" s="277"/>
      <x:c r="G180" s="277"/>
    </x:row>
    <x:row r="181">
      <x:c r="A181" s="279" t="str">
        <x:v>Prepaid expenses</x:v>
      </x:c>
      <x:c r="B181" s="290"/>
      <x:c r="C181" s="290"/>
      <x:c r="D181" s="290"/>
      <x:c r="E181" s="290" t="str">
        <x:v>Current / non-current + financial classification</x:v>
      </x:c>
      <x:c r="F181" s="290"/>
      <x:c r="G181" s="290"/>
    </x:row>
    <x:row r="182">
      <x:c r="A182" s="255" t="str">
        <x:v>Balances with government authorities</x:v>
      </x:c>
      <x:c r="B182" s="291"/>
      <x:c r="C182" s="291"/>
      <x:c r="D182" s="291"/>
      <x:c r="E182" s="291" t="str">
        <x:v>Current / non-current + financial classification</x:v>
      </x:c>
      <x:c r="F182" s="291"/>
      <x:c r="G182" s="291"/>
    </x:row>
    <x:row r="183">
      <x:c r="A183" s="248" t="str">
        <x:v>Other assets</x:v>
      </x:c>
      <x:c r="B183" s="261"/>
      <x:c r="C183" s="261"/>
      <x:c r="D183" s="261"/>
      <x:c r="E183" s="261" t="str">
        <x:v>Current / non-current + financial classification</x:v>
      </x:c>
      <x:c r="F183" s="261"/>
      <x:c r="G183" s="261"/>
    </x:row>
    <x:row r="184">
      <x:c r="A184" s="248" t="str">
        <x:v>Total Other non-current assets</x:v>
      </x:c>
      <x:c r="B184" s="261" t="n">
        <x:f>SUM(B180:B183)</x:f>
        <x:v>0</x:v>
      </x:c>
      <x:c r="C184" s="261" t="n">
        <x:f>SUM(C180:C183)</x:f>
        <x:v>0</x:v>
      </x:c>
      <x:c r="D184" s="261"/>
      <x:c r="E184" s="261" t="str">
        <x:v>Current / non-current + financial classification</x:v>
      </x:c>
      <x:c r="F184" s="261"/>
      <x:c r="G184" s="261"/>
    </x:row>
    <x:row r="185">
      <x:c r="A185" s="248" t="str">
        <x:v>Note 14 — Inventories</x:v>
      </x:c>
      <x:c r="B185" s="261"/>
      <x:c r="C185" s="261"/>
      <x:c r="D185" s="261"/>
      <x:c r="E185" s="261"/>
      <x:c r="F185" s="261"/>
      <x:c r="G185" s="261"/>
    </x:row>
    <x:row r="186">
      <x:c r="A186" s="248" t="str">
        <x:v>Particulars</x:v>
      </x:c>
      <x:c r="B186" s="261" t="str">
        <x:v>Current Year</x:v>
      </x:c>
      <x:c r="C186" s="261" t="str">
        <x:v>Previous Year</x:v>
      </x:c>
      <x:c r="D186" s="261" t="str">
        <x:v>Mapping / Source</x:v>
      </x:c>
      <x:c r="E186" s="261" t="str">
        <x:v>Classification</x:v>
      </x:c>
      <x:c r="F186" s="261" t="str">
        <x:v>Remarks</x:v>
      </x:c>
      <x:c r="G186" s="261"/>
    </x:row>
    <x:row r="187">
      <x:c r="A187" s="276" t="str">
        <x:v>Raw materials</x:v>
      </x:c>
      <x:c r="B187" s="277"/>
      <x:c r="C187" s="277"/>
      <x:c r="D187" s="277"/>
      <x:c r="E187" s="277" t="str">
        <x:v>Current / non-current + financial classification</x:v>
      </x:c>
      <x:c r="F187" s="277"/>
      <x:c r="G187" s="277"/>
    </x:row>
    <x:row r="188">
      <x:c r="A188" s="279" t="str">
        <x:v>Work-in-progress</x:v>
      </x:c>
      <x:c r="B188" s="290"/>
      <x:c r="C188" s="290"/>
      <x:c r="D188" s="290"/>
      <x:c r="E188" s="290" t="str">
        <x:v>Current / non-current + financial classification</x:v>
      </x:c>
      <x:c r="F188" s="290"/>
      <x:c r="G188" s="290"/>
    </x:row>
    <x:row r="189">
      <x:c r="A189" s="255" t="str">
        <x:v>Finished goods</x:v>
      </x:c>
      <x:c r="B189" s="291"/>
      <x:c r="C189" s="291"/>
      <x:c r="D189" s="291"/>
      <x:c r="E189" s="291" t="str">
        <x:v>Current / non-current + financial classification</x:v>
      </x:c>
      <x:c r="F189" s="291"/>
      <x:c r="G189" s="291"/>
    </x:row>
    <x:row r="190">
      <x:c r="A190" s="248" t="str">
        <x:v>Stock-in-trade</x:v>
      </x:c>
      <x:c r="B190" s="261"/>
      <x:c r="C190" s="261"/>
      <x:c r="D190" s="261"/>
      <x:c r="E190" s="261" t="str">
        <x:v>Current / non-current + financial classification</x:v>
      </x:c>
      <x:c r="F190" s="261"/>
      <x:c r="G190" s="261"/>
    </x:row>
    <x:row r="191">
      <x:c r="A191" s="248" t="str">
        <x:v>Stores and spares</x:v>
      </x:c>
      <x:c r="B191" s="261"/>
      <x:c r="C191" s="261"/>
      <x:c r="D191" s="261"/>
      <x:c r="E191" s="261" t="str">
        <x:v>Current / non-current + financial classification</x:v>
      </x:c>
      <x:c r="F191" s="261"/>
      <x:c r="G191" s="261"/>
    </x:row>
    <x:row r="192">
      <x:c r="A192" s="248" t="str">
        <x:v>Other inventories</x:v>
      </x:c>
      <x:c r="B192" s="261"/>
      <x:c r="C192" s="261"/>
      <x:c r="D192" s="261"/>
      <x:c r="E192" s="261" t="str">
        <x:v>Current / non-current + financial classification</x:v>
      </x:c>
      <x:c r="F192" s="261"/>
      <x:c r="G192" s="261"/>
    </x:row>
    <x:row r="193">
      <x:c r="A193" s="276" t="str">
        <x:v>Total Inventories</x:v>
      </x:c>
      <x:c r="B193" s="277" t="n">
        <x:f>SUM(B187:B192)</x:f>
        <x:v>0</x:v>
      </x:c>
      <x:c r="C193" s="277" t="n">
        <x:f>SUM(C187:C192)</x:f>
        <x:v>0</x:v>
      </x:c>
      <x:c r="D193" s="277"/>
      <x:c r="E193" s="277" t="str">
        <x:v>Current / non-current + financial classification</x:v>
      </x:c>
      <x:c r="F193" s="277"/>
      <x:c r="G193" s="277"/>
    </x:row>
    <x:row r="194">
      <x:c r="A194" s="279" t="str">
        <x:v>Note 15 — Investments — Current assets</x:v>
      </x:c>
      <x:c r="B194" s="290"/>
      <x:c r="C194" s="290"/>
      <x:c r="D194" s="290"/>
      <x:c r="E194" s="290"/>
      <x:c r="F194" s="290"/>
      <x:c r="G194" s="290"/>
    </x:row>
    <x:row r="195">
      <x:c r="A195" s="255" t="str">
        <x:v>Particulars</x:v>
      </x:c>
      <x:c r="B195" s="291" t="str">
        <x:v>Current Year</x:v>
      </x:c>
      <x:c r="C195" s="291" t="str">
        <x:v>Previous Year</x:v>
      </x:c>
      <x:c r="D195" s="291" t="str">
        <x:v>Mapping / Source</x:v>
      </x:c>
      <x:c r="E195" s="291" t="str">
        <x:v>Classification</x:v>
      </x:c>
      <x:c r="F195" s="291" t="str">
        <x:v>Remarks</x:v>
      </x:c>
      <x:c r="G195" s="291"/>
    </x:row>
    <x:row r="196">
      <x:c r="A196" s="248" t="str">
        <x:v>Quoted investments</x:v>
      </x:c>
      <x:c r="B196" s="261"/>
      <x:c r="C196" s="261"/>
      <x:c r="D196" s="261"/>
      <x:c r="E196" s="261" t="str">
        <x:v>Current / non-current + financial classification</x:v>
      </x:c>
      <x:c r="F196" s="261"/>
      <x:c r="G196" s="261"/>
    </x:row>
    <x:row r="197">
      <x:c r="A197" s="248" t="str">
        <x:v>Unquoted investments</x:v>
      </x:c>
      <x:c r="B197" s="261"/>
      <x:c r="C197" s="261"/>
      <x:c r="D197" s="261"/>
      <x:c r="E197" s="261" t="str">
        <x:v>Current / non-current + financial classification</x:v>
      </x:c>
      <x:c r="F197" s="261"/>
      <x:c r="G197" s="261"/>
    </x:row>
    <x:row r="198">
      <x:c r="A198" s="248" t="str">
        <x:v>Investments in subsidiaries / associates / JVs</x:v>
      </x:c>
      <x:c r="B198" s="261"/>
      <x:c r="C198" s="261"/>
      <x:c r="D198" s="261"/>
      <x:c r="E198" s="261" t="str">
        <x:v>Current / non-current + financial classification</x:v>
      </x:c>
      <x:c r="F198" s="261"/>
      <x:c r="G198" s="261"/>
    </x:row>
    <x:row r="199">
      <x:c r="A199" s="248" t="str">
        <x:v>Less: Impairment</x:v>
      </x:c>
      <x:c r="B199" s="261"/>
      <x:c r="C199" s="261"/>
      <x:c r="D199" s="261"/>
      <x:c r="E199" s="261" t="str">
        <x:v>Current / non-current + financial classification</x:v>
      </x:c>
      <x:c r="F199" s="261"/>
      <x:c r="G199" s="261"/>
    </x:row>
    <x:row r="200">
      <x:c r="A200" s="276" t="str">
        <x:v>Total Investments</x:v>
      </x:c>
      <x:c r="B200" s="277" t="n">
        <x:f>SUM(B196:B199)</x:f>
        <x:v>0</x:v>
      </x:c>
      <x:c r="C200" s="277" t="n">
        <x:f>SUM(C196:C199)</x:f>
        <x:v>0</x:v>
      </x:c>
      <x:c r="D200" s="277"/>
      <x:c r="E200" s="277" t="str">
        <x:v>Current / non-current + financial classification</x:v>
      </x:c>
      <x:c r="F200" s="277"/>
      <x:c r="G200" s="277"/>
    </x:row>
    <x:row r="201">
      <x:c r="A201" s="279" t="str">
        <x:v>Note 16 — Trade receivables — Current assets</x:v>
      </x:c>
      <x:c r="B201" s="290"/>
      <x:c r="C201" s="290"/>
      <x:c r="D201" s="290"/>
      <x:c r="E201" s="290"/>
      <x:c r="F201" s="290"/>
      <x:c r="G201" s="290"/>
    </x:row>
    <x:row r="202">
      <x:c r="A202" s="255" t="str">
        <x:v>Particulars</x:v>
      </x:c>
      <x:c r="B202" s="291" t="str">
        <x:v>Current Year</x:v>
      </x:c>
      <x:c r="C202" s="291" t="str">
        <x:v>Previous Year</x:v>
      </x:c>
      <x:c r="D202" s="291" t="str">
        <x:v>Mapping / Source</x:v>
      </x:c>
      <x:c r="E202" s="291" t="str">
        <x:v>Classification</x:v>
      </x:c>
      <x:c r="F202" s="291" t="str">
        <x:v>Remarks</x:v>
      </x:c>
      <x:c r="G202" s="291"/>
    </x:row>
    <x:row r="203">
      <x:c r="A203" s="248" t="str">
        <x:v>Secured, considered good</x:v>
      </x:c>
      <x:c r="B203" s="261"/>
      <x:c r="C203" s="261"/>
      <x:c r="D203" s="261"/>
      <x:c r="E203" s="261" t="str">
        <x:v>Current / non-current + financial classification</x:v>
      </x:c>
      <x:c r="F203" s="261"/>
      <x:c r="G203" s="261"/>
    </x:row>
    <x:row r="204">
      <x:c r="A204" s="248" t="str">
        <x:v>Unsecured, considered good</x:v>
      </x:c>
      <x:c r="B204" s="261"/>
      <x:c r="C204" s="261"/>
      <x:c r="D204" s="261"/>
      <x:c r="E204" s="261" t="str">
        <x:v>Current / non-current + financial classification</x:v>
      </x:c>
      <x:c r="F204" s="261"/>
      <x:c r="G204" s="261"/>
    </x:row>
    <x:row r="205">
      <x:c r="A205" s="248" t="str">
        <x:v>Significant increase in credit risk</x:v>
      </x:c>
      <x:c r="B205" s="261"/>
      <x:c r="C205" s="261"/>
      <x:c r="D205" s="261"/>
      <x:c r="E205" s="261" t="str">
        <x:v>Current / non-current + financial classification</x:v>
      </x:c>
      <x:c r="F205" s="261"/>
      <x:c r="G205" s="261"/>
    </x:row>
    <x:row r="206">
      <x:c r="A206" s="276" t="str">
        <x:v>Credit impaired</x:v>
      </x:c>
      <x:c r="B206" s="277"/>
      <x:c r="C206" s="277"/>
      <x:c r="D206" s="277"/>
      <x:c r="E206" s="277" t="str">
        <x:v>Current / non-current + financial classification</x:v>
      </x:c>
      <x:c r="F206" s="277"/>
      <x:c r="G206" s="277"/>
    </x:row>
    <x:row r="207">
      <x:c r="A207" s="279" t="str">
        <x:v>Less: Allowance for doubtful debts</x:v>
      </x:c>
      <x:c r="B207" s="290"/>
      <x:c r="C207" s="290"/>
      <x:c r="D207" s="290"/>
      <x:c r="E207" s="290" t="str">
        <x:v>Current / non-current + financial classification</x:v>
      </x:c>
      <x:c r="F207" s="290"/>
      <x:c r="G207" s="290"/>
    </x:row>
    <x:row r="208">
      <x:c r="A208" s="255" t="str">
        <x:v>Total Trade receivables</x:v>
      </x:c>
      <x:c r="B208" s="291" t="n">
        <x:f>SUM(B203:B207)</x:f>
        <x:v>0</x:v>
      </x:c>
      <x:c r="C208" s="291" t="n">
        <x:f>SUM(C203:C207)</x:f>
        <x:v>0</x:v>
      </x:c>
      <x:c r="D208" s="291"/>
      <x:c r="E208" s="291" t="str">
        <x:v>Current / non-current + financial classification</x:v>
      </x:c>
      <x:c r="F208" s="291"/>
      <x:c r="G208" s="291"/>
    </x:row>
    <x:row r="209">
      <x:c r="A209" s="248" t="str">
        <x:v>Note 17 — Cash and cash equivalents</x:v>
      </x:c>
      <x:c r="B209" s="261"/>
      <x:c r="C209" s="261"/>
      <x:c r="D209" s="261"/>
      <x:c r="E209" s="261"/>
      <x:c r="F209" s="261"/>
      <x:c r="G209" s="261"/>
    </x:row>
    <x:row r="210">
      <x:c r="A210" s="248" t="str">
        <x:v>Particulars</x:v>
      </x:c>
      <x:c r="B210" s="261" t="str">
        <x:v>Current Year</x:v>
      </x:c>
      <x:c r="C210" s="261" t="str">
        <x:v>Previous Year</x:v>
      </x:c>
      <x:c r="D210" s="261" t="str">
        <x:v>Mapping / Source</x:v>
      </x:c>
      <x:c r="E210" s="261" t="str">
        <x:v>Classification</x:v>
      </x:c>
      <x:c r="F210" s="261" t="str">
        <x:v>Remarks</x:v>
      </x:c>
      <x:c r="G210" s="261"/>
    </x:row>
    <x:row r="211">
      <x:c r="A211" s="248" t="str">
        <x:v>Cash on hand</x:v>
      </x:c>
      <x:c r="B211" s="261"/>
      <x:c r="C211" s="261"/>
      <x:c r="D211" s="261"/>
      <x:c r="E211" s="261" t="str">
        <x:v>Current / non-current + financial classification</x:v>
      </x:c>
      <x:c r="F211" s="261"/>
      <x:c r="G211" s="261"/>
    </x:row>
    <x:row r="212">
      <x:c r="A212" s="248" t="str">
        <x:v>Balances with banks</x:v>
      </x:c>
      <x:c r="B212" s="261"/>
      <x:c r="C212" s="261"/>
      <x:c r="D212" s="261"/>
      <x:c r="E212" s="261" t="str">
        <x:v>Current / non-current + financial classification</x:v>
      </x:c>
      <x:c r="F212" s="261"/>
      <x:c r="G212" s="261"/>
    </x:row>
    <x:row r="213">
      <x:c r="A213" s="248" t="str">
        <x:v>Cheques / drafts on hand</x:v>
      </x:c>
      <x:c r="B213" s="261"/>
      <x:c r="C213" s="261"/>
      <x:c r="D213" s="261"/>
      <x:c r="E213" s="261" t="str">
        <x:v>Current / non-current + financial classification</x:v>
      </x:c>
      <x:c r="F213" s="261"/>
      <x:c r="G213" s="261"/>
    </x:row>
    <x:row r="214">
      <x:c r="A214" s="276" t="str">
        <x:v>Short-term deposits</x:v>
      </x:c>
      <x:c r="B214" s="277"/>
      <x:c r="C214" s="277"/>
      <x:c r="D214" s="277"/>
      <x:c r="E214" s="277" t="str">
        <x:v>Current / non-current + financial classification</x:v>
      </x:c>
      <x:c r="F214" s="277"/>
      <x:c r="G214" s="277"/>
    </x:row>
    <x:row r="215">
      <x:c r="A215" s="279" t="str">
        <x:v>Total Cash and cash equivalents</x:v>
      </x:c>
      <x:c r="B215" s="290" t="n">
        <x:f>SUM(B211:B214)</x:f>
        <x:v>0</x:v>
      </x:c>
      <x:c r="C215" s="290" t="n">
        <x:f>SUM(C211:C214)</x:f>
        <x:v>0</x:v>
      </x:c>
      <x:c r="D215" s="290"/>
      <x:c r="E215" s="290" t="str">
        <x:v>Current / non-current + financial classification</x:v>
      </x:c>
      <x:c r="F215" s="290"/>
      <x:c r="G215" s="290"/>
    </x:row>
    <x:row r="216">
      <x:c r="A216" s="255" t="str">
        <x:v>Note 18 — Bank balances other than cash and cash equivalents</x:v>
      </x:c>
      <x:c r="B216" s="291"/>
      <x:c r="C216" s="291"/>
      <x:c r="D216" s="291"/>
      <x:c r="E216" s="291"/>
      <x:c r="F216" s="291"/>
      <x:c r="G216" s="291"/>
    </x:row>
    <x:row r="217">
      <x:c r="A217" s="248" t="str">
        <x:v>Particulars</x:v>
      </x:c>
      <x:c r="B217" s="261" t="str">
        <x:v>Current Year</x:v>
      </x:c>
      <x:c r="C217" s="261" t="str">
        <x:v>Previous Year</x:v>
      </x:c>
      <x:c r="D217" s="261" t="str">
        <x:v>Mapping / Source</x:v>
      </x:c>
      <x:c r="E217" s="261" t="str">
        <x:v>Classification</x:v>
      </x:c>
      <x:c r="F217" s="261" t="str">
        <x:v>Remarks</x:v>
      </x:c>
      <x:c r="G217" s="261"/>
    </x:row>
    <x:row r="218">
      <x:c r="A218" s="248" t="str">
        <x:v>Cash on hand</x:v>
      </x:c>
      <x:c r="B218" s="261"/>
      <x:c r="C218" s="261"/>
      <x:c r="D218" s="261"/>
      <x:c r="E218" s="261" t="str">
        <x:v>Current / non-current + financial classification</x:v>
      </x:c>
      <x:c r="F218" s="261"/>
      <x:c r="G218" s="261"/>
    </x:row>
    <x:row r="219">
      <x:c r="A219" s="248" t="str">
        <x:v>Balances with banks</x:v>
      </x:c>
      <x:c r="B219" s="261"/>
      <x:c r="C219" s="261"/>
      <x:c r="D219" s="261"/>
      <x:c r="E219" s="261" t="str">
        <x:v>Current / non-current + financial classification</x:v>
      </x:c>
      <x:c r="F219" s="261"/>
      <x:c r="G219" s="261"/>
    </x:row>
    <x:row r="220">
      <x:c r="A220" s="248" t="str">
        <x:v>Cheques / drafts on hand</x:v>
      </x:c>
      <x:c r="B220" s="261"/>
      <x:c r="C220" s="261"/>
      <x:c r="D220" s="261"/>
      <x:c r="E220" s="261" t="str">
        <x:v>Current / non-current + financial classification</x:v>
      </x:c>
      <x:c r="F220" s="261"/>
      <x:c r="G220" s="261"/>
    </x:row>
    <x:row r="221">
      <x:c r="A221" s="276" t="str">
        <x:v>Short-term deposits</x:v>
      </x:c>
      <x:c r="B221" s="277"/>
      <x:c r="C221" s="277"/>
      <x:c r="D221" s="277"/>
      <x:c r="E221" s="277" t="str">
        <x:v>Current / non-current + financial classification</x:v>
      </x:c>
      <x:c r="F221" s="277"/>
      <x:c r="G221" s="277"/>
    </x:row>
    <x:row r="222">
      <x:c r="A222" s="279" t="str">
        <x:v>Total Bank balances other than cash and cash equivalents</x:v>
      </x:c>
      <x:c r="B222" s="290" t="n">
        <x:f>SUM(B218:B221)</x:f>
        <x:v>0</x:v>
      </x:c>
      <x:c r="C222" s="290" t="n">
        <x:f>SUM(C218:C221)</x:f>
        <x:v>0</x:v>
      </x:c>
      <x:c r="D222" s="290"/>
      <x:c r="E222" s="290" t="str">
        <x:v>Current / non-current + financial classification</x:v>
      </x:c>
      <x:c r="F222" s="290"/>
      <x:c r="G222" s="290"/>
    </x:row>
    <x:row r="223">
      <x:c r="A223" s="255" t="str">
        <x:v>Note 19 — Loans — Current assets</x:v>
      </x:c>
      <x:c r="B223" s="291"/>
      <x:c r="C223" s="291"/>
      <x:c r="D223" s="291"/>
      <x:c r="E223" s="291"/>
      <x:c r="F223" s="291"/>
      <x:c r="G223" s="291"/>
    </x:row>
    <x:row r="224">
      <x:c r="A224" s="248" t="str">
        <x:v>Particulars</x:v>
      </x:c>
      <x:c r="B224" s="261" t="str">
        <x:v>Current Year</x:v>
      </x:c>
      <x:c r="C224" s="261" t="str">
        <x:v>Previous Year</x:v>
      </x:c>
      <x:c r="D224" s="261" t="str">
        <x:v>Mapping / Source</x:v>
      </x:c>
      <x:c r="E224" s="261" t="str">
        <x:v>Classification</x:v>
      </x:c>
      <x:c r="F224" s="261" t="str">
        <x:v>Remarks</x:v>
      </x:c>
      <x:c r="G224" s="261"/>
    </x:row>
    <x:row r="225">
      <x:c r="A225" s="248" t="str">
        <x:v>Secured, considered good</x:v>
      </x:c>
      <x:c r="B225" s="261"/>
      <x:c r="C225" s="261"/>
      <x:c r="D225" s="261"/>
      <x:c r="E225" s="261" t="str">
        <x:v>Current / non-current + financial classification</x:v>
      </x:c>
      <x:c r="F225" s="261"/>
      <x:c r="G225" s="261"/>
    </x:row>
    <x:row r="226">
      <x:c r="A226" s="248" t="str">
        <x:v>Unsecured, considered good</x:v>
      </x:c>
      <x:c r="B226" s="261"/>
      <x:c r="C226" s="261"/>
      <x:c r="D226" s="261"/>
      <x:c r="E226" s="261" t="str">
        <x:v>Current / non-current + financial classification</x:v>
      </x:c>
      <x:c r="F226" s="261"/>
      <x:c r="G226" s="261"/>
    </x:row>
    <x:row r="227">
      <x:c r="A227" s="276" t="str">
        <x:v>Credit impaired / doubtful</x:v>
      </x:c>
      <x:c r="B227" s="277"/>
      <x:c r="C227" s="277"/>
      <x:c r="D227" s="277"/>
      <x:c r="E227" s="277" t="str">
        <x:v>Current / non-current + financial classification</x:v>
      </x:c>
      <x:c r="F227" s="277"/>
      <x:c r="G227" s="277"/>
    </x:row>
    <x:row r="228">
      <x:c r="A228" s="279" t="str">
        <x:v>Less: Allowance / impairment</x:v>
      </x:c>
      <x:c r="B228" s="290"/>
      <x:c r="C228" s="290"/>
      <x:c r="D228" s="290"/>
      <x:c r="E228" s="290" t="str">
        <x:v>Current / non-current + financial classification</x:v>
      </x:c>
      <x:c r="F228" s="290"/>
      <x:c r="G228" s="290"/>
    </x:row>
    <x:row r="229">
      <x:c r="A229" s="255" t="str">
        <x:v>Total Loans</x:v>
      </x:c>
      <x:c r="B229" s="291" t="n">
        <x:f>SUM(B225:B228)</x:f>
        <x:v>0</x:v>
      </x:c>
      <x:c r="C229" s="291" t="n">
        <x:f>SUM(C225:C228)</x:f>
        <x:v>0</x:v>
      </x:c>
      <x:c r="D229" s="291"/>
      <x:c r="E229" s="291" t="str">
        <x:v>Current / non-current + financial classification</x:v>
      </x:c>
      <x:c r="F229" s="291"/>
      <x:c r="G229" s="291"/>
    </x:row>
    <x:row r="230">
      <x:c r="A230" s="248" t="str">
        <x:v>Note 20 — Other financial assets (to be specified) — Current assets</x:v>
      </x:c>
      <x:c r="B230" s="261"/>
      <x:c r="C230" s="261"/>
      <x:c r="D230" s="261"/>
      <x:c r="E230" s="261"/>
      <x:c r="F230" s="261"/>
      <x:c r="G230" s="261"/>
    </x:row>
    <x:row r="231">
      <x:c r="A231" s="248" t="str">
        <x:v>Particulars</x:v>
      </x:c>
      <x:c r="B231" s="261" t="str">
        <x:v>Current Year</x:v>
      </x:c>
      <x:c r="C231" s="261" t="str">
        <x:v>Previous Year</x:v>
      </x:c>
      <x:c r="D231" s="261" t="str">
        <x:v>Mapping / Source</x:v>
      </x:c>
      <x:c r="E231" s="261" t="str">
        <x:v>Classification</x:v>
      </x:c>
      <x:c r="F231" s="261" t="str">
        <x:v>Remarks</x:v>
      </x:c>
      <x:c r="G231" s="261"/>
    </x:row>
    <x:row r="232">
      <x:c r="A232" s="248" t="str">
        <x:v>Security deposits</x:v>
      </x:c>
      <x:c r="B232" s="261"/>
      <x:c r="C232" s="261"/>
      <x:c r="D232" s="261"/>
      <x:c r="E232" s="261" t="str">
        <x:v>Current / non-current + financial classification</x:v>
      </x:c>
      <x:c r="F232" s="261"/>
      <x:c r="G232" s="261"/>
    </x:row>
    <x:row r="233">
      <x:c r="A233" s="276" t="str">
        <x:v>Interest accrued</x:v>
      </x:c>
      <x:c r="B233" s="277"/>
      <x:c r="C233" s="277"/>
      <x:c r="D233" s="277"/>
      <x:c r="E233" s="277" t="str">
        <x:v>Current / non-current + financial classification</x:v>
      </x:c>
      <x:c r="F233" s="277"/>
      <x:c r="G233" s="277"/>
    </x:row>
    <x:row r="234">
      <x:c r="A234" s="279" t="str">
        <x:v>Derivative / contractual receivables</x:v>
      </x:c>
      <x:c r="B234" s="290"/>
      <x:c r="C234" s="290"/>
      <x:c r="D234" s="290"/>
      <x:c r="E234" s="290" t="str">
        <x:v>Current / non-current + financial classification</x:v>
      </x:c>
      <x:c r="F234" s="290"/>
      <x:c r="G234" s="290"/>
    </x:row>
    <x:row r="235">
      <x:c r="A235" s="255" t="str">
        <x:v>Other financial assets</x:v>
      </x:c>
      <x:c r="B235" s="291"/>
      <x:c r="C235" s="291"/>
      <x:c r="D235" s="291"/>
      <x:c r="E235" s="291" t="str">
        <x:v>Current / non-current + financial classification</x:v>
      </x:c>
      <x:c r="F235" s="291"/>
      <x:c r="G235" s="291"/>
    </x:row>
    <x:row r="236">
      <x:c r="A236" s="248" t="str">
        <x:v>Total Other financial assets (to be specified)</x:v>
      </x:c>
      <x:c r="B236" s="261" t="n">
        <x:f>SUM(B232:B235)</x:f>
        <x:v>0</x:v>
      </x:c>
      <x:c r="C236" s="261" t="n">
        <x:f>SUM(C232:C235)</x:f>
        <x:v>0</x:v>
      </x:c>
      <x:c r="D236" s="261"/>
      <x:c r="E236" s="261" t="str">
        <x:v>Current / non-current + financial classification</x:v>
      </x:c>
      <x:c r="F236" s="261"/>
      <x:c r="G236" s="261"/>
    </x:row>
    <x:row r="237">
      <x:c r="A237" s="248" t="str">
        <x:v>Note 21 — Current tax assets (Net)</x:v>
      </x:c>
      <x:c r="B237" s="261"/>
      <x:c r="C237" s="261"/>
      <x:c r="D237" s="261"/>
      <x:c r="E237" s="261"/>
      <x:c r="F237" s="261"/>
      <x:c r="G237" s="261"/>
    </x:row>
    <x:row r="238">
      <x:c r="A238" s="248" t="str">
        <x:v>Particulars</x:v>
      </x:c>
      <x:c r="B238" s="261" t="str">
        <x:v>Current Year</x:v>
      </x:c>
      <x:c r="C238" s="261" t="str">
        <x:v>Previous Year</x:v>
      </x:c>
      <x:c r="D238" s="261" t="str">
        <x:v>Mapping / Source</x:v>
      </x:c>
      <x:c r="E238" s="261" t="str">
        <x:v>Classification</x:v>
      </x:c>
      <x:c r="F238" s="261" t="str">
        <x:v>Remarks</x:v>
      </x:c>
      <x:c r="G238" s="261"/>
    </x:row>
    <x:row r="239">
      <x:c r="A239" s="276" t="str">
        <x:v>Advance tax</x:v>
      </x:c>
      <x:c r="B239" s="277"/>
      <x:c r="C239" s="277"/>
      <x:c r="D239" s="277"/>
      <x:c r="E239" s="277" t="str">
        <x:v>Current / non-current + financial classification</x:v>
      </x:c>
      <x:c r="F239" s="277"/>
      <x:c r="G239" s="277"/>
    </x:row>
    <x:row r="240">
      <x:c r="A240" s="279" t="str">
        <x:v>Tax deducted / collected at source</x:v>
      </x:c>
      <x:c r="B240" s="290"/>
      <x:c r="C240" s="290"/>
      <x:c r="D240" s="290"/>
      <x:c r="E240" s="290" t="str">
        <x:v>Current / non-current + financial classification</x:v>
      </x:c>
      <x:c r="F240" s="290"/>
      <x:c r="G240" s="290"/>
    </x:row>
    <x:row r="241">
      <x:c r="A241" s="255" t="str">
        <x:v>Less: Provision for current tax</x:v>
      </x:c>
      <x:c r="B241" s="291"/>
      <x:c r="C241" s="291"/>
      <x:c r="D241" s="291"/>
      <x:c r="E241" s="291" t="str">
        <x:v>Current / non-current + financial classification</x:v>
      </x:c>
      <x:c r="F241" s="291"/>
      <x:c r="G241" s="291"/>
    </x:row>
    <x:row r="242">
      <x:c r="A242" s="248" t="str">
        <x:v>Total Current tax assets (Net)</x:v>
      </x:c>
      <x:c r="B242" s="261" t="n">
        <x:f>SUM(B239:B241)</x:f>
        <x:v>0</x:v>
      </x:c>
      <x:c r="C242" s="261" t="n">
        <x:f>SUM(C239:C241)</x:f>
        <x:v>0</x:v>
      </x:c>
      <x:c r="D242" s="261"/>
      <x:c r="E242" s="261" t="str">
        <x:v>Current / non-current + financial classification</x:v>
      </x:c>
      <x:c r="F242" s="261"/>
      <x:c r="G242" s="261"/>
    </x:row>
    <x:row r="243">
      <x:c r="A243" s="248" t="str">
        <x:v>Note 22 — Other current assets</x:v>
      </x:c>
      <x:c r="B243" s="261"/>
      <x:c r="C243" s="261"/>
      <x:c r="D243" s="261"/>
      <x:c r="E243" s="261"/>
      <x:c r="F243" s="261"/>
      <x:c r="G243" s="261"/>
    </x:row>
    <x:row r="244">
      <x:c r="A244" s="248" t="str">
        <x:v>Particulars</x:v>
      </x:c>
      <x:c r="B244" s="261" t="str">
        <x:v>Current Year</x:v>
      </x:c>
      <x:c r="C244" s="261" t="str">
        <x:v>Previous Year</x:v>
      </x:c>
      <x:c r="D244" s="261" t="str">
        <x:v>Mapping / Source</x:v>
      </x:c>
      <x:c r="E244" s="261" t="str">
        <x:v>Classification</x:v>
      </x:c>
      <x:c r="F244" s="261" t="str">
        <x:v>Remarks</x:v>
      </x:c>
      <x:c r="G244" s="261"/>
    </x:row>
    <x:row r="245">
      <x:c r="A245" s="248" t="str">
        <x:v>Capital advances</x:v>
      </x:c>
      <x:c r="B245" s="261"/>
      <x:c r="C245" s="261"/>
      <x:c r="D245" s="261"/>
      <x:c r="E245" s="261" t="str">
        <x:v>Current / non-current + financial classification</x:v>
      </x:c>
      <x:c r="F245" s="261"/>
      <x:c r="G245" s="261"/>
    </x:row>
    <x:row r="246">
      <x:c r="A246" s="276" t="str">
        <x:v>Prepaid expenses</x:v>
      </x:c>
      <x:c r="B246" s="277"/>
      <x:c r="C246" s="277"/>
      <x:c r="D246" s="277"/>
      <x:c r="E246" s="277" t="str">
        <x:v>Current / non-current + financial classification</x:v>
      </x:c>
      <x:c r="F246" s="277"/>
      <x:c r="G246" s="277"/>
    </x:row>
    <x:row r="247">
      <x:c r="A247" s="279" t="str">
        <x:v>Balances with government authorities</x:v>
      </x:c>
      <x:c r="B247" s="290"/>
      <x:c r="C247" s="290"/>
      <x:c r="D247" s="290"/>
      <x:c r="E247" s="290" t="str">
        <x:v>Current / non-current + financial classification</x:v>
      </x:c>
      <x:c r="F247" s="290"/>
      <x:c r="G247" s="290"/>
    </x:row>
    <x:row r="248">
      <x:c r="A248" s="255" t="str">
        <x:v>Other assets</x:v>
      </x:c>
      <x:c r="B248" s="291"/>
      <x:c r="C248" s="291"/>
      <x:c r="D248" s="291"/>
      <x:c r="E248" s="291" t="str">
        <x:v>Current / non-current + financial classification</x:v>
      </x:c>
      <x:c r="F248" s="291"/>
      <x:c r="G248" s="291"/>
    </x:row>
    <x:row r="249">
      <x:c r="A249" s="248" t="str">
        <x:v>Total Other current assets</x:v>
      </x:c>
      <x:c r="B249" s="261" t="n">
        <x:f>SUM(B245:B248)</x:f>
        <x:v>0</x:v>
      </x:c>
      <x:c r="C249" s="261" t="n">
        <x:f>SUM(C245:C248)</x:f>
        <x:v>0</x:v>
      </x:c>
      <x:c r="D249" s="261"/>
      <x:c r="E249" s="261" t="str">
        <x:v>Current / non-current + financial classification</x:v>
      </x:c>
      <x:c r="F249" s="261"/>
      <x:c r="G249" s="261"/>
    </x:row>
    <x:row r="250">
      <x:c r="A250" s="248" t="str">
        <x:v>Note 23 — Equity share capital</x:v>
      </x:c>
      <x:c r="B250" s="261"/>
      <x:c r="C250" s="261"/>
      <x:c r="D250" s="261"/>
      <x:c r="E250" s="261"/>
      <x:c r="F250" s="261"/>
      <x:c r="G250" s="261"/>
    </x:row>
    <x:row r="251">
      <x:c r="A251" s="248" t="str">
        <x:v>Particulars</x:v>
      </x:c>
      <x:c r="B251" s="261" t="str">
        <x:v>Current Year</x:v>
      </x:c>
      <x:c r="C251" s="261" t="str">
        <x:v>Previous Year</x:v>
      </x:c>
      <x:c r="D251" s="261" t="str">
        <x:v>Mapping / Source</x:v>
      </x:c>
      <x:c r="E251" s="261" t="str">
        <x:v>Classification</x:v>
      </x:c>
      <x:c r="F251" s="261" t="str">
        <x:v>Remarks</x:v>
      </x:c>
      <x:c r="G251" s="261"/>
    </x:row>
    <x:row r="252">
      <x:c r="A252" s="248" t="str">
        <x:v>Equity shares</x:v>
      </x:c>
      <x:c r="B252" s="261"/>
      <x:c r="C252" s="261"/>
      <x:c r="D252" s="261"/>
      <x:c r="E252" s="261" t="str">
        <x:v>Current / non-current + financial classification</x:v>
      </x:c>
      <x:c r="F252" s="261"/>
      <x:c r="G252" s="261"/>
    </x:row>
    <x:row r="253">
      <x:c r="A253" s="276" t="str">
        <x:v>Preference shares</x:v>
      </x:c>
      <x:c r="B253" s="277"/>
      <x:c r="C253" s="277"/>
      <x:c r="D253" s="277"/>
      <x:c r="E253" s="277" t="str">
        <x:v>Current / non-current + financial classification</x:v>
      </x:c>
      <x:c r="F253" s="277"/>
      <x:c r="G253" s="277"/>
    </x:row>
    <x:row r="254">
      <x:c r="A254" s="279" t="str">
        <x:v>Other share capital adjustments</x:v>
      </x:c>
      <x:c r="B254" s="290"/>
      <x:c r="C254" s="290"/>
      <x:c r="D254" s="290"/>
      <x:c r="E254" s="290" t="str">
        <x:v>Current / non-current + financial classification</x:v>
      </x:c>
      <x:c r="F254" s="290"/>
      <x:c r="G254" s="290"/>
    </x:row>
    <x:row r="255">
      <x:c r="A255" s="255" t="str">
        <x:v>Total Equity share capital</x:v>
      </x:c>
      <x:c r="B255" s="291" t="n">
        <x:f>SUM(B252:B254)</x:f>
        <x:v>0</x:v>
      </x:c>
      <x:c r="C255" s="291" t="n">
        <x:f>SUM(C252:C254)</x:f>
        <x:v>0</x:v>
      </x:c>
      <x:c r="D255" s="291"/>
      <x:c r="E255" s="291" t="str">
        <x:v>Current / non-current + financial classification</x:v>
      </x:c>
      <x:c r="F255" s="291"/>
      <x:c r="G255" s="291"/>
    </x:row>
    <x:row r="256">
      <x:c r="A256" s="248" t="str">
        <x:v>Note 24 — Other equity</x:v>
      </x:c>
      <x:c r="B256" s="261"/>
      <x:c r="C256" s="261"/>
      <x:c r="D256" s="261"/>
      <x:c r="E256" s="261"/>
      <x:c r="F256" s="261"/>
      <x:c r="G256" s="261"/>
    </x:row>
    <x:row r="257">
      <x:c r="A257" s="248" t="str">
        <x:v>Particulars</x:v>
      </x:c>
      <x:c r="B257" s="261" t="str">
        <x:v>Current Year</x:v>
      </x:c>
      <x:c r="C257" s="261" t="str">
        <x:v>Previous Year</x:v>
      </x:c>
      <x:c r="D257" s="261" t="str">
        <x:v>Mapping / Source</x:v>
      </x:c>
      <x:c r="E257" s="261" t="str">
        <x:v>Classification</x:v>
      </x:c>
      <x:c r="F257" s="261" t="str">
        <x:v>Remarks</x:v>
      </x:c>
      <x:c r="G257" s="261"/>
    </x:row>
    <x:row r="258">
      <x:c r="A258" s="248" t="str">
        <x:v>Capital reserve</x:v>
      </x:c>
      <x:c r="B258" s="261"/>
      <x:c r="C258" s="261"/>
      <x:c r="D258" s="261"/>
      <x:c r="E258" s="261" t="str">
        <x:v>Current / non-current + financial classification</x:v>
      </x:c>
      <x:c r="F258" s="261"/>
      <x:c r="G258" s="261"/>
    </x:row>
    <x:row r="259">
      <x:c r="A259" s="276" t="str">
        <x:v>Securities premium</x:v>
      </x:c>
      <x:c r="B259" s="277"/>
      <x:c r="C259" s="277"/>
      <x:c r="D259" s="277"/>
      <x:c r="E259" s="277" t="str">
        <x:v>Current / non-current + financial classification</x:v>
      </x:c>
      <x:c r="F259" s="277"/>
      <x:c r="G259" s="277"/>
    </x:row>
    <x:row r="260">
      <x:c r="A260" s="279" t="str">
        <x:v>General reserve</x:v>
      </x:c>
      <x:c r="B260" s="290"/>
      <x:c r="C260" s="290"/>
      <x:c r="D260" s="290"/>
      <x:c r="E260" s="290" t="str">
        <x:v>Current / non-current + financial classification</x:v>
      </x:c>
      <x:c r="F260" s="290"/>
      <x:c r="G260" s="290"/>
    </x:row>
    <x:row r="261">
      <x:c r="A261" s="255" t="str">
        <x:v>Retained earnings / Surplus</x:v>
      </x:c>
      <x:c r="B261" s="291"/>
      <x:c r="C261" s="291"/>
      <x:c r="D261" s="291"/>
      <x:c r="E261" s="291" t="str">
        <x:v>Current / non-current + financial classification</x:v>
      </x:c>
      <x:c r="F261" s="291"/>
      <x:c r="G261" s="291"/>
    </x:row>
    <x:row r="262">
      <x:c r="A262" s="248" t="str">
        <x:v>Other reserves</x:v>
      </x:c>
      <x:c r="B262" s="261"/>
      <x:c r="C262" s="261"/>
      <x:c r="D262" s="261"/>
      <x:c r="E262" s="261" t="str">
        <x:v>Current / non-current + financial classification</x:v>
      </x:c>
      <x:c r="F262" s="261"/>
      <x:c r="G262" s="261"/>
    </x:row>
    <x:row r="263">
      <x:c r="A263" s="248" t="str">
        <x:v>Total Other equity</x:v>
      </x:c>
      <x:c r="B263" s="261" t="n">
        <x:f>SUM(B258:B262)</x:f>
        <x:v>0</x:v>
      </x:c>
      <x:c r="C263" s="261" t="n">
        <x:f>SUM(C258:C262)</x:f>
        <x:v>0</x:v>
      </x:c>
      <x:c r="D263" s="261"/>
      <x:c r="E263" s="261" t="str">
        <x:v>Current / non-current + financial classification</x:v>
      </x:c>
      <x:c r="F263" s="261"/>
      <x:c r="G263" s="261"/>
    </x:row>
    <x:row r="264">
      <x:c r="A264" s="248" t="str">
        <x:v>Note 25 — Borrowings — Non-current liabilities</x:v>
      </x:c>
      <x:c r="B264" s="261"/>
      <x:c r="C264" s="261"/>
      <x:c r="D264" s="261"/>
      <x:c r="E264" s="261"/>
      <x:c r="F264" s="261"/>
      <x:c r="G264" s="261"/>
    </x:row>
    <x:row r="265">
      <x:c r="A265" s="248" t="str">
        <x:v>Particulars</x:v>
      </x:c>
      <x:c r="B265" s="261" t="str">
        <x:v>Current Year</x:v>
      </x:c>
      <x:c r="C265" s="261" t="str">
        <x:v>Previous Year</x:v>
      </x:c>
      <x:c r="D265" s="261" t="str">
        <x:v>Mapping / Source</x:v>
      </x:c>
      <x:c r="E265" s="261" t="str">
        <x:v>Classification</x:v>
      </x:c>
      <x:c r="F265" s="261" t="str">
        <x:v>Remarks</x:v>
      </x:c>
      <x:c r="G265" s="261"/>
    </x:row>
    <x:row r="266">
      <x:c r="A266" s="276" t="str">
        <x:v>Secured</x:v>
      </x:c>
      <x:c r="B266" s="277"/>
      <x:c r="C266" s="277"/>
      <x:c r="D266" s="277"/>
      <x:c r="E266" s="277" t="str">
        <x:v>Current / non-current + financial classification</x:v>
      </x:c>
      <x:c r="F266" s="277"/>
      <x:c r="G266" s="277"/>
    </x:row>
    <x:row r="267">
      <x:c r="A267" s="279" t="str">
        <x:v>Unsecured</x:v>
      </x:c>
      <x:c r="B267" s="290"/>
      <x:c r="C267" s="290"/>
      <x:c r="D267" s="290"/>
      <x:c r="E267" s="290" t="str">
        <x:v>Current / non-current + financial classification</x:v>
      </x:c>
      <x:c r="F267" s="290"/>
      <x:c r="G267" s="290"/>
    </x:row>
    <x:row r="268">
      <x:c r="A268" s="255" t="str">
        <x:v>Accrued interest / transaction costs</x:v>
      </x:c>
      <x:c r="B268" s="291"/>
      <x:c r="C268" s="291"/>
      <x:c r="D268" s="291"/>
      <x:c r="E268" s="291" t="str">
        <x:v>Current / non-current + financial classification</x:v>
      </x:c>
      <x:c r="F268" s="291"/>
      <x:c r="G268" s="291"/>
    </x:row>
    <x:row r="269">
      <x:c r="A269" s="248" t="str">
        <x:v>Other</x:v>
      </x:c>
      <x:c r="B269" s="261"/>
      <x:c r="C269" s="261"/>
      <x:c r="D269" s="261"/>
      <x:c r="E269" s="261" t="str">
        <x:v>Current / non-current + financial classification</x:v>
      </x:c>
      <x:c r="F269" s="261"/>
      <x:c r="G269" s="261"/>
    </x:row>
    <x:row r="270">
      <x:c r="A270" s="248" t="str">
        <x:v>Total Borrowings</x:v>
      </x:c>
      <x:c r="B270" s="261" t="n">
        <x:f>SUM(B266:B269)</x:f>
        <x:v>0</x:v>
      </x:c>
      <x:c r="C270" s="261" t="n">
        <x:f>SUM(C266:C269)</x:f>
        <x:v>0</x:v>
      </x:c>
      <x:c r="D270" s="261"/>
      <x:c r="E270" s="261" t="str">
        <x:v>Current / non-current + financial classification</x:v>
      </x:c>
      <x:c r="F270" s="261"/>
      <x:c r="G270" s="261"/>
    </x:row>
    <x:row r="271">
      <x:c r="A271" s="248" t="str">
        <x:v>Note 26 — Lease liabilities — Non-current liabilities</x:v>
      </x:c>
      <x:c r="B271" s="261"/>
      <x:c r="C271" s="261"/>
      <x:c r="D271" s="261"/>
      <x:c r="E271" s="261"/>
      <x:c r="F271" s="261"/>
      <x:c r="G271" s="261"/>
    </x:row>
    <x:row r="272">
      <x:c r="A272" s="248" t="str">
        <x:v>Particulars</x:v>
      </x:c>
      <x:c r="B272" s="261" t="str">
        <x:v>Current Year</x:v>
      </x:c>
      <x:c r="C272" s="261" t="str">
        <x:v>Previous Year</x:v>
      </x:c>
      <x:c r="D272" s="261" t="str">
        <x:v>Mapping / Source</x:v>
      </x:c>
      <x:c r="E272" s="261" t="str">
        <x:v>Classification</x:v>
      </x:c>
      <x:c r="F272" s="261" t="str">
        <x:v>Remarks</x:v>
      </x:c>
      <x:c r="G272" s="261"/>
    </x:row>
    <x:row r="273">
      <x:c r="A273" s="276" t="str">
        <x:v>Current maturity / due within one year</x:v>
      </x:c>
      <x:c r="B273" s="277"/>
      <x:c r="C273" s="277"/>
      <x:c r="D273" s="277"/>
      <x:c r="E273" s="277" t="str">
        <x:v>Current / non-current + financial classification</x:v>
      </x:c>
      <x:c r="F273" s="277"/>
      <x:c r="G273" s="277"/>
    </x:row>
    <x:row r="274">
      <x:c r="A274" s="279" t="str">
        <x:v>Due after one year</x:v>
      </x:c>
      <x:c r="B274" s="290"/>
      <x:c r="C274" s="290"/>
      <x:c r="D274" s="290"/>
      <x:c r="E274" s="290" t="str">
        <x:v>Current / non-current + financial classification</x:v>
      </x:c>
      <x:c r="F274" s="290"/>
      <x:c r="G274" s="290"/>
    </x:row>
    <x:row r="275">
      <x:c r="A275" s="255" t="str">
        <x:v>Other lease adjustments</x:v>
      </x:c>
      <x:c r="B275" s="291"/>
      <x:c r="C275" s="291"/>
      <x:c r="D275" s="291"/>
      <x:c r="E275" s="291" t="str">
        <x:v>Current / non-current + financial classification</x:v>
      </x:c>
      <x:c r="F275" s="291"/>
      <x:c r="G275" s="291"/>
    </x:row>
    <x:row r="276">
      <x:c r="A276" s="248" t="str">
        <x:v>Total Lease liabilities</x:v>
      </x:c>
      <x:c r="B276" s="261" t="n">
        <x:f>SUM(B273:B275)</x:f>
        <x:v>0</x:v>
      </x:c>
      <x:c r="C276" s="261" t="n">
        <x:f>SUM(C273:C275)</x:f>
        <x:v>0</x:v>
      </x:c>
      <x:c r="D276" s="261"/>
      <x:c r="E276" s="261" t="str">
        <x:v>Current / non-current + financial classification</x:v>
      </x:c>
      <x:c r="F276" s="261"/>
      <x:c r="G276" s="261"/>
    </x:row>
    <x:row r="277">
      <x:c r="A277" s="248" t="str">
        <x:v>Note 27 — Total outstanding dues of micro enterprises and small enterprises — Non-current liabilities</x:v>
      </x:c>
      <x:c r="B277" s="261"/>
      <x:c r="C277" s="261"/>
      <x:c r="D277" s="261"/>
      <x:c r="E277" s="261"/>
      <x:c r="F277" s="261"/>
      <x:c r="G277" s="261"/>
    </x:row>
    <x:row r="278">
      <x:c r="A278" s="248" t="str">
        <x:v>Particulars</x:v>
      </x:c>
      <x:c r="B278" s="261" t="str">
        <x:v>Current Year</x:v>
      </x:c>
      <x:c r="C278" s="261" t="str">
        <x:v>Previous Year</x:v>
      </x:c>
      <x:c r="D278" s="261" t="str">
        <x:v>Mapping / Source</x:v>
      </x:c>
      <x:c r="E278" s="261" t="str">
        <x:v>Classification</x:v>
      </x:c>
      <x:c r="F278" s="261" t="str">
        <x:v>Remarks</x:v>
      </x:c>
      <x:c r="G278" s="261"/>
    </x:row>
    <x:row r="279">
      <x:c r="A279" s="276" t="str">
        <x:v>MSME principal outstanding</x:v>
      </x:c>
      <x:c r="B279" s="277"/>
      <x:c r="C279" s="277"/>
      <x:c r="D279" s="277"/>
      <x:c r="E279" s="277" t="str">
        <x:v>Current / non-current + financial classification</x:v>
      </x:c>
      <x:c r="F279" s="277"/>
      <x:c r="G279" s="277"/>
    </x:row>
    <x:row r="280">
      <x:c r="A280" s="279" t="str">
        <x:v>Interest due to MSME</x:v>
      </x:c>
      <x:c r="B280" s="290"/>
      <x:c r="C280" s="290"/>
      <x:c r="D280" s="290"/>
      <x:c r="E280" s="290" t="str">
        <x:v>Current / non-current + financial classification</x:v>
      </x:c>
      <x:c r="F280" s="290"/>
      <x:c r="G280" s="290"/>
    </x:row>
    <x:row r="281">
      <x:c r="A281" s="255" t="str">
        <x:v>Other MSME dues</x:v>
      </x:c>
      <x:c r="B281" s="291"/>
      <x:c r="C281" s="291"/>
      <x:c r="D281" s="291"/>
      <x:c r="E281" s="291" t="str">
        <x:v>Current / non-current + financial classification</x:v>
      </x:c>
      <x:c r="F281" s="291"/>
      <x:c r="G281" s="291"/>
    </x:row>
    <x:row r="282">
      <x:c r="A282" s="248" t="str">
        <x:v>Total Total outstanding dues of micro enterprises and small enterprises</x:v>
      </x:c>
      <x:c r="B282" s="261" t="n">
        <x:f>SUM(B279:B281)</x:f>
        <x:v>0</x:v>
      </x:c>
      <x:c r="C282" s="261" t="n">
        <x:f>SUM(C279:C281)</x:f>
        <x:v>0</x:v>
      </x:c>
      <x:c r="D282" s="261"/>
      <x:c r="E282" s="261" t="str">
        <x:v>Current / non-current + financial classification</x:v>
      </x:c>
      <x:c r="F282" s="261"/>
      <x:c r="G282" s="261"/>
    </x:row>
    <x:row r="283">
      <x:c r="A283" s="248" t="str">
        <x:v>Note 28 — Total outstanding dues of creditors other than micro enterprises and small enterprises — Non-current liabilities</x:v>
      </x:c>
      <x:c r="B283" s="261"/>
      <x:c r="C283" s="261"/>
      <x:c r="D283" s="261"/>
      <x:c r="E283" s="261"/>
      <x:c r="F283" s="261"/>
      <x:c r="G283" s="261"/>
    </x:row>
    <x:row r="284">
      <x:c r="A284" s="248" t="str">
        <x:v>Particulars</x:v>
      </x:c>
      <x:c r="B284" s="261" t="str">
        <x:v>Current Year</x:v>
      </x:c>
      <x:c r="C284" s="261" t="str">
        <x:v>Previous Year</x:v>
      </x:c>
      <x:c r="D284" s="261" t="str">
        <x:v>Mapping / Source</x:v>
      </x:c>
      <x:c r="E284" s="261" t="str">
        <x:v>Classification</x:v>
      </x:c>
      <x:c r="F284" s="261" t="str">
        <x:v>Remarks</x:v>
      </x:c>
      <x:c r="G284" s="261"/>
    </x:row>
    <x:row r="285">
      <x:c r="A285" s="276" t="str">
        <x:v>MSME principal outstanding</x:v>
      </x:c>
      <x:c r="B285" s="277"/>
      <x:c r="C285" s="277"/>
      <x:c r="D285" s="277"/>
      <x:c r="E285" s="277" t="str">
        <x:v>Current / non-current + financial classification</x:v>
      </x:c>
      <x:c r="F285" s="277"/>
      <x:c r="G285" s="277"/>
    </x:row>
    <x:row r="286">
      <x:c r="A286" s="279" t="str">
        <x:v>Interest due to MSME</x:v>
      </x:c>
      <x:c r="B286" s="290"/>
      <x:c r="C286" s="290"/>
      <x:c r="D286" s="290"/>
      <x:c r="E286" s="290" t="str">
        <x:v>Current / non-current + financial classification</x:v>
      </x:c>
      <x:c r="F286" s="290"/>
      <x:c r="G286" s="290"/>
    </x:row>
    <x:row r="287">
      <x:c r="A287" s="255" t="str">
        <x:v>Other MSME dues</x:v>
      </x:c>
      <x:c r="B287" s="291"/>
      <x:c r="C287" s="291"/>
      <x:c r="D287" s="291"/>
      <x:c r="E287" s="291" t="str">
        <x:v>Current / non-current + financial classification</x:v>
      </x:c>
      <x:c r="F287" s="291"/>
      <x:c r="G287" s="291"/>
    </x:row>
    <x:row r="288">
      <x:c r="A288" s="248" t="str">
        <x:v>Total Total outstanding dues of creditors other than micro enterprises and small enterprises</x:v>
      </x:c>
      <x:c r="B288" s="261" t="n">
        <x:f>SUM(B285:B287)</x:f>
        <x:v>0</x:v>
      </x:c>
      <x:c r="C288" s="261" t="n">
        <x:f>SUM(C285:C287)</x:f>
        <x:v>0</x:v>
      </x:c>
      <x:c r="D288" s="261"/>
      <x:c r="E288" s="261" t="str">
        <x:v>Current / non-current + financial classification</x:v>
      </x:c>
      <x:c r="F288" s="261"/>
      <x:c r="G288" s="261"/>
    </x:row>
    <x:row r="289">
      <x:c r="A289" s="248" t="str">
        <x:v>Note 29 — Other financial liabilities (to be specified) — Non-current liabilities</x:v>
      </x:c>
      <x:c r="B289" s="261"/>
      <x:c r="C289" s="261"/>
      <x:c r="D289" s="261"/>
      <x:c r="E289" s="261"/>
      <x:c r="F289" s="261"/>
      <x:c r="G289" s="261"/>
    </x:row>
    <x:row r="290">
      <x:c r="A290" s="248" t="str">
        <x:v>Particulars</x:v>
      </x:c>
      <x:c r="B290" s="261" t="str">
        <x:v>Current Year</x:v>
      </x:c>
      <x:c r="C290" s="261" t="str">
        <x:v>Previous Year</x:v>
      </x:c>
      <x:c r="D290" s="261" t="str">
        <x:v>Mapping / Source</x:v>
      </x:c>
      <x:c r="E290" s="261" t="str">
        <x:v>Classification</x:v>
      </x:c>
      <x:c r="F290" s="261" t="str">
        <x:v>Remarks</x:v>
      </x:c>
      <x:c r="G290" s="261"/>
    </x:row>
    <x:row r="291">
      <x:c r="A291" s="276" t="str">
        <x:v>Interest accrued</x:v>
      </x:c>
      <x:c r="B291" s="277"/>
      <x:c r="C291" s="277"/>
      <x:c r="D291" s="277"/>
      <x:c r="E291" s="277" t="str">
        <x:v>Current / non-current + financial classification</x:v>
      </x:c>
      <x:c r="F291" s="277"/>
      <x:c r="G291" s="277"/>
    </x:row>
    <x:row r="292">
      <x:c r="A292" s="279" t="str">
        <x:v>Employee / vendor payable</x:v>
      </x:c>
      <x:c r="B292" s="290"/>
      <x:c r="C292" s="290"/>
      <x:c r="D292" s="290"/>
      <x:c r="E292" s="290" t="str">
        <x:v>Current / non-current + financial classification</x:v>
      </x:c>
      <x:c r="F292" s="290"/>
      <x:c r="G292" s="290"/>
    </x:row>
    <x:row r="293">
      <x:c r="A293" s="255" t="str">
        <x:v>Security deposits received</x:v>
      </x:c>
      <x:c r="B293" s="291"/>
      <x:c r="C293" s="291"/>
      <x:c r="D293" s="291"/>
      <x:c r="E293" s="291" t="str">
        <x:v>Current / non-current + financial classification</x:v>
      </x:c>
      <x:c r="F293" s="291"/>
      <x:c r="G293" s="291"/>
    </x:row>
    <x:row r="294">
      <x:c r="A294" s="248" t="str">
        <x:v>Other financial liabilities</x:v>
      </x:c>
      <x:c r="B294" s="261"/>
      <x:c r="C294" s="261"/>
      <x:c r="D294" s="261"/>
      <x:c r="E294" s="261" t="str">
        <x:v>Current / non-current + financial classification</x:v>
      </x:c>
      <x:c r="F294" s="261"/>
      <x:c r="G294" s="261"/>
    </x:row>
    <x:row r="295">
      <x:c r="A295" s="248" t="str">
        <x:v>Total Other financial liabilities (to be specified)</x:v>
      </x:c>
      <x:c r="B295" s="261" t="n">
        <x:f>SUM(B291:B294)</x:f>
        <x:v>0</x:v>
      </x:c>
      <x:c r="C295" s="261" t="n">
        <x:f>SUM(C291:C294)</x:f>
        <x:v>0</x:v>
      </x:c>
      <x:c r="D295" s="261"/>
      <x:c r="E295" s="261" t="str">
        <x:v>Current / non-current + financial classification</x:v>
      </x:c>
      <x:c r="F295" s="261"/>
      <x:c r="G295" s="261"/>
    </x:row>
    <x:row r="296">
      <x:c r="A296" s="248" t="str">
        <x:v>Note 30 — Provisions — Non-current liabilities</x:v>
      </x:c>
      <x:c r="B296" s="261"/>
      <x:c r="C296" s="261"/>
      <x:c r="D296" s="261"/>
      <x:c r="E296" s="261"/>
      <x:c r="F296" s="261"/>
      <x:c r="G296" s="261"/>
    </x:row>
    <x:row r="297">
      <x:c r="A297" s="248" t="str">
        <x:v>Particulars</x:v>
      </x:c>
      <x:c r="B297" s="261" t="str">
        <x:v>Current Year</x:v>
      </x:c>
      <x:c r="C297" s="261" t="str">
        <x:v>Previous Year</x:v>
      </x:c>
      <x:c r="D297" s="261" t="str">
        <x:v>Mapping / Source</x:v>
      </x:c>
      <x:c r="E297" s="261" t="str">
        <x:v>Classification</x:v>
      </x:c>
      <x:c r="F297" s="261" t="str">
        <x:v>Remarks</x:v>
      </x:c>
      <x:c r="G297" s="261"/>
    </x:row>
    <x:row r="298">
      <x:c r="A298" s="276" t="str">
        <x:v>Employee benefit provisions</x:v>
      </x:c>
      <x:c r="B298" s="277"/>
      <x:c r="C298" s="277"/>
      <x:c r="D298" s="277"/>
      <x:c r="E298" s="277" t="str">
        <x:v>Current / non-current + financial classification</x:v>
      </x:c>
      <x:c r="F298" s="277"/>
      <x:c r="G298" s="277"/>
    </x:row>
    <x:row r="299">
      <x:c r="A299" s="279" t="str">
        <x:v>Tax provisions</x:v>
      </x:c>
      <x:c r="B299" s="290"/>
      <x:c r="C299" s="290"/>
      <x:c r="D299" s="290"/>
      <x:c r="E299" s="290" t="str">
        <x:v>Current / non-current + financial classification</x:v>
      </x:c>
      <x:c r="F299" s="290"/>
      <x:c r="G299" s="290"/>
    </x:row>
    <x:row r="300">
      <x:c r="A300" s="255" t="str">
        <x:v>Warranty / contractual provisions</x:v>
      </x:c>
      <x:c r="B300" s="291"/>
      <x:c r="C300" s="291"/>
      <x:c r="D300" s="291"/>
      <x:c r="E300" s="291" t="str">
        <x:v>Current / non-current + financial classification</x:v>
      </x:c>
      <x:c r="F300" s="291"/>
      <x:c r="G300" s="291"/>
    </x:row>
    <x:row r="301">
      <x:c r="A301" s="248" t="str">
        <x:v>Other provisions</x:v>
      </x:c>
      <x:c r="B301" s="261"/>
      <x:c r="C301" s="261"/>
      <x:c r="D301" s="261"/>
      <x:c r="E301" s="261" t="str">
        <x:v>Current / non-current + financial classification</x:v>
      </x:c>
      <x:c r="F301" s="261"/>
      <x:c r="G301" s="261"/>
    </x:row>
    <x:row r="302">
      <x:c r="A302" s="248" t="str">
        <x:v>Total Provisions</x:v>
      </x:c>
      <x:c r="B302" s="261" t="n">
        <x:f>SUM(B298:B301)</x:f>
        <x:v>0</x:v>
      </x:c>
      <x:c r="C302" s="261" t="n">
        <x:f>SUM(C298:C301)</x:f>
        <x:v>0</x:v>
      </x:c>
      <x:c r="D302" s="261"/>
      <x:c r="E302" s="261" t="str">
        <x:v>Current / non-current + financial classification</x:v>
      </x:c>
      <x:c r="F302" s="261"/>
      <x:c r="G302" s="261"/>
    </x:row>
    <x:row r="303">
      <x:c r="A303" s="248" t="str">
        <x:v>Note 31 — Deferred tax liabilities (Net)</x:v>
      </x:c>
      <x:c r="B303" s="261"/>
      <x:c r="C303" s="261"/>
      <x:c r="D303" s="261"/>
      <x:c r="E303" s="261"/>
      <x:c r="F303" s="261"/>
      <x:c r="G303" s="261"/>
    </x:row>
    <x:row r="304">
      <x:c r="A304" s="248" t="str">
        <x:v>Particulars</x:v>
      </x:c>
      <x:c r="B304" s="261" t="str">
        <x:v>Current Year</x:v>
      </x:c>
      <x:c r="C304" s="261" t="str">
        <x:v>Previous Year</x:v>
      </x:c>
      <x:c r="D304" s="261" t="str">
        <x:v>Mapping / Source</x:v>
      </x:c>
      <x:c r="E304" s="261" t="str">
        <x:v>Classification</x:v>
      </x:c>
      <x:c r="F304" s="261" t="str">
        <x:v>Remarks</x:v>
      </x:c>
      <x:c r="G304" s="261"/>
    </x:row>
    <x:row r="305">
      <x:c r="A305" s="276" t="str">
        <x:v>Timing differences / temporary differences</x:v>
      </x:c>
      <x:c r="B305" s="277"/>
      <x:c r="C305" s="277"/>
      <x:c r="D305" s="277"/>
      <x:c r="E305" s="277" t="str">
        <x:v>Current / non-current + financial classification</x:v>
      </x:c>
      <x:c r="F305" s="277"/>
      <x:c r="G305" s="277"/>
    </x:row>
    <x:row r="306">
      <x:c r="A306" s="279" t="str">
        <x:v>Unused tax losses / credits</x:v>
      </x:c>
      <x:c r="B306" s="290"/>
      <x:c r="C306" s="290"/>
      <x:c r="D306" s="290"/>
      <x:c r="E306" s="290" t="str">
        <x:v>Current / non-current + financial classification</x:v>
      </x:c>
      <x:c r="F306" s="290"/>
      <x:c r="G306" s="290"/>
    </x:row>
    <x:row r="307">
      <x:c r="A307" s="255" t="str">
        <x:v>Other deferred tax balances</x:v>
      </x:c>
      <x:c r="B307" s="291"/>
      <x:c r="C307" s="291"/>
      <x:c r="D307" s="291"/>
      <x:c r="E307" s="291" t="str">
        <x:v>Current / non-current + financial classification</x:v>
      </x:c>
      <x:c r="F307" s="291"/>
      <x:c r="G307" s="291"/>
    </x:row>
    <x:row r="308">
      <x:c r="A308" s="248" t="str">
        <x:v>Total Deferred tax liabilities (Net)</x:v>
      </x:c>
      <x:c r="B308" s="261" t="n">
        <x:f>SUM(B305:B307)</x:f>
        <x:v>0</x:v>
      </x:c>
      <x:c r="C308" s="261" t="n">
        <x:f>SUM(C305:C307)</x:f>
        <x:v>0</x:v>
      </x:c>
      <x:c r="D308" s="261"/>
      <x:c r="E308" s="261" t="str">
        <x:v>Current / non-current + financial classification</x:v>
      </x:c>
      <x:c r="F308" s="261"/>
      <x:c r="G308" s="261"/>
    </x:row>
    <x:row r="309">
      <x:c r="A309" s="248" t="str">
        <x:v>Note 32 — Other non-current liabilities</x:v>
      </x:c>
      <x:c r="B309" s="261"/>
      <x:c r="C309" s="261"/>
      <x:c r="D309" s="261"/>
      <x:c r="E309" s="261"/>
      <x:c r="F309" s="261"/>
      <x:c r="G309" s="261"/>
    </x:row>
    <x:row r="310">
      <x:c r="A310" s="248" t="str">
        <x:v>Particulars</x:v>
      </x:c>
      <x:c r="B310" s="261" t="str">
        <x:v>Current Year</x:v>
      </x:c>
      <x:c r="C310" s="261" t="str">
        <x:v>Previous Year</x:v>
      </x:c>
      <x:c r="D310" s="261" t="str">
        <x:v>Mapping / Source</x:v>
      </x:c>
      <x:c r="E310" s="261" t="str">
        <x:v>Classification</x:v>
      </x:c>
      <x:c r="F310" s="261" t="str">
        <x:v>Remarks</x:v>
      </x:c>
      <x:c r="G310" s="261"/>
    </x:row>
    <x:row r="311">
      <x:c r="A311" s="248" t="str">
        <x:v>Statutory dues</x:v>
      </x:c>
      <x:c r="B311" s="261"/>
      <x:c r="C311" s="261"/>
      <x:c r="D311" s="261"/>
      <x:c r="E311" s="261" t="str">
        <x:v>Current / non-current + financial classification</x:v>
      </x:c>
      <x:c r="F311" s="261"/>
      <x:c r="G311" s="261"/>
    </x:row>
    <x:row r="312">
      <x:c r="A312" s="276" t="str">
        <x:v>Advances from customers</x:v>
      </x:c>
      <x:c r="B312" s="277"/>
      <x:c r="C312" s="277"/>
      <x:c r="D312" s="277"/>
      <x:c r="E312" s="277" t="str">
        <x:v>Current / non-current + financial classification</x:v>
      </x:c>
      <x:c r="F312" s="277"/>
      <x:c r="G312" s="277"/>
    </x:row>
    <x:row r="313">
      <x:c r="A313" s="279" t="str">
        <x:v>Accrued expenses</x:v>
      </x:c>
      <x:c r="B313" s="290"/>
      <x:c r="C313" s="290"/>
      <x:c r="D313" s="290"/>
      <x:c r="E313" s="290" t="str">
        <x:v>Current / non-current + financial classification</x:v>
      </x:c>
      <x:c r="F313" s="290"/>
      <x:c r="G313" s="290"/>
    </x:row>
    <x:row r="314">
      <x:c r="A314" s="255" t="str">
        <x:v>Other liabilities</x:v>
      </x:c>
      <x:c r="B314" s="291"/>
      <x:c r="C314" s="291"/>
      <x:c r="D314" s="291"/>
      <x:c r="E314" s="291" t="str">
        <x:v>Current / non-current + financial classification</x:v>
      </x:c>
      <x:c r="F314" s="291"/>
      <x:c r="G314" s="291"/>
    </x:row>
    <x:row r="315">
      <x:c r="A315" s="248" t="str">
        <x:v>Total Other non-current liabilities</x:v>
      </x:c>
      <x:c r="B315" s="261" t="n">
        <x:f>SUM(B311:B314)</x:f>
        <x:v>0</x:v>
      </x:c>
      <x:c r="C315" s="261" t="n">
        <x:f>SUM(C311:C314)</x:f>
        <x:v>0</x:v>
      </x:c>
      <x:c r="D315" s="261"/>
      <x:c r="E315" s="261" t="str">
        <x:v>Current / non-current + financial classification</x:v>
      </x:c>
      <x:c r="F315" s="261"/>
      <x:c r="G315" s="261"/>
    </x:row>
    <x:row r="316">
      <x:c r="A316" s="248" t="str">
        <x:v>Note 33 — Borrowings — Current liabilities</x:v>
      </x:c>
      <x:c r="B316" s="261"/>
      <x:c r="C316" s="261"/>
      <x:c r="D316" s="261"/>
      <x:c r="E316" s="261"/>
      <x:c r="F316" s="261"/>
      <x:c r="G316" s="261"/>
    </x:row>
    <x:row r="317">
      <x:c r="A317" s="248" t="str">
        <x:v>Particulars</x:v>
      </x:c>
      <x:c r="B317" s="261" t="str">
        <x:v>Current Year</x:v>
      </x:c>
      <x:c r="C317" s="261" t="str">
        <x:v>Previous Year</x:v>
      </x:c>
      <x:c r="D317" s="261" t="str">
        <x:v>Mapping / Source</x:v>
      </x:c>
      <x:c r="E317" s="261" t="str">
        <x:v>Classification</x:v>
      </x:c>
      <x:c r="F317" s="261" t="str">
        <x:v>Remarks</x:v>
      </x:c>
      <x:c r="G317" s="261"/>
    </x:row>
    <x:row r="318">
      <x:c r="A318" s="276" t="str">
        <x:v>Secured</x:v>
      </x:c>
      <x:c r="B318" s="277"/>
      <x:c r="C318" s="277"/>
      <x:c r="D318" s="277"/>
      <x:c r="E318" s="277" t="str">
        <x:v>Current / non-current + financial classification</x:v>
      </x:c>
      <x:c r="F318" s="277"/>
      <x:c r="G318" s="277"/>
    </x:row>
    <x:row r="319">
      <x:c r="A319" s="234" t="str">
        <x:v>Unsecured</x:v>
      </x:c>
      <x:c r="B319" s="236"/>
      <x:c r="C319" s="236"/>
      <x:c r="D319" s="236"/>
      <x:c r="E319" s="236" t="str">
        <x:v>Current / non-current + financial classification</x:v>
      </x:c>
      <x:c r="F319" s="236"/>
      <x:c r="G319" s="236"/>
    </x:row>
    <x:row r="320">
      <x:c r="A320" s="280" t="str">
        <x:v>Accrued interest / transaction costs</x:v>
      </x:c>
      <x:c r="B320" s="292"/>
      <x:c r="C320" s="292"/>
      <x:c r="D320" s="292"/>
      <x:c r="E320" s="292" t="str">
        <x:v>Current / non-current + financial classification</x:v>
      </x:c>
      <x:c r="F320" s="292"/>
      <x:c r="G320" s="261"/>
    </x:row>
    <x:row r="321">
      <x:c r="A321" s="269" t="str">
        <x:v>Other</x:v>
      </x:c>
      <x:c r="B321" s="293"/>
      <x:c r="C321" s="293"/>
      <x:c r="D321" s="293"/>
      <x:c r="E321" s="293" t="str">
        <x:v>Current / non-current + financial classification</x:v>
      </x:c>
      <x:c r="F321" s="293"/>
      <x:c r="G321" s="261"/>
    </x:row>
    <x:row r="322">
      <x:c r="A322" s="248" t="str">
        <x:v>Total Borrowings</x:v>
      </x:c>
      <x:c r="B322" s="261" t="n">
        <x:f>SUM(B318:B321)</x:f>
        <x:v>0</x:v>
      </x:c>
      <x:c r="C322" s="261" t="n">
        <x:f>SUM(C318:C321)</x:f>
        <x:v>0</x:v>
      </x:c>
      <x:c r="D322" s="261"/>
      <x:c r="E322" s="261" t="str">
        <x:v>Current / non-current + financial classification</x:v>
      </x:c>
      <x:c r="F322" s="261"/>
      <x:c r="G322" s="261"/>
    </x:row>
    <x:row r="323">
      <x:c r="A323" s="248" t="str">
        <x:v>Note 34 — Lease liabilities — Current liabilities</x:v>
      </x:c>
      <x:c r="B323" s="261"/>
      <x:c r="C323" s="261"/>
      <x:c r="D323" s="261"/>
      <x:c r="E323" s="261"/>
      <x:c r="F323" s="261"/>
      <x:c r="G323" s="261"/>
    </x:row>
    <x:row r="324">
      <x:c r="A324" s="248" t="str">
        <x:v>Particulars</x:v>
      </x:c>
      <x:c r="B324" s="261" t="str">
        <x:v>Current Year</x:v>
      </x:c>
      <x:c r="C324" s="261" t="str">
        <x:v>Previous Year</x:v>
      </x:c>
      <x:c r="D324" s="261" t="str">
        <x:v>Mapping / Source</x:v>
      </x:c>
      <x:c r="E324" s="261" t="str">
        <x:v>Classification</x:v>
      </x:c>
      <x:c r="F324" s="261" t="str">
        <x:v>Remarks</x:v>
      </x:c>
      <x:c r="G324" s="261"/>
    </x:row>
    <x:row r="325">
      <x:c r="A325" s="248" t="str">
        <x:v>Current maturity / due within one year</x:v>
      </x:c>
      <x:c r="B325" s="261"/>
      <x:c r="C325" s="261"/>
      <x:c r="D325" s="261"/>
      <x:c r="E325" s="261" t="str">
        <x:v>Current / non-current + financial classification</x:v>
      </x:c>
      <x:c r="F325" s="261"/>
      <x:c r="G325" s="261"/>
    </x:row>
    <x:row r="326">
      <x:c r="A326" s="248" t="str">
        <x:v>Due after one year</x:v>
      </x:c>
      <x:c r="B326" s="261"/>
      <x:c r="C326" s="261"/>
      <x:c r="D326" s="261"/>
      <x:c r="E326" s="261" t="str">
        <x:v>Current / non-current + financial classification</x:v>
      </x:c>
      <x:c r="F326" s="261"/>
      <x:c r="G326" s="261"/>
    </x:row>
    <x:row r="327">
      <x:c r="A327" s="248" t="str">
        <x:v>Other lease adjustments</x:v>
      </x:c>
      <x:c r="B327" s="261"/>
      <x:c r="C327" s="261"/>
      <x:c r="D327" s="261"/>
      <x:c r="E327" s="261" t="str">
        <x:v>Current / non-current + financial classification</x:v>
      </x:c>
      <x:c r="F327" s="261"/>
      <x:c r="G327" s="261"/>
    </x:row>
    <x:row r="328">
      <x:c r="A328" s="248" t="str">
        <x:v>Total Lease liabilities</x:v>
      </x:c>
      <x:c r="B328" s="261" t="n">
        <x:f>SUM(B325:B327)</x:f>
        <x:v>0</x:v>
      </x:c>
      <x:c r="C328" s="261" t="n">
        <x:f>SUM(C325:C327)</x:f>
        <x:v>0</x:v>
      </x:c>
      <x:c r="D328" s="261"/>
      <x:c r="E328" s="261" t="str">
        <x:v>Current / non-current + financial classification</x:v>
      </x:c>
      <x:c r="F328" s="261"/>
      <x:c r="G328" s="261"/>
    </x:row>
    <x:row r="329">
      <x:c r="A329" s="248" t="str">
        <x:v>Note 35 — Total outstanding dues of micro enterprises and small enterprises — Current liabilities</x:v>
      </x:c>
      <x:c r="B329" s="261"/>
      <x:c r="C329" s="261"/>
      <x:c r="D329" s="261"/>
      <x:c r="E329" s="261"/>
      <x:c r="F329" s="261"/>
      <x:c r="G329" s="261"/>
    </x:row>
    <x:row r="330">
      <x:c r="A330" s="248" t="str">
        <x:v>Particulars</x:v>
      </x:c>
      <x:c r="B330" s="261" t="str">
        <x:v>Current Year</x:v>
      </x:c>
      <x:c r="C330" s="261" t="str">
        <x:v>Previous Year</x:v>
      </x:c>
      <x:c r="D330" s="261" t="str">
        <x:v>Mapping / Source</x:v>
      </x:c>
      <x:c r="E330" s="261" t="str">
        <x:v>Classification</x:v>
      </x:c>
      <x:c r="F330" s="261" t="str">
        <x:v>Remarks</x:v>
      </x:c>
      <x:c r="G330" s="261"/>
    </x:row>
    <x:row r="331">
      <x:c r="A331" s="248" t="str">
        <x:v>MSME principal outstanding</x:v>
      </x:c>
      <x:c r="B331" s="261"/>
      <x:c r="C331" s="261"/>
      <x:c r="D331" s="261"/>
      <x:c r="E331" s="261" t="str">
        <x:v>Current / non-current + financial classification</x:v>
      </x:c>
      <x:c r="F331" s="261"/>
      <x:c r="G331" s="261"/>
    </x:row>
    <x:row r="332">
      <x:c r="A332" s="248" t="str">
        <x:v>Interest due to MSME</x:v>
      </x:c>
      <x:c r="B332" s="261"/>
      <x:c r="C332" s="261"/>
      <x:c r="D332" s="261"/>
      <x:c r="E332" s="261" t="str">
        <x:v>Current / non-current + financial classification</x:v>
      </x:c>
      <x:c r="F332" s="261"/>
      <x:c r="G332" s="261"/>
    </x:row>
    <x:row r="333">
      <x:c r="A333" s="248" t="str">
        <x:v>Other MSME dues</x:v>
      </x:c>
      <x:c r="B333" s="261"/>
      <x:c r="C333" s="261"/>
      <x:c r="D333" s="261"/>
      <x:c r="E333" s="261" t="str">
        <x:v>Current / non-current + financial classification</x:v>
      </x:c>
      <x:c r="F333" s="261"/>
      <x:c r="G333" s="261"/>
    </x:row>
    <x:row r="334">
      <x:c r="A334" s="248" t="str">
        <x:v>Total Total outstanding dues of micro enterprises and small enterprises</x:v>
      </x:c>
      <x:c r="B334" s="261" t="n">
        <x:f>SUM(B331:B333)</x:f>
        <x:v>0</x:v>
      </x:c>
      <x:c r="C334" s="261" t="n">
        <x:f>SUM(C331:C333)</x:f>
        <x:v>0</x:v>
      </x:c>
      <x:c r="D334" s="261"/>
      <x:c r="E334" s="261" t="str">
        <x:v>Current / non-current + financial classification</x:v>
      </x:c>
      <x:c r="F334" s="261"/>
      <x:c r="G334" s="261"/>
    </x:row>
    <x:row r="335">
      <x:c r="A335" s="248" t="str">
        <x:v>Note 36 — Total outstanding dues of creditors other than micro enterprises and small enterprises — Current liabilities</x:v>
      </x:c>
      <x:c r="B335" s="261"/>
      <x:c r="C335" s="261"/>
      <x:c r="D335" s="261"/>
      <x:c r="E335" s="261"/>
      <x:c r="F335" s="261"/>
      <x:c r="G335" s="261"/>
    </x:row>
    <x:row r="336">
      <x:c r="A336" s="248" t="str">
        <x:v>Particulars</x:v>
      </x:c>
      <x:c r="B336" s="261" t="str">
        <x:v>Current Year</x:v>
      </x:c>
      <x:c r="C336" s="261" t="str">
        <x:v>Previous Year</x:v>
      </x:c>
      <x:c r="D336" s="261" t="str">
        <x:v>Mapping / Source</x:v>
      </x:c>
      <x:c r="E336" s="261" t="str">
        <x:v>Classification</x:v>
      </x:c>
      <x:c r="F336" s="261" t="str">
        <x:v>Remarks</x:v>
      </x:c>
      <x:c r="G336" s="261"/>
    </x:row>
    <x:row r="337">
      <x:c r="A337" s="248" t="str">
        <x:v>MSME principal outstanding</x:v>
      </x:c>
      <x:c r="B337" s="261"/>
      <x:c r="C337" s="261"/>
      <x:c r="D337" s="261"/>
      <x:c r="E337" s="261" t="str">
        <x:v>Current / non-current + financial classification</x:v>
      </x:c>
      <x:c r="F337" s="261"/>
      <x:c r="G337" s="261"/>
    </x:row>
    <x:row r="338">
      <x:c r="A338" s="248" t="str">
        <x:v>Interest due to MSME</x:v>
      </x:c>
      <x:c r="B338" s="261"/>
      <x:c r="C338" s="261"/>
      <x:c r="D338" s="261"/>
      <x:c r="E338" s="261" t="str">
        <x:v>Current / non-current + financial classification</x:v>
      </x:c>
      <x:c r="F338" s="261"/>
      <x:c r="G338" s="261"/>
    </x:row>
    <x:row r="339">
      <x:c r="A339" s="248" t="str">
        <x:v>Other MSME dues</x:v>
      </x:c>
      <x:c r="B339" s="261"/>
      <x:c r="C339" s="261"/>
      <x:c r="D339" s="261"/>
      <x:c r="E339" s="261" t="str">
        <x:v>Current / non-current + financial classification</x:v>
      </x:c>
      <x:c r="F339" s="261"/>
      <x:c r="G339" s="261"/>
    </x:row>
    <x:row r="340">
      <x:c r="A340" s="234" t="str">
        <x:v>Total Total outstanding dues of creditors other than micro enterprises and small enterprises</x:v>
      </x:c>
      <x:c r="B340" s="236" t="n">
        <x:f>SUM(B337:B339)</x:f>
        <x:v>0</x:v>
      </x:c>
      <x:c r="C340" s="236" t="n">
        <x:f>SUM(C337:C339)</x:f>
        <x:v>0</x:v>
      </x:c>
      <x:c r="D340" s="236"/>
      <x:c r="E340" s="236" t="str">
        <x:v>Current / non-current + financial classification</x:v>
      </x:c>
      <x:c r="F340" s="236"/>
      <x:c r="G340" s="236"/>
    </x:row>
    <x:row r="341">
      <x:c r="A341" s="282" t="str">
        <x:v>Note 37 — Other financial liabilities (to be specified) — Current liabilities</x:v>
      </x:c>
      <x:c r="B341" s="294"/>
      <x:c r="C341" s="294"/>
      <x:c r="D341" s="294"/>
      <x:c r="E341" s="294"/>
      <x:c r="F341" s="294"/>
      <x:c r="G341" s="261"/>
    </x:row>
    <x:row r="342">
      <x:c r="A342" t="str">
        <x:v>Particulars</x:v>
      </x:c>
      <x:c r="B342" t="str">
        <x:v>Current Year</x:v>
      </x:c>
      <x:c r="C342" t="str">
        <x:v>Previous Year</x:v>
      </x:c>
      <x:c r="D342" t="str">
        <x:v>Mapping / Source</x:v>
      </x:c>
      <x:c r="E342" t="str">
        <x:v>Classification</x:v>
      </x:c>
      <x:c r="F342" t="str">
        <x:v>Remarks</x:v>
      </x:c>
      <x:c r="G342"/>
    </x:row>
    <x:row r="343">
      <x:c r="A343" t="str">
        <x:v>Interest accrued</x:v>
      </x:c>
      <x:c r="B343"/>
      <x:c r="C343"/>
      <x:c r="D343"/>
      <x:c r="E343" t="str">
        <x:v>Current / non-current + financial classification</x:v>
      </x:c>
      <x:c r="F343"/>
      <x:c r="G343"/>
    </x:row>
    <x:row r="344">
      <x:c r="A344" t="str">
        <x:v>Employee / vendor payable</x:v>
      </x:c>
      <x:c r="B344"/>
      <x:c r="C344"/>
      <x:c r="D344"/>
      <x:c r="E344" t="str">
        <x:v>Current / non-current + financial classification</x:v>
      </x:c>
      <x:c r="F344"/>
      <x:c r="G344"/>
    </x:row>
    <x:row r="345">
      <x:c r="A345" t="str">
        <x:v>Security deposits received</x:v>
      </x:c>
      <x:c r="B345"/>
      <x:c r="C345"/>
      <x:c r="D345"/>
      <x:c r="E345" t="str">
        <x:v>Current / non-current + financial classification</x:v>
      </x:c>
      <x:c r="F345"/>
      <x:c r="G345"/>
    </x:row>
    <x:row r="346">
      <x:c r="A346" t="str">
        <x:v>Other financial liabilities</x:v>
      </x:c>
      <x:c r="B346"/>
      <x:c r="C346"/>
      <x:c r="D346"/>
      <x:c r="E346" t="str">
        <x:v>Current / non-current + financial classification</x:v>
      </x:c>
      <x:c r="F346"/>
      <x:c r="G346"/>
    </x:row>
    <x:row r="347">
      <x:c r="A347" t="str">
        <x:v>Total Other financial liabilities (to be specified)</x:v>
      </x:c>
      <x:c r="B347" t="n">
        <x:f>SUM(B343:B346)</x:f>
        <x:v>0</x:v>
      </x:c>
      <x:c r="C347" t="n">
        <x:f>SUM(C343:C346)</x:f>
        <x:v>0</x:v>
      </x:c>
      <x:c r="D347"/>
      <x:c r="E347" t="str">
        <x:v>Current / non-current + financial classification</x:v>
      </x:c>
      <x:c r="F347"/>
      <x:c r="G347"/>
    </x:row>
    <x:row r="348">
      <x:c r="A348" t="str">
        <x:v>Note 38 — Other current liabilities</x:v>
      </x:c>
      <x:c r="B348"/>
      <x:c r="C348"/>
      <x:c r="D348"/>
      <x:c r="E348"/>
      <x:c r="F348"/>
      <x:c r="G348"/>
    </x:row>
    <x:row r="349">
      <x:c r="A349" t="str">
        <x:v>Particulars</x:v>
      </x:c>
      <x:c r="B349" t="str">
        <x:v>Current Year</x:v>
      </x:c>
      <x:c r="C349" t="str">
        <x:v>Previous Year</x:v>
      </x:c>
      <x:c r="D349" t="str">
        <x:v>Mapping / Source</x:v>
      </x:c>
      <x:c r="E349" t="str">
        <x:v>Classification</x:v>
      </x:c>
      <x:c r="F349" t="str">
        <x:v>Remarks</x:v>
      </x:c>
      <x:c r="G349"/>
    </x:row>
    <x:row r="350">
      <x:c r="A350" t="str">
        <x:v>Statutory dues</x:v>
      </x:c>
      <x:c r="B350"/>
      <x:c r="C350"/>
      <x:c r="D350"/>
      <x:c r="E350" t="str">
        <x:v>Current / non-current + financial classification</x:v>
      </x:c>
      <x:c r="F350"/>
      <x:c r="G350"/>
    </x:row>
    <x:row r="351">
      <x:c r="A351" t="str">
        <x:v>Advances from customers</x:v>
      </x:c>
      <x:c r="B351"/>
      <x:c r="C351"/>
      <x:c r="D351"/>
      <x:c r="E351" t="str">
        <x:v>Current / non-current + financial classification</x:v>
      </x:c>
      <x:c r="F351"/>
      <x:c r="G351"/>
    </x:row>
    <x:row r="352">
      <x:c r="A352" t="str">
        <x:v>Accrued expenses</x:v>
      </x:c>
      <x:c r="B352"/>
      <x:c r="C352"/>
      <x:c r="D352"/>
      <x:c r="E352" t="str">
        <x:v>Current / non-current + financial classification</x:v>
      </x:c>
      <x:c r="F352"/>
      <x:c r="G352"/>
    </x:row>
    <x:row r="353">
      <x:c r="A353" t="str">
        <x:v>Other liabilities</x:v>
      </x:c>
      <x:c r="B353"/>
      <x:c r="C353"/>
      <x:c r="D353"/>
      <x:c r="E353" t="str">
        <x:v>Current / non-current + financial classification</x:v>
      </x:c>
      <x:c r="F353"/>
      <x:c r="G353"/>
    </x:row>
    <x:row r="354">
      <x:c r="A354" t="str">
        <x:v>Total Other current liabilities</x:v>
      </x:c>
      <x:c r="B354" t="n">
        <x:f>SUM(B350:B353)</x:f>
        <x:v>0</x:v>
      </x:c>
      <x:c r="C354" t="n">
        <x:f>SUM(C350:C353)</x:f>
        <x:v>0</x:v>
      </x:c>
      <x:c r="D354"/>
      <x:c r="E354" t="str">
        <x:v>Current / non-current + financial classification</x:v>
      </x:c>
      <x:c r="F354"/>
      <x:c r="G354"/>
    </x:row>
    <x:row r="355">
      <x:c r="A355" t="str">
        <x:v>Note 39 — Provisions — Current liabilities</x:v>
      </x:c>
      <x:c r="B355"/>
      <x:c r="C355"/>
      <x:c r="D355"/>
      <x:c r="E355"/>
      <x:c r="F355"/>
      <x:c r="G355"/>
    </x:row>
    <x:row r="356">
      <x:c r="A356" t="str">
        <x:v>Particulars</x:v>
      </x:c>
      <x:c r="B356" t="str">
        <x:v>Current Year</x:v>
      </x:c>
      <x:c r="C356" t="str">
        <x:v>Previous Year</x:v>
      </x:c>
      <x:c r="D356" t="str">
        <x:v>Mapping / Source</x:v>
      </x:c>
      <x:c r="E356" t="str">
        <x:v>Classification</x:v>
      </x:c>
      <x:c r="F356" t="str">
        <x:v>Remarks</x:v>
      </x:c>
      <x:c r="G356"/>
    </x:row>
    <x:row r="357">
      <x:c r="A357" t="str">
        <x:v>Employee benefit provisions</x:v>
      </x:c>
      <x:c r="B357"/>
      <x:c r="C357"/>
      <x:c r="D357"/>
      <x:c r="E357" t="str">
        <x:v>Current / non-current + financial classification</x:v>
      </x:c>
      <x:c r="F357"/>
      <x:c r="G357"/>
    </x:row>
    <x:row r="358">
      <x:c r="A358" t="str">
        <x:v>Tax provisions</x:v>
      </x:c>
      <x:c r="B358"/>
      <x:c r="C358"/>
      <x:c r="D358"/>
      <x:c r="E358" t="str">
        <x:v>Current / non-current + financial classification</x:v>
      </x:c>
      <x:c r="F358"/>
      <x:c r="G358"/>
    </x:row>
    <x:row r="359">
      <x:c r="A359" t="str">
        <x:v>Warranty / contractual provisions</x:v>
      </x:c>
      <x:c r="B359"/>
      <x:c r="C359"/>
      <x:c r="D359"/>
      <x:c r="E359" t="str">
        <x:v>Current / non-current + financial classification</x:v>
      </x:c>
      <x:c r="F359"/>
      <x:c r="G359"/>
    </x:row>
    <x:row r="360">
      <x:c r="A360" t="str">
        <x:v>Other provisions</x:v>
      </x:c>
      <x:c r="B360"/>
      <x:c r="C360"/>
      <x:c r="D360"/>
      <x:c r="E360" t="str">
        <x:v>Current / non-current + financial classification</x:v>
      </x:c>
      <x:c r="F360"/>
      <x:c r="G360"/>
    </x:row>
    <x:row r="361">
      <x:c r="A361" t="str">
        <x:v>Total Provisions</x:v>
      </x:c>
      <x:c r="B361" t="n">
        <x:f>SUM(B357:B360)</x:f>
        <x:v>0</x:v>
      </x:c>
      <x:c r="C361" t="n">
        <x:f>SUM(C357:C360)</x:f>
        <x:v>0</x:v>
      </x:c>
      <x:c r="D361"/>
      <x:c r="E361" t="str">
        <x:v>Current / non-current + financial classification</x:v>
      </x:c>
      <x:c r="F361"/>
      <x:c r="G361"/>
    </x:row>
    <x:row r="362">
      <x:c r="A362" t="str">
        <x:v>Note 40 — Current tax liabilities (Net)</x:v>
      </x:c>
      <x:c r="B362"/>
      <x:c r="C362"/>
      <x:c r="D362"/>
      <x:c r="E362"/>
      <x:c r="F362"/>
      <x:c r="G362"/>
    </x:row>
    <x:row r="363">
      <x:c r="A363" t="str">
        <x:v>Particulars</x:v>
      </x:c>
      <x:c r="B363" t="str">
        <x:v>Current Year</x:v>
      </x:c>
      <x:c r="C363" t="str">
        <x:v>Previous Year</x:v>
      </x:c>
      <x:c r="D363" t="str">
        <x:v>Mapping / Source</x:v>
      </x:c>
      <x:c r="E363" t="str">
        <x:v>Classification</x:v>
      </x:c>
      <x:c r="F363" t="str">
        <x:v>Remarks</x:v>
      </x:c>
      <x:c r="G363"/>
    </x:row>
    <x:row r="364">
      <x:c r="A364" t="str">
        <x:v>Provision for current tax</x:v>
      </x:c>
      <x:c r="B364"/>
      <x:c r="C364"/>
      <x:c r="D364"/>
      <x:c r="E364" t="str">
        <x:v>Current / non-current + financial classification</x:v>
      </x:c>
      <x:c r="F364"/>
      <x:c r="G364"/>
    </x:row>
    <x:row r="365">
      <x:c r="A365" t="str">
        <x:v>Less: Advance tax / TDS</x:v>
      </x:c>
      <x:c r="B365"/>
      <x:c r="C365"/>
      <x:c r="D365"/>
      <x:c r="E365" t="str">
        <x:v>Current / non-current + financial classification</x:v>
      </x:c>
      <x:c r="F365"/>
      <x:c r="G365"/>
    </x:row>
    <x:row r="366">
      <x:c r="A366" t="str">
        <x:v>Other current tax balances</x:v>
      </x:c>
      <x:c r="B366"/>
      <x:c r="C366"/>
      <x:c r="D366"/>
      <x:c r="E366" t="str">
        <x:v>Current / non-current + financial classification</x:v>
      </x:c>
      <x:c r="F366"/>
      <x:c r="G366"/>
    </x:row>
    <x:row r="367">
      <x:c r="A367" t="str">
        <x:v>Total Current tax liabilities (Net)</x:v>
      </x:c>
      <x:c r="B367" t="n">
        <x:f>SUM(B364:B366)</x:f>
        <x:v>0</x:v>
      </x:c>
      <x:c r="C367" t="n">
        <x:f>SUM(C364:C366)</x:f>
        <x:v>0</x:v>
      </x:c>
      <x:c r="D367"/>
      <x:c r="E367" t="str">
        <x:v>Current / non-current + financial classification</x:v>
      </x:c>
      <x:c r="F367"/>
      <x:c r="G367"/>
    </x:row>
    <x:row r="368">
      <x:c r="A368"/>
      <x:c r="B368"/>
      <x:c r="C368"/>
      <x:c r="D368"/>
      <x:c r="E368"/>
      <x:c r="F368"/>
      <x:c r="G368"/>
    </x:row>
    <x:row r="369">
      <x:c r="A369" t="str">
        <x:v>Additional Schedule III Disclosures</x:v>
      </x:c>
      <x:c r="B369"/>
      <x:c r="C369"/>
      <x:c r="D369"/>
      <x:c r="E369"/>
      <x:c r="F369"/>
      <x:c r="G369"/>
    </x:row>
    <x:row r="370">
      <x:c r="A370" t="str">
        <x:v>Applicability</x:v>
      </x:c>
      <x:c r="B370" t="str">
        <x:v>Disclosure Group</x:v>
      </x:c>
      <x:c r="C370" t="str">
        <x:v>Automation Requirement</x:v>
      </x:c>
      <x:c r="D370" t="str">
        <x:v>Status</x:v>
      </x:c>
      <x:c r="E370" t="str">
        <x:v>Reference / Data Source</x:v>
      </x:c>
      <x:c r="F370" t="str">
        <x:v>Remarks</x:v>
      </x:c>
      <x:c r="G370"/>
    </x:row>
    <x:row r="371">
      <x:c r="A371" t="str">
        <x:v>All three divisions</x:v>
      </x:c>
      <x:c r="B371" t="str">
        <x:v>Rounding off</x:v>
      </x:c>
      <x:c r="C371" t="str">
        <x:v>Figures must be rounded based on total income thresholds and the same unit must be used consistently.</x:v>
      </x:c>
      <x:c r="D371" t="str">
        <x:v>Pending</x:v>
      </x:c>
      <x:c r="E371"/>
      <x:c r="F371"/>
      <x:c r="G371"/>
    </x:row>
    <x:row r="372">
      <x:c r="A372" t="str">
        <x:v>All three divisions</x:v>
      </x:c>
      <x:c r="B372" t="str">
        <x:v>Promoter shareholding</x:v>
      </x:c>
      <x:c r="C372" t="str">
        <x:v>Detailed promoter shareholding and percentage change disclosures.</x:v>
      </x:c>
      <x:c r="D372" t="str">
        <x:v>Pending</x:v>
      </x:c>
      <x:c r="E372"/>
      <x:c r="F372"/>
      <x:c r="G372"/>
    </x:row>
    <x:row r="373">
      <x:c r="A373" t="str">
        <x:v>All three divisions</x:v>
      </x:c>
      <x:c r="B373" t="str">
        <x:v>Title deeds</x:v>
      </x:c>
      <x:c r="C373" t="str">
        <x:v>Immovable-property title deeds not held in the company’s name.</x:v>
      </x:c>
      <x:c r="D373" t="str">
        <x:v>Pending</x:v>
      </x:c>
      <x:c r="E373"/>
      <x:c r="F373"/>
      <x:c r="G373"/>
    </x:row>
    <x:row r="374">
      <x:c r="A374" t="str">
        <x:v>Division I and II</x:v>
      </x:c>
      <x:c r="B374" t="str">
        <x:v>Loans/advances to specified persons</x:v>
      </x:c>
      <x:c r="C374" t="str">
        <x:v>Loans or advances in the nature of loans to promoters, directors, KMP and related parties, including repayable-on-demand terms.</x:v>
      </x:c>
      <x:c r="D374" t="str">
        <x:v>Pending</x:v>
      </x:c>
      <x:c r="E374"/>
      <x:c r="F374"/>
      <x:c r="G374"/>
    </x:row>
    <x:row r="375">
      <x:c r="A375" t="str">
        <x:v>All three divisions</x:v>
      </x:c>
      <x:c r="B375" t="str">
        <x:v>CWIP ageing</x:v>
      </x:c>
      <x:c r="C375" t="str">
        <x:v>Ageing and completion schedules for capital work-in-progress.</x:v>
      </x:c>
      <x:c r="D375" t="str">
        <x:v>Pending</x:v>
      </x:c>
      <x:c r="E375"/>
      <x:c r="F375"/>
      <x:c r="G375"/>
    </x:row>
    <x:row r="376">
      <x:c r="A376" t="str">
        <x:v>All three divisions</x:v>
      </x:c>
      <x:c r="B376" t="str">
        <x:v>Intangible assets under development ageing</x:v>
      </x:c>
      <x:c r="C376" t="str">
        <x:v>Ageing and completion schedules for intangible assets under development.</x:v>
      </x:c>
      <x:c r="D376" t="str">
        <x:v>Pending</x:v>
      </x:c>
      <x:c r="E376"/>
      <x:c r="F376"/>
      <x:c r="G376"/>
    </x:row>
    <x:row r="377">
      <x:c r="A377" t="str">
        <x:v>All three divisions</x:v>
      </x:c>
      <x:c r="B377" t="str">
        <x:v>Benami property</x:v>
      </x:c>
      <x:c r="C377" t="str">
        <x:v>Proceedings or property held under the Benami Transactions law.</x:v>
      </x:c>
      <x:c r="D377" t="str">
        <x:v>Pending</x:v>
      </x:c>
      <x:c r="E377"/>
      <x:c r="F377"/>
      <x:c r="G377"/>
    </x:row>
    <x:row r="378">
      <x:c r="A378" t="str">
        <x:v>All three divisions</x:v>
      </x:c>
      <x:c r="B378" t="str">
        <x:v>Borrowings utilisation</x:v>
      </x:c>
      <x:c r="C378" t="str">
        <x:v>Borrowings from banks and financial institutions not used for the stated purpose.</x:v>
      </x:c>
      <x:c r="D378" t="str">
        <x:v>Pending</x:v>
      </x:c>
      <x:c r="E378"/>
      <x:c r="F378"/>
      <x:c r="G378"/>
    </x:row>
    <x:row r="379">
      <x:c r="A379" t="str">
        <x:v>All three divisions</x:v>
      </x:c>
      <x:c r="B379" t="str">
        <x:v>Wilful defaulter</x:v>
      </x:c>
      <x:c r="C379" t="str">
        <x:v>Disclosure where the company has been declared a wilful defaulter.</x:v>
      </x:c>
      <x:c r="D379" t="str">
        <x:v>Pending</x:v>
      </x:c>
      <x:c r="E379"/>
      <x:c r="F379"/>
      <x:c r="G379"/>
    </x:row>
    <x:row r="380">
      <x:c r="A380" t="str">
        <x:v>All three divisions</x:v>
      </x:c>
      <x:c r="B380" t="str">
        <x:v>Struck-off companies</x:v>
      </x:c>
      <x:c r="C380" t="str">
        <x:v>Transactions and balances with companies struck off under the Companies Act.</x:v>
      </x:c>
      <x:c r="D380" t="str">
        <x:v>Pending</x:v>
      </x:c>
      <x:c r="E380"/>
      <x:c r="F380"/>
      <x:c r="G380"/>
    </x:row>
    <x:row r="381">
      <x:c r="A381" t="str">
        <x:v>All three divisions</x:v>
      </x:c>
      <x:c r="B381" t="str">
        <x:v>Charges</x:v>
      </x:c>
      <x:c r="C381" t="str">
        <x:v>Charges or satisfaction not registered with the Registrar of Companies within the statutory period.</x:v>
      </x:c>
      <x:c r="D381" t="str">
        <x:v>Pending</x:v>
      </x:c>
      <x:c r="E381"/>
      <x:c r="F381"/>
      <x:c r="G381"/>
    </x:row>
    <x:row r="382">
      <x:c r="A382" t="str">
        <x:v>All three divisions</x:v>
      </x:c>
      <x:c r="B382" t="str">
        <x:v>Layers</x:v>
      </x:c>
      <x:c r="C382" t="str">
        <x:v>Non-compliance with the prescribed number of layers of companies.</x:v>
      </x:c>
      <x:c r="D382" t="str">
        <x:v>Pending</x:v>
      </x:c>
      <x:c r="E382"/>
      <x:c r="F382"/>
      <x:c r="G382"/>
    </x:row>
    <x:row r="383">
      <x:c r="A383" t="str">
        <x:v>All three divisions</x:v>
      </x:c>
      <x:c r="B383" t="str">
        <x:v>Ratios</x:v>
      </x:c>
      <x:c r="C383" t="str">
        <x:v>Current ratio, debt-equity, DSCR, ROE, inventory/receivable/payable turnover, net capital turnover, net profit ratio, ROCE and return on investment, with explanations for material variance.</x:v>
      </x:c>
      <x:c r="D383" t="str">
        <x:v>Pending</x:v>
      </x:c>
      <x:c r="E383"/>
      <x:c r="F383"/>
      <x:c r="G383"/>
    </x:row>
    <x:row r="384">
      <x:c r="A384" t="str">
        <x:v>All three divisions</x:v>
      </x:c>
      <x:c r="B384" t="str">
        <x:v>Schemes of arrangement</x:v>
      </x:c>
      <x:c r="C384" t="str">
        <x:v>Accounting effect and compliance with the approved scheme and applicable standards.</x:v>
      </x:c>
      <x:c r="D384" t="str">
        <x:v>Pending</x:v>
      </x:c>
      <x:c r="E384"/>
      <x:c r="F384"/>
      <x:c r="G384"/>
    </x:row>
    <x:row r="385">
      <x:c r="A385" t="str">
        <x:v>All three divisions</x:v>
      </x:c>
      <x:c r="B385" t="str">
        <x:v>Intermediaries / ultimate beneficiaries</x:v>
      </x:c>
      <x:c r="C385" t="str">
        <x:v>Funds advanced, received or routed through intermediaries and ultimate beneficiaries.</x:v>
      </x:c>
      <x:c r="D385" t="str">
        <x:v>Pending</x:v>
      </x:c>
      <x:c r="E385"/>
      <x:c r="F385"/>
      <x:c r="G385"/>
    </x:row>
    <x:row r="386">
      <x:c r="A386" t="str">
        <x:v>All three divisions</x:v>
      </x:c>
      <x:c r="B386" t="str">
        <x:v>Undisclosed income</x:v>
      </x:c>
      <x:c r="C386" t="str">
        <x:v>Previously unrecorded income surrendered or disclosed in tax assessments.</x:v>
      </x:c>
      <x:c r="D386" t="str">
        <x:v>Pending</x:v>
      </x:c>
      <x:c r="E386"/>
      <x:c r="F386"/>
      <x:c r="G386"/>
    </x:row>
    <x:row r="387">
      <x:c r="A387" t="str">
        <x:v>All three divisions</x:v>
      </x:c>
      <x:c r="B387" t="str">
        <x:v>CSR</x:v>
      </x:c>
      <x:c r="C387" t="str">
        <x:v>Corporate Social Responsibility expenditure and unspent amounts.</x:v>
      </x:c>
      <x:c r="D387" t="str">
        <x:v>Pending</x:v>
      </x:c>
      <x:c r="E387"/>
      <x:c r="F387"/>
      <x:c r="G387"/>
    </x:row>
    <x:row r="388">
      <x:c r="A388" t="str">
        <x:v>All three divisions</x:v>
      </x:c>
      <x:c r="B388" t="str">
        <x:v>Crypto / virtual currency</x:v>
      </x:c>
      <x:c r="C388" t="str">
        <x:v>Profit or loss, holdings and deposits/advances involving crypto or virtual currency.</x:v>
      </x:c>
      <x:c r="D388" t="str">
        <x:v>Pending</x:v>
      </x:c>
      <x:c r="E388"/>
      <x:c r="F388"/>
      <x:c r="G388"/>
    </x:row>
    <x:row r="389">
      <x:c r="A389"/>
      <x:c r="B389"/>
      <x:c r="C389"/>
      <x:c r="D389"/>
      <x:c r="E389"/>
      <x:c r="F389"/>
      <x:c r="G389"/>
    </x:row>
    <x:row r="390">
      <x:c r="A390" t="str">
        <x:v>Source: https://resource.cdn.icai.org/68982clcgc55147-gnd2.pdf</x:v>
      </x:c>
      <x:c r="B390"/>
      <x:c r="C390"/>
      <x:c r="D390"/>
      <x:c r="E390"/>
      <x:c r="F390"/>
      <x:c r="G390"/>
    </x:row>
    <x:row r="391">
      <x:c r="A391"/>
      <x:c r="B391"/>
      <x:c r="C391"/>
      <x:c r="D391"/>
      <x:c r="E391"/>
      <x:c r="F391"/>
      <x:c r="G391"/>
    </x:row>
    <x:row r="392">
      <x:c r="A392"/>
      <x:c r="B392"/>
      <x:c r="C392"/>
      <x:c r="D392"/>
      <x:c r="E392"/>
      <x:c r="F392"/>
      <x:c r="G392"/>
    </x:row>
    <x:row r="393">
      <x:c r="A393" t="str">
        <x:v>Schedule III Division II – Notes to Statement of Profit and Loss</x:v>
      </x:c>
      <x:c r="B393"/>
      <x:c r="C393"/>
      <x:c r="D393"/>
      <x:c r="E393"/>
      <x:c r="F393"/>
      <x:c r="G393"/>
    </x:row>
    <x:row r="394">
      <x:c r="A394"/>
      <x:c r="B394"/>
      <x:c r="C394"/>
      <x:c r="D394"/>
      <x:c r="E394"/>
      <x:c r="F394"/>
      <x:c r="G394"/>
    </x:row>
    <x:row r="395">
      <x:c r="A395" t="str">
        <x:v>Note 41 – Revenue from operations</x:v>
      </x:c>
      <x:c r="B395"/>
      <x:c r="C395"/>
      <x:c r="D395"/>
      <x:c r="E395"/>
      <x:c r="F395"/>
      <x:c r="G395"/>
    </x:row>
    <x:row r="396">
      <x:c r="A396" t="str">
        <x:v>Particulars</x:v>
      </x:c>
      <x:c r="B396" t="str">
        <x:v>Current reporting period</x:v>
      </x:c>
      <x:c r="C396" t="str">
        <x:v>Previous reporting period</x:v>
      </x:c>
      <x:c r="D396" t="str">
        <x:v>Mapping / Source</x:v>
      </x:c>
      <x:c r="E396" t="str">
        <x:v>Classification</x:v>
      </x:c>
      <x:c r="F396" t="str">
        <x:v>Remarks</x:v>
      </x:c>
      <x:c r="G396"/>
    </x:row>
    <x:row r="397">
      <x:c r="A397" t="str">
        <x:v>Sale of products</x:v>
      </x:c>
      <x:c r="B397"/>
      <x:c r="C397"/>
      <x:c r="D397"/>
      <x:c r="E397"/>
      <x:c r="F397"/>
      <x:c r="G397"/>
    </x:row>
    <x:row r="398">
      <x:c r="A398" t="str">
        <x:v>Sale of services</x:v>
      </x:c>
      <x:c r="B398"/>
      <x:c r="C398"/>
      <x:c r="D398"/>
      <x:c r="E398"/>
      <x:c r="F398"/>
      <x:c r="G398"/>
    </x:row>
    <x:row r="399">
      <x:c r="A399" t="str">
        <x:v>Other operating revenue</x:v>
      </x:c>
      <x:c r="B399"/>
      <x:c r="C399"/>
      <x:c r="D399"/>
      <x:c r="E399"/>
      <x:c r="F399"/>
      <x:c r="G399"/>
    </x:row>
    <x:row r="400">
      <x:c r="A400" t="str">
        <x:v>Total Revenue from operations</x:v>
      </x:c>
      <x:c r="B400" t="n">
        <x:f>SUM(B397:B399)</x:f>
        <x:v>0</x:v>
      </x:c>
      <x:c r="C400" t="n">
        <x:f>SUM(C397:C399)</x:f>
        <x:v>0</x:v>
      </x:c>
      <x:c r="D400"/>
      <x:c r="E400"/>
      <x:c r="F400"/>
      <x:c r="G400"/>
    </x:row>
    <x:row r="401">
      <x:c r="A401"/>
      <x:c r="B401"/>
      <x:c r="C401"/>
      <x:c r="D401"/>
      <x:c r="E401"/>
      <x:c r="F401"/>
      <x:c r="G401"/>
    </x:row>
    <x:row r="402">
      <x:c r="A402" t="str">
        <x:v>Note 42 – Other income</x:v>
      </x:c>
      <x:c r="B402"/>
      <x:c r="C402"/>
      <x:c r="D402"/>
      <x:c r="E402"/>
      <x:c r="F402"/>
      <x:c r="G402"/>
    </x:row>
    <x:row r="403">
      <x:c r="A403" t="str">
        <x:v>Particulars</x:v>
      </x:c>
      <x:c r="B403" t="str">
        <x:v>Current reporting period</x:v>
      </x:c>
      <x:c r="C403" t="str">
        <x:v>Previous reporting period</x:v>
      </x:c>
      <x:c r="D403" t="str">
        <x:v>Mapping / Source</x:v>
      </x:c>
      <x:c r="E403" t="str">
        <x:v>Classification</x:v>
      </x:c>
      <x:c r="F403" t="str">
        <x:v>Remarks</x:v>
      </x:c>
      <x:c r="G403"/>
    </x:row>
    <x:row r="404">
      <x:c r="A404" t="str">
        <x:v>Interest income</x:v>
      </x:c>
      <x:c r="B404"/>
      <x:c r="C404"/>
      <x:c r="D404"/>
      <x:c r="E404"/>
      <x:c r="F404"/>
      <x:c r="G404"/>
    </x:row>
    <x:row r="405">
      <x:c r="A405" t="str">
        <x:v>Dividend income</x:v>
      </x:c>
      <x:c r="B405"/>
      <x:c r="C405"/>
      <x:c r="D405"/>
      <x:c r="E405"/>
      <x:c r="F405"/>
      <x:c r="G405"/>
    </x:row>
    <x:row r="406">
      <x:c r="A406" t="str">
        <x:v>Other non-operating income</x:v>
      </x:c>
      <x:c r="B406"/>
      <x:c r="C406"/>
      <x:c r="D406"/>
      <x:c r="E406"/>
      <x:c r="F406"/>
      <x:c r="G406"/>
    </x:row>
    <x:row r="407">
      <x:c r="A407" t="str">
        <x:v>Total Other income</x:v>
      </x:c>
      <x:c r="B407" t="n">
        <x:f>SUM(B404:B406)</x:f>
        <x:v>0</x:v>
      </x:c>
      <x:c r="C407" t="n">
        <x:f>SUM(C404:C406)</x:f>
        <x:v>0</x:v>
      </x:c>
      <x:c r="D407"/>
      <x:c r="E407"/>
      <x:c r="F407"/>
      <x:c r="G407"/>
    </x:row>
    <x:row r="408">
      <x:c r="A408"/>
      <x:c r="B408"/>
      <x:c r="C408"/>
      <x:c r="D408"/>
      <x:c r="E408"/>
      <x:c r="F408"/>
      <x:c r="G408"/>
    </x:row>
    <x:row r="409">
      <x:c r="A409" t="str">
        <x:v>Note 43 – Cost of materials consumed</x:v>
      </x:c>
      <x:c r="B409"/>
      <x:c r="C409"/>
      <x:c r="D409"/>
      <x:c r="E409"/>
      <x:c r="F409"/>
      <x:c r="G409"/>
    </x:row>
    <x:row r="410">
      <x:c r="A410" t="str">
        <x:v>Particulars</x:v>
      </x:c>
      <x:c r="B410" t="str">
        <x:v>Current reporting period</x:v>
      </x:c>
      <x:c r="C410" t="str">
        <x:v>Previous reporting period</x:v>
      </x:c>
      <x:c r="D410" t="str">
        <x:v>Mapping / Source</x:v>
      </x:c>
      <x:c r="E410" t="str">
        <x:v>Classification</x:v>
      </x:c>
      <x:c r="F410" t="str">
        <x:v>Remarks</x:v>
      </x:c>
      <x:c r="G410"/>
    </x:row>
    <x:row r="411">
      <x:c r="A411" t="str">
        <x:v>Opening raw materials</x:v>
      </x:c>
      <x:c r="B411"/>
      <x:c r="C411"/>
      <x:c r="D411"/>
      <x:c r="E411"/>
      <x:c r="F411"/>
      <x:c r="G411"/>
    </x:row>
    <x:row r="412">
      <x:c r="A412" t="str">
        <x:v>Purchases</x:v>
      </x:c>
      <x:c r="B412"/>
      <x:c r="C412"/>
      <x:c r="D412"/>
      <x:c r="E412"/>
      <x:c r="F412"/>
      <x:c r="G412"/>
    </x:row>
    <x:row r="413">
      <x:c r="A413" t="str">
        <x:v>Less: Closing raw materials</x:v>
      </x:c>
      <x:c r="B413"/>
      <x:c r="C413"/>
      <x:c r="D413"/>
      <x:c r="E413"/>
      <x:c r="F413"/>
      <x:c r="G413"/>
    </x:row>
    <x:row r="414">
      <x:c r="A414" t="str">
        <x:v>Total Cost of materials consumed</x:v>
      </x:c>
      <x:c r="B414" t="n">
        <x:f>SUM(B411:B413)</x:f>
        <x:v>0</x:v>
      </x:c>
      <x:c r="C414" t="n">
        <x:f>SUM(C411:C413)</x:f>
        <x:v>0</x:v>
      </x:c>
      <x:c r="D414"/>
      <x:c r="E414"/>
      <x:c r="F414"/>
      <x:c r="G414"/>
    </x:row>
    <x:row r="415">
      <x:c r="A415"/>
      <x:c r="B415"/>
      <x:c r="C415"/>
      <x:c r="D415"/>
      <x:c r="E415"/>
      <x:c r="F415"/>
      <x:c r="G415"/>
    </x:row>
    <x:row r="416">
      <x:c r="A416" t="str">
        <x:v>Note 44 – Purchases of Stock-in-Trade</x:v>
      </x:c>
      <x:c r="B416"/>
      <x:c r="C416"/>
      <x:c r="D416"/>
      <x:c r="E416"/>
      <x:c r="F416"/>
      <x:c r="G416"/>
    </x:row>
    <x:row r="417">
      <x:c r="A417" t="str">
        <x:v>Particulars</x:v>
      </x:c>
      <x:c r="B417" t="str">
        <x:v>Current reporting period</x:v>
      </x:c>
      <x:c r="C417" t="str">
        <x:v>Previous reporting period</x:v>
      </x:c>
      <x:c r="D417" t="str">
        <x:v>Mapping / Source</x:v>
      </x:c>
      <x:c r="E417" t="str">
        <x:v>Classification</x:v>
      </x:c>
      <x:c r="F417" t="str">
        <x:v>Remarks</x:v>
      </x:c>
      <x:c r="G417"/>
    </x:row>
    <x:row r="418">
      <x:c r="A418" t="str">
        <x:v>Purchases under broad heads</x:v>
      </x:c>
      <x:c r="B418"/>
      <x:c r="C418"/>
      <x:c r="D418"/>
      <x:c r="E418"/>
      <x:c r="F418"/>
      <x:c r="G418"/>
    </x:row>
    <x:row r="419">
      <x:c r="A419" t="str">
        <x:v>Other direct purchase costs</x:v>
      </x:c>
      <x:c r="B419"/>
      <x:c r="C419"/>
      <x:c r="D419"/>
      <x:c r="E419"/>
      <x:c r="F419"/>
      <x:c r="G419"/>
    </x:row>
    <x:row r="420">
      <x:c r="A420" t="str">
        <x:v>Total Purchases of Stock-in-Trade</x:v>
      </x:c>
      <x:c r="B420" t="n">
        <x:f>SUM(B418:B419)</x:f>
        <x:v>0</x:v>
      </x:c>
      <x:c r="C420" t="n">
        <x:f>SUM(C418:C419)</x:f>
        <x:v>0</x:v>
      </x:c>
      <x:c r="D420"/>
      <x:c r="E420"/>
      <x:c r="F420"/>
      <x:c r="G420"/>
    </x:row>
    <x:row r="421">
      <x:c r="A421"/>
      <x:c r="B421"/>
      <x:c r="C421"/>
      <x:c r="D421"/>
      <x:c r="E421"/>
      <x:c r="F421"/>
      <x:c r="G421"/>
    </x:row>
    <x:row r="422">
      <x:c r="A422" t="str">
        <x:v>Note 45 – Changes in inventories</x:v>
      </x:c>
      <x:c r="B422"/>
      <x:c r="C422"/>
      <x:c r="D422"/>
      <x:c r="E422"/>
      <x:c r="F422"/>
      <x:c r="G422"/>
    </x:row>
    <x:row r="423">
      <x:c r="A423" t="str">
        <x:v>Particulars</x:v>
      </x:c>
      <x:c r="B423" t="str">
        <x:v>Current reporting period</x:v>
      </x:c>
      <x:c r="C423" t="str">
        <x:v>Previous reporting period</x:v>
      </x:c>
      <x:c r="D423" t="str">
        <x:v>Mapping / Source</x:v>
      </x:c>
      <x:c r="E423" t="str">
        <x:v>Classification</x:v>
      </x:c>
      <x:c r="F423" t="str">
        <x:v>Remarks</x:v>
      </x:c>
      <x:c r="G423"/>
    </x:row>
    <x:row r="424">
      <x:c r="A424" t="str">
        <x:v>Finished goods</x:v>
      </x:c>
      <x:c r="B424"/>
      <x:c r="C424"/>
      <x:c r="D424"/>
      <x:c r="E424"/>
      <x:c r="F424"/>
      <x:c r="G424"/>
    </x:row>
    <x:row r="425">
      <x:c r="A425" t="str">
        <x:v>Work-in-progress</x:v>
      </x:c>
      <x:c r="B425"/>
      <x:c r="C425"/>
      <x:c r="D425"/>
      <x:c r="E425"/>
      <x:c r="F425"/>
      <x:c r="G425"/>
    </x:row>
    <x:row r="426">
      <x:c r="A426" t="str">
        <x:v>Stock-in-Trade</x:v>
      </x:c>
      <x:c r="B426"/>
      <x:c r="C426"/>
      <x:c r="D426"/>
      <x:c r="E426"/>
      <x:c r="F426"/>
      <x:c r="G426"/>
    </x:row>
    <x:row r="427">
      <x:c r="A427" t="str">
        <x:v>Total Changes in inventories</x:v>
      </x:c>
      <x:c r="B427" t="n">
        <x:f>SUM(B424:B426)</x:f>
        <x:v>0</x:v>
      </x:c>
      <x:c r="C427" t="n">
        <x:f>SUM(C424:C426)</x:f>
        <x:v>0</x:v>
      </x:c>
      <x:c r="D427"/>
      <x:c r="E427"/>
      <x:c r="F427"/>
      <x:c r="G427"/>
    </x:row>
    <x:row r="428">
      <x:c r="A428"/>
      <x:c r="B428"/>
      <x:c r="C428"/>
      <x:c r="D428"/>
      <x:c r="E428"/>
      <x:c r="F428"/>
      <x:c r="G428"/>
    </x:row>
    <x:row r="429">
      <x:c r="A429" t="str">
        <x:v>Note 46 – Employee benefits expense</x:v>
      </x:c>
      <x:c r="B429"/>
      <x:c r="C429"/>
      <x:c r="D429"/>
      <x:c r="E429"/>
      <x:c r="F429"/>
      <x:c r="G429"/>
    </x:row>
    <x:row r="430">
      <x:c r="A430" t="str">
        <x:v>Particulars</x:v>
      </x:c>
      <x:c r="B430" t="str">
        <x:v>Current reporting period</x:v>
      </x:c>
      <x:c r="C430" t="str">
        <x:v>Previous reporting period</x:v>
      </x:c>
      <x:c r="D430" t="str">
        <x:v>Mapping / Source</x:v>
      </x:c>
      <x:c r="E430" t="str">
        <x:v>Classification</x:v>
      </x:c>
      <x:c r="F430" t="str">
        <x:v>Remarks</x:v>
      </x:c>
      <x:c r="G430"/>
    </x:row>
    <x:row r="431">
      <x:c r="A431" t="str">
        <x:v>Salaries and wages</x:v>
      </x:c>
      <x:c r="B431"/>
      <x:c r="C431"/>
      <x:c r="D431"/>
      <x:c r="E431"/>
      <x:c r="F431"/>
      <x:c r="G431"/>
    </x:row>
    <x:row r="432">
      <x:c r="A432" t="str">
        <x:v>Contributions to funds</x:v>
      </x:c>
      <x:c r="B432"/>
      <x:c r="C432"/>
      <x:c r="D432"/>
      <x:c r="E432"/>
      <x:c r="F432"/>
      <x:c r="G432"/>
    </x:row>
    <x:row r="433">
      <x:c r="A433" t="str">
        <x:v>Share-based payments</x:v>
      </x:c>
      <x:c r="B433"/>
      <x:c r="C433"/>
      <x:c r="D433"/>
      <x:c r="E433"/>
      <x:c r="F433"/>
      <x:c r="G433"/>
    </x:row>
    <x:row r="434">
      <x:c r="A434" t="str">
        <x:v>Staff welfare expenses</x:v>
      </x:c>
      <x:c r="B434"/>
      <x:c r="C434"/>
      <x:c r="D434"/>
      <x:c r="E434"/>
      <x:c r="F434"/>
      <x:c r="G434"/>
    </x:row>
    <x:row r="435">
      <x:c r="A435" t="str">
        <x:v>Total Employee benefits expense</x:v>
      </x:c>
      <x:c r="B435" t="n">
        <x:f>SUM(B431:B434)</x:f>
        <x:v>0</x:v>
      </x:c>
      <x:c r="C435" t="n">
        <x:f>SUM(C431:C434)</x:f>
        <x:v>0</x:v>
      </x:c>
      <x:c r="D435"/>
      <x:c r="E435"/>
      <x:c r="F435"/>
      <x:c r="G435"/>
    </x:row>
    <x:row r="436">
      <x:c r="A436"/>
      <x:c r="B436"/>
      <x:c r="C436"/>
      <x:c r="D436"/>
      <x:c r="E436"/>
      <x:c r="F436"/>
      <x:c r="G436"/>
    </x:row>
    <x:row r="437">
      <x:c r="A437" t="str">
        <x:v>Note 47 – Finance costs</x:v>
      </x:c>
      <x:c r="B437"/>
      <x:c r="C437"/>
      <x:c r="D437"/>
      <x:c r="E437"/>
      <x:c r="F437"/>
      <x:c r="G437"/>
    </x:row>
    <x:row r="438">
      <x:c r="A438" t="str">
        <x:v>Particulars</x:v>
      </x:c>
      <x:c r="B438" t="str">
        <x:v>Current reporting period</x:v>
      </x:c>
      <x:c r="C438" t="str">
        <x:v>Previous reporting period</x:v>
      </x:c>
      <x:c r="D438" t="str">
        <x:v>Mapping / Source</x:v>
      </x:c>
      <x:c r="E438" t="str">
        <x:v>Classification</x:v>
      </x:c>
      <x:c r="F438" t="str">
        <x:v>Remarks</x:v>
      </x:c>
      <x:c r="G438"/>
    </x:row>
    <x:row r="439">
      <x:c r="A439" t="str">
        <x:v>Interest expense</x:v>
      </x:c>
      <x:c r="B439"/>
      <x:c r="C439"/>
      <x:c r="D439"/>
      <x:c r="E439"/>
      <x:c r="F439"/>
      <x:c r="G439"/>
    </x:row>
    <x:row r="440">
      <x:c r="A440" t="str">
        <x:v>Dividend on redeemable preference shares</x:v>
      </x:c>
      <x:c r="B440"/>
      <x:c r="C440"/>
      <x:c r="D440"/>
      <x:c r="E440"/>
      <x:c r="F440"/>
      <x:c r="G440"/>
    </x:row>
    <x:row r="441">
      <x:c r="A441" t="str">
        <x:v>Exchange differences treated as borrowing cost</x:v>
      </x:c>
      <x:c r="B441"/>
      <x:c r="C441"/>
      <x:c r="D441"/>
      <x:c r="E441"/>
      <x:c r="F441"/>
      <x:c r="G441"/>
    </x:row>
    <x:row r="442">
      <x:c r="A442" t="str">
        <x:v>Other borrowing costs</x:v>
      </x:c>
      <x:c r="B442"/>
      <x:c r="C442"/>
      <x:c r="D442"/>
      <x:c r="E442"/>
      <x:c r="F442"/>
      <x:c r="G442"/>
    </x:row>
    <x:row r="443">
      <x:c r="A443" t="str">
        <x:v>Total Finance costs</x:v>
      </x:c>
      <x:c r="B443" t="n">
        <x:f>SUM(B439:B442)</x:f>
        <x:v>0</x:v>
      </x:c>
      <x:c r="C443" t="n">
        <x:f>SUM(C439:C442)</x:f>
        <x:v>0</x:v>
      </x:c>
      <x:c r="D443"/>
      <x:c r="E443"/>
      <x:c r="F443"/>
      <x:c r="G443"/>
    </x:row>
    <x:row r="444">
      <x:c r="A444"/>
      <x:c r="B444"/>
      <x:c r="C444"/>
      <x:c r="D444"/>
      <x:c r="E444"/>
      <x:c r="F444"/>
      <x:c r="G444"/>
    </x:row>
    <x:row r="445">
      <x:c r="A445" t="str">
        <x:v>Note 48 – Depreciation and amortization expense</x:v>
      </x:c>
      <x:c r="B445"/>
      <x:c r="C445"/>
      <x:c r="D445"/>
      <x:c r="E445"/>
      <x:c r="F445"/>
      <x:c r="G445"/>
    </x:row>
    <x:row r="446">
      <x:c r="A446" t="str">
        <x:v>Particulars</x:v>
      </x:c>
      <x:c r="B446" t="str">
        <x:v>Current reporting period</x:v>
      </x:c>
      <x:c r="C446" t="str">
        <x:v>Previous reporting period</x:v>
      </x:c>
      <x:c r="D446" t="str">
        <x:v>Mapping / Source</x:v>
      </x:c>
      <x:c r="E446" t="str">
        <x:v>Classification</x:v>
      </x:c>
      <x:c r="F446" t="str">
        <x:v>Remarks</x:v>
      </x:c>
      <x:c r="G446"/>
    </x:row>
    <x:row r="447">
      <x:c r="A447" t="str">
        <x:v>Depreciation</x:v>
      </x:c>
      <x:c r="B447"/>
      <x:c r="C447"/>
      <x:c r="D447"/>
      <x:c r="E447"/>
      <x:c r="F447"/>
      <x:c r="G447"/>
    </x:row>
    <x:row r="448">
      <x:c r="A448" t="str">
        <x:v>Amortization</x:v>
      </x:c>
      <x:c r="B448"/>
      <x:c r="C448"/>
      <x:c r="D448"/>
      <x:c r="E448"/>
      <x:c r="F448"/>
      <x:c r="G448"/>
    </x:row>
    <x:row r="449">
      <x:c r="A449" t="str">
        <x:v>Total Depreciation and amortization expense</x:v>
      </x:c>
      <x:c r="B449" t="n">
        <x:f>SUM(B447:B448)</x:f>
        <x:v>0</x:v>
      </x:c>
      <x:c r="C449" t="n">
        <x:f>SUM(C447:C448)</x:f>
        <x:v>0</x:v>
      </x:c>
      <x:c r="D449"/>
      <x:c r="E449"/>
      <x:c r="F449"/>
      <x:c r="G449"/>
    </x:row>
    <x:row r="450">
      <x:c r="A450"/>
      <x:c r="B450"/>
      <x:c r="C450"/>
      <x:c r="D450"/>
      <x:c r="E450"/>
      <x:c r="F450"/>
      <x:c r="G450"/>
    </x:row>
    <x:row r="451">
      <x:c r="A451" t="str">
        <x:v>Note 49 – Other expenses</x:v>
      </x:c>
      <x:c r="B451"/>
      <x:c r="C451"/>
      <x:c r="D451"/>
      <x:c r="E451"/>
      <x:c r="F451"/>
      <x:c r="G451"/>
    </x:row>
    <x:row r="452">
      <x:c r="A452" t="str">
        <x:v>Particulars</x:v>
      </x:c>
      <x:c r="B452" t="str">
        <x:v>Current reporting period</x:v>
      </x:c>
      <x:c r="C452" t="str">
        <x:v>Previous reporting period</x:v>
      </x:c>
      <x:c r="D452" t="str">
        <x:v>Mapping / Source</x:v>
      </x:c>
      <x:c r="E452" t="str">
        <x:v>Classification</x:v>
      </x:c>
      <x:c r="F452" t="str">
        <x:v>Remarks</x:v>
      </x:c>
      <x:c r="G452"/>
    </x:row>
    <x:row r="453">
      <x:c r="A453" t="str">
        <x:v>Auditor remuneration</x:v>
      </x:c>
      <x:c r="B453"/>
      <x:c r="C453"/>
      <x:c r="D453"/>
      <x:c r="E453"/>
      <x:c r="F453"/>
      <x:c r="G453"/>
    </x:row>
    <x:row r="454">
      <x:c r="A454" t="str">
        <x:v>CSR expenditure</x:v>
      </x:c>
      <x:c r="B454"/>
      <x:c r="C454"/>
      <x:c r="D454"/>
      <x:c r="E454"/>
      <x:c r="F454"/>
      <x:c r="G454"/>
    </x:row>
    <x:row r="455">
      <x:c r="A455" t="str">
        <x:v>Foreign exchange gain/(loss)</x:v>
      </x:c>
      <x:c r="B455"/>
      <x:c r="C455"/>
      <x:c r="D455"/>
      <x:c r="E455"/>
      <x:c r="F455"/>
      <x:c r="G455"/>
    </x:row>
    <x:row r="456">
      <x:c r="A456" t="str">
        <x:v>Other material expenses</x:v>
      </x:c>
      <x:c r="B456"/>
      <x:c r="C456"/>
      <x:c r="D456"/>
      <x:c r="E456"/>
      <x:c r="F456"/>
      <x:c r="G456"/>
    </x:row>
    <x:row r="457">
      <x:c r="A457" t="str">
        <x:v>Total Other expenses</x:v>
      </x:c>
      <x:c r="B457" t="n">
        <x:f>SUM(B453:B456)</x:f>
        <x:v>0</x:v>
      </x:c>
      <x:c r="C457" t="n">
        <x:f>SUM(C453:C456)</x:f>
        <x:v>0</x:v>
      </x:c>
      <x:c r="D457"/>
      <x:c r="E457"/>
      <x:c r="F457"/>
      <x:c r="G457"/>
    </x:row>
    <x:row r="458">
      <x:c r="A458"/>
      <x:c r="B458"/>
      <x:c r="C458"/>
      <x:c r="D458"/>
      <x:c r="E458"/>
      <x:c r="F458"/>
      <x:c r="G458"/>
    </x:row>
    <x:row r="459">
      <x:c r="A459" t="str">
        <x:v>Note 50 – Exceptional items</x:v>
      </x:c>
      <x:c r="B459"/>
      <x:c r="C459"/>
      <x:c r="D459"/>
      <x:c r="E459"/>
      <x:c r="F459"/>
      <x:c r="G459"/>
    </x:row>
    <x:row r="460">
      <x:c r="A460" t="str">
        <x:v>Particulars</x:v>
      </x:c>
      <x:c r="B460" t="str">
        <x:v>Current reporting period</x:v>
      </x:c>
      <x:c r="C460" t="str">
        <x:v>Previous reporting period</x:v>
      </x:c>
      <x:c r="D460" t="str">
        <x:v>Mapping / Source</x:v>
      </x:c>
      <x:c r="E460" t="str">
        <x:v>Classification</x:v>
      </x:c>
      <x:c r="F460" t="str">
        <x:v>Remarks</x:v>
      </x:c>
      <x:c r="G460"/>
    </x:row>
    <x:row r="461">
      <x:c r="A461" t="str">
        <x:v>Exceptional income</x:v>
      </x:c>
      <x:c r="B461"/>
      <x:c r="C461"/>
      <x:c r="D461"/>
      <x:c r="E461"/>
      <x:c r="F461"/>
      <x:c r="G461"/>
    </x:row>
    <x:row r="462">
      <x:c r="A462" t="str">
        <x:v>Exceptional expense</x:v>
      </x:c>
      <x:c r="B462"/>
      <x:c r="C462"/>
      <x:c r="D462"/>
      <x:c r="E462"/>
      <x:c r="F462"/>
      <x:c r="G462"/>
    </x:row>
    <x:row r="463">
      <x:c r="A463" t="str">
        <x:v>Total Exceptional items</x:v>
      </x:c>
      <x:c r="B463" t="n">
        <x:f>SUM(B461:B462)</x:f>
        <x:v>0</x:v>
      </x:c>
      <x:c r="C463" t="n">
        <x:f>SUM(C461:C462)</x:f>
        <x:v>0</x:v>
      </x:c>
      <x:c r="D463"/>
      <x:c r="E463"/>
      <x:c r="F463"/>
      <x:c r="G463"/>
    </x:row>
    <x:row r="464">
      <x:c r="A464"/>
      <x:c r="B464"/>
      <x:c r="C464"/>
      <x:c r="D464"/>
      <x:c r="E464"/>
      <x:c r="F464"/>
      <x:c r="G464"/>
    </x:row>
    <x:row r="465">
      <x:c r="A465" t="str">
        <x:v>Note 51 – Tax expense</x:v>
      </x:c>
      <x:c r="B465"/>
      <x:c r="C465"/>
      <x:c r="D465"/>
      <x:c r="E465"/>
      <x:c r="F465"/>
      <x:c r="G465"/>
    </x:row>
    <x:row r="466">
      <x:c r="A466" t="str">
        <x:v>Particulars</x:v>
      </x:c>
      <x:c r="B466" t="str">
        <x:v>Current reporting period</x:v>
      </x:c>
      <x:c r="C466" t="str">
        <x:v>Previous reporting period</x:v>
      </x:c>
      <x:c r="D466" t="str">
        <x:v>Mapping / Source</x:v>
      </x:c>
      <x:c r="E466" t="str">
        <x:v>Classification</x:v>
      </x:c>
      <x:c r="F466" t="str">
        <x:v>Remarks</x:v>
      </x:c>
      <x:c r="G466"/>
    </x:row>
    <x:row r="467">
      <x:c r="A467" t="str">
        <x:v>Current tax</x:v>
      </x:c>
      <x:c r="B467"/>
      <x:c r="C467"/>
      <x:c r="D467"/>
      <x:c r="E467"/>
      <x:c r="F467"/>
      <x:c r="G467"/>
    </x:row>
    <x:row r="468">
      <x:c r="A468" t="str">
        <x:v>Deferred tax</x:v>
      </x:c>
      <x:c r="B468"/>
      <x:c r="C468"/>
      <x:c r="D468"/>
      <x:c r="E468"/>
      <x:c r="F468"/>
      <x:c r="G468"/>
    </x:row>
    <x:row r="469">
      <x:c r="A469" t="str">
        <x:v>Tax adjustments for earlier years</x:v>
      </x:c>
      <x:c r="B469"/>
      <x:c r="C469"/>
      <x:c r="D469"/>
      <x:c r="E469"/>
      <x:c r="F469"/>
      <x:c r="G469"/>
    </x:row>
    <x:row r="470">
      <x:c r="A470" t="str">
        <x:v>Total Tax expense</x:v>
      </x:c>
      <x:c r="B470" t="n">
        <x:f>SUM(B467:B469)</x:f>
        <x:v>0</x:v>
      </x:c>
      <x:c r="C470" t="n">
        <x:f>SUM(C467:C469)</x:f>
        <x:v>0</x:v>
      </x:c>
      <x:c r="D470"/>
      <x:c r="E470"/>
      <x:c r="F470"/>
      <x:c r="G470"/>
    </x:row>
    <x:row r="471">
      <x:c r="A471"/>
      <x:c r="B471"/>
      <x:c r="C471"/>
      <x:c r="D471"/>
      <x:c r="E471"/>
      <x:c r="F471"/>
      <x:c r="G471"/>
    </x:row>
    <x:row r="472">
      <x:c r="A472" t="str">
        <x:v>Note 52 – Discontinued operations</x:v>
      </x:c>
      <x:c r="B472"/>
      <x:c r="C472"/>
      <x:c r="D472"/>
      <x:c r="E472"/>
      <x:c r="F472"/>
      <x:c r="G472"/>
    </x:row>
    <x:row r="473">
      <x:c r="A473" t="str">
        <x:v>Particulars</x:v>
      </x:c>
      <x:c r="B473" t="str">
        <x:v>Current reporting period</x:v>
      </x:c>
      <x:c r="C473" t="str">
        <x:v>Previous reporting period</x:v>
      </x:c>
      <x:c r="D473" t="str">
        <x:v>Mapping / Source</x:v>
      </x:c>
      <x:c r="E473" t="str">
        <x:v>Classification</x:v>
      </x:c>
      <x:c r="F473" t="str">
        <x:v>Remarks</x:v>
      </x:c>
      <x:c r="G473"/>
    </x:row>
    <x:row r="474">
      <x:c r="A474" t="str">
        <x:v>Profit/(loss) before tax</x:v>
      </x:c>
      <x:c r="B474"/>
      <x:c r="C474"/>
      <x:c r="D474"/>
      <x:c r="E474"/>
      <x:c r="F474"/>
      <x:c r="G474"/>
    </x:row>
    <x:row r="475">
      <x:c r="A475" t="str">
        <x:v>Tax expense</x:v>
      </x:c>
      <x:c r="B475"/>
      <x:c r="C475"/>
      <x:c r="D475"/>
      <x:c r="E475"/>
      <x:c r="F475"/>
      <x:c r="G475"/>
    </x:row>
    <x:row r="476">
      <x:c r="A476" t="str">
        <x:v>Profit/(loss) after tax</x:v>
      </x:c>
      <x:c r="B476"/>
      <x:c r="C476"/>
      <x:c r="D476"/>
      <x:c r="E476"/>
      <x:c r="F476"/>
      <x:c r="G476"/>
    </x:row>
    <x:row r="477">
      <x:c r="A477" t="str">
        <x:v>Total Discontinued operations</x:v>
      </x:c>
      <x:c r="B477" t="n">
        <x:f>SUM(B474:B476)</x:f>
        <x:v>0</x:v>
      </x:c>
      <x:c r="C477" t="n">
        <x:f>SUM(C474:C476)</x:f>
        <x:v>0</x:v>
      </x:c>
      <x:c r="D477"/>
      <x:c r="E477"/>
      <x:c r="F477"/>
      <x:c r="G477"/>
    </x:row>
    <x:row r="478">
      <x:c r="A478"/>
      <x:c r="B478"/>
      <x:c r="C478"/>
      <x:c r="D478"/>
      <x:c r="E478"/>
      <x:c r="F478"/>
      <x:c r="G478"/>
    </x:row>
    <x:row r="479">
      <x:c r="A479" t="str">
        <x:v>Note 53 – Other Comprehensive Income</x:v>
      </x:c>
      <x:c r="B479"/>
      <x:c r="C479"/>
      <x:c r="D479"/>
      <x:c r="E479"/>
      <x:c r="F479"/>
      <x:c r="G479"/>
    </x:row>
    <x:row r="480">
      <x:c r="A480" t="str">
        <x:v>Particulars</x:v>
      </x:c>
      <x:c r="B480" t="str">
        <x:v>Current reporting period</x:v>
      </x:c>
      <x:c r="C480" t="str">
        <x:v>Previous reporting period</x:v>
      </x:c>
      <x:c r="D480" t="str">
        <x:v>Mapping / Source</x:v>
      </x:c>
      <x:c r="E480" t="str">
        <x:v>Classification</x:v>
      </x:c>
      <x:c r="F480" t="str">
        <x:v>Remarks</x:v>
      </x:c>
      <x:c r="G480"/>
    </x:row>
    <x:row r="481">
      <x:c r="A481" t="str">
        <x:v>Items not reclassified to profit or loss</x:v>
      </x:c>
      <x:c r="B481"/>
      <x:c r="C481"/>
      <x:c r="D481"/>
      <x:c r="E481"/>
      <x:c r="F481"/>
      <x:c r="G481"/>
    </x:row>
    <x:row r="482">
      <x:c r="A482" t="str">
        <x:v>Related income tax</x:v>
      </x:c>
      <x:c r="B482"/>
      <x:c r="C482"/>
      <x:c r="D482"/>
      <x:c r="E482"/>
      <x:c r="F482"/>
      <x:c r="G482"/>
    </x:row>
    <x:row r="483">
      <x:c r="A483" t="str">
        <x:v>Items reclassified to profit or loss</x:v>
      </x:c>
      <x:c r="B483"/>
      <x:c r="C483"/>
      <x:c r="D483"/>
      <x:c r="E483"/>
      <x:c r="F483"/>
      <x:c r="G483"/>
    </x:row>
    <x:row r="484">
      <x:c r="A484" t="str">
        <x:v>Related income tax</x:v>
      </x:c>
      <x:c r="B484"/>
      <x:c r="C484"/>
      <x:c r="D484"/>
      <x:c r="E484"/>
      <x:c r="F484"/>
      <x:c r="G484"/>
    </x:row>
    <x:row r="485">
      <x:c r="A485" t="str">
        <x:v>Total Other Comprehensive Income</x:v>
      </x:c>
      <x:c r="B485" t="n">
        <x:f>SUM(B481:B484)</x:f>
        <x:v>0</x:v>
      </x:c>
      <x:c r="C485" t="n">
        <x:f>SUM(C481:C484)</x:f>
        <x:v>0</x:v>
      </x:c>
      <x:c r="D485"/>
      <x:c r="E485"/>
      <x:c r="F485"/>
      <x:c r="G485"/>
    </x:row>
    <x:row r="486">
      <x:c r="A486"/>
      <x:c r="B486"/>
      <x:c r="C486"/>
      <x:c r="D486"/>
      <x:c r="E486"/>
      <x:c r="F486"/>
      <x:c r="G486"/>
    </x:row>
    <x:row r="487">
      <x:c r="A487" t="str">
        <x:v>Note 54 – Earnings per share</x:v>
      </x:c>
      <x:c r="B487"/>
      <x:c r="C487"/>
      <x:c r="D487"/>
      <x:c r="E487"/>
      <x:c r="F487"/>
      <x:c r="G487"/>
    </x:row>
    <x:row r="488">
      <x:c r="A488" t="str">
        <x:v>Particulars</x:v>
      </x:c>
      <x:c r="B488" t="str">
        <x:v>Current reporting period</x:v>
      </x:c>
      <x:c r="C488" t="str">
        <x:v>Previous reporting period</x:v>
      </x:c>
      <x:c r="D488" t="str">
        <x:v>Mapping / Source</x:v>
      </x:c>
      <x:c r="E488" t="str">
        <x:v>Classification</x:v>
      </x:c>
      <x:c r="F488" t="str">
        <x:v>Remarks</x:v>
      </x:c>
      <x:c r="G488"/>
    </x:row>
    <x:row r="489">
      <x:c r="A489" t="str">
        <x:v>Basic EPS – continuing operations</x:v>
      </x:c>
      <x:c r="B489"/>
      <x:c r="C489"/>
      <x:c r="D489"/>
      <x:c r="E489"/>
      <x:c r="F489"/>
      <x:c r="G489"/>
    </x:row>
    <x:row r="490">
      <x:c r="A490" t="str">
        <x:v>Diluted EPS – continuing operations</x:v>
      </x:c>
      <x:c r="B490"/>
      <x:c r="C490"/>
      <x:c r="D490"/>
      <x:c r="E490"/>
      <x:c r="F490"/>
      <x:c r="G490"/>
    </x:row>
    <x:row r="491">
      <x:c r="A491" t="str">
        <x:v>Basic EPS – discontinued operations</x:v>
      </x:c>
      <x:c r="B491"/>
      <x:c r="C491"/>
      <x:c r="D491"/>
      <x:c r="E491"/>
      <x:c r="F491"/>
      <x:c r="G491"/>
    </x:row>
    <x:row r="492">
      <x:c r="A492" t="str">
        <x:v>Diluted EPS – discontinued operations</x:v>
      </x:c>
      <x:c r="B492"/>
      <x:c r="C492"/>
      <x:c r="D492"/>
      <x:c r="E492"/>
      <x:c r="F492"/>
      <x:c r="G492"/>
    </x:row>
    <x:row r="493">
      <x:c r="A493" t="str">
        <x:v>Total Earnings per share</x:v>
      </x:c>
      <x:c r="B493" t="n">
        <x:f>SUM(B489:B492)</x:f>
        <x:v>0</x:v>
      </x:c>
      <x:c r="C493" t="n">
        <x:f>SUM(C489:C492)</x:f>
        <x:v>0</x:v>
      </x:c>
      <x:c r="D493"/>
      <x:c r="E493"/>
      <x:c r="F493"/>
      <x:c r="G493"/>
    </x:row>
  </x:sheetData>
  <x:mergeCells>
    <x:mergeCell ref="A1:F1"/>
    <x:mergeCell ref="A2:F2"/>
    <x:mergeCell ref="A3:F3"/>
    <x:mergeCell ref="A48:F48"/>
    <x:mergeCell ref="A57:F57"/>
    <x:mergeCell ref="A63:F63"/>
    <x:mergeCell ref="A69:F69"/>
    <x:mergeCell ref="A75:F75"/>
    <x:mergeCell ref="A82:F82"/>
    <x:mergeCell ref="A88:F88"/>
    <x:mergeCell ref="A94:F94"/>
    <x:mergeCell ref="A101:F101"/>
    <x:mergeCell ref="A109:F109"/>
    <x:mergeCell ref="A116:F116"/>
    <x:mergeCell ref="A123:F123"/>
    <x:mergeCell ref="A129:F129"/>
    <x:mergeCell ref="A136:F136"/>
    <x:mergeCell ref="A145:F145"/>
    <x:mergeCell ref="A152:F152"/>
    <x:mergeCell ref="A160:F160"/>
    <x:mergeCell ref="A167:F167"/>
    <x:mergeCell ref="A174:F174"/>
    <x:mergeCell ref="A181:F181"/>
    <x:mergeCell ref="A188:F188"/>
    <x:mergeCell ref="A194:F194"/>
    <x:mergeCell ref="A201:F201"/>
    <x:mergeCell ref="A207:F207"/>
    <x:mergeCell ref="A215:F215"/>
    <x:mergeCell ref="A222:F222"/>
    <x:mergeCell ref="A228:F228"/>
    <x:mergeCell ref="A234:F234"/>
    <x:mergeCell ref="A240:F240"/>
    <x:mergeCell ref="A247:F247"/>
    <x:mergeCell ref="A254:F254"/>
    <x:mergeCell ref="A260:F260"/>
    <x:mergeCell ref="A267:F267"/>
    <x:mergeCell ref="A274:F274"/>
    <x:mergeCell ref="A280:F280"/>
    <x:mergeCell ref="A286:F286"/>
    <x:mergeCell ref="A292:F292"/>
    <x:mergeCell ref="A299:F299"/>
    <x:mergeCell ref="A306:F306"/>
    <x:mergeCell ref="A313:F313"/>
    <x:mergeCell ref="A320:F320"/>
    <x:mergeCell ref="A341:F341"/>
  </x:mergeCells>
  <x:dataValidations count="1">
    <x:dataValidation type="list" sqref="D322:D339">
      <x:formula1>"Pending,Prepared,Reviewed,Not Applicable"</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38" hidden="0" customWidth="1"/>
    <x:col min="2" max="2" width="22" hidden="0" customWidth="1"/>
    <x:col min="3" max="3" width="22" hidden="0" customWidth="1"/>
    <x:col min="4" max="4" width="28" hidden="0" customWidth="1"/>
    <x:col min="5" max="5" width="22" hidden="0" customWidth="1"/>
    <x:col min="6" max="6" width="34" hidden="0" customWidth="1"/>
    <x:col min="7" max="7" width="16" hidden="0" customWidth="1"/>
  </x:cols>
  <x:sheetData>
    <x:row r="1" ht="24" customHeight="1">
      <x:c r="A1" s="242" t="str">
        <x:v>PART II – STATEMENT OF PROFIT AND LOSS</x:v>
      </x:c>
      <x:c r="B1" s="284"/>
      <x:c r="C1" s="284"/>
      <x:c r="D1" s="284"/>
      <x:c r="E1" s="284"/>
      <x:c r="F1" s="284"/>
      <x:c r="G1" s="284"/>
    </x:row>
    <x:row r="2">
      <x:c r="A2" s="243" t="n">
        <x:f>'Basic Info'!C13</x:f>
        <x:v>0</x:v>
      </x:c>
      <x:c r="B2" s="285"/>
      <x:c r="C2" s="285"/>
      <x:c r="D2" s="285"/>
      <x:c r="E2" s="285"/>
      <x:c r="F2" s="285"/>
      <x:c r="G2" s="285"/>
    </x:row>
    <x:row r="3">
      <x:c r="A3" s="245" t="str">
        <x:f>"Statement of Profit and Loss for the period ended "&amp;TEXT('Basic Info'!C8,"dd-mmm-yyyy")</x:f>
        <x:v>Statement of Profit and Loss for the period ended </x:v>
      </x:c>
      <x:c r="B3" s="286"/>
      <x:c r="C3" s="286"/>
      <x:c r="D3" s="286"/>
      <x:c r="E3" s="286"/>
      <x:c r="F3" s="286"/>
      <x:c r="G3" s="285"/>
    </x:row>
    <x:row r="4">
      <x:c r="A4" s="231" t="str">
        <x:f>"(Rupees in "&amp;'Basic Info'!C17&amp;")"</x:f>
        <x:v>(Rupees in Default)</x:v>
      </x:c>
      <x:c r="B4" s="287"/>
      <x:c r="C4" s="287"/>
      <x:c r="D4" s="287"/>
      <x:c r="E4" s="287"/>
      <x:c r="F4" s="287"/>
      <x:c r="G4" s="287"/>
    </x:row>
    <x:row r="5" ht="30" customHeight="1">
      <x:c r="A5" s="247"/>
      <x:c r="B5" s="288" t="str">
        <x:v>Particulars</x:v>
      </x:c>
      <x:c r="C5" s="288" t="str">
        <x:v>Note No.</x:v>
      </x:c>
      <x:c r="D5" s="288" t="str">
        <x:v>Figures for the current reporting period</x:v>
      </x:c>
      <x:c r="E5" s="236" t="str">
        <x:v>Figures for the previous reporting period</x:v>
      </x:c>
      <x:c r="F5" s="236"/>
      <x:c r="G5" s="236"/>
    </x:row>
    <x:row r="6">
      <x:c r="A6" s="248"/>
      <x:c r="B6" s="289" t="str">
        <x:v>1</x:v>
      </x:c>
      <x:c r="C6" s="289" t="str">
        <x:v>2</x:v>
      </x:c>
      <x:c r="D6" s="289" t="str">
        <x:v>3</x:v>
      </x:c>
      <x:c r="E6" s="236" t="str">
        <x:v>4</x:v>
      </x:c>
      <x:c r="F6" s="236"/>
      <x:c r="G6" s="236"/>
    </x:row>
    <x:row r="7">
      <x:c r="A7" s="248"/>
      <x:c r="B7" s="289" t="str">
        <x:v>Revenue from operations</x:v>
      </x:c>
      <x:c r="C7" s="289"/>
      <x:c r="D7" s="289"/>
      <x:c r="E7" s="236"/>
      <x:c r="F7" s="236"/>
      <x:c r="G7" s="236"/>
    </x:row>
    <x:row r="8">
      <x:c r="A8" s="248"/>
      <x:c r="B8" s="289" t="str">
        <x:v>(i) Interest income</x:v>
      </x:c>
      <x:c r="C8" s="289" t="n">
        <x:v>36</x:v>
      </x:c>
      <x:c r="D8" s="289"/>
      <x:c r="E8" s="236"/>
      <x:c r="F8" s="236"/>
      <x:c r="G8" s="236"/>
    </x:row>
    <x:row r="9">
      <x:c r="A9" s="248"/>
      <x:c r="B9" s="289" t="str">
        <x:v>(ii) Dividend income</x:v>
      </x:c>
      <x:c r="C9" s="289" t="n">
        <x:v>37</x:v>
      </x:c>
      <x:c r="D9" s="289"/>
      <x:c r="E9" s="236"/>
      <x:c r="F9" s="236"/>
      <x:c r="G9" s="236"/>
    </x:row>
    <x:row r="10">
      <x:c r="A10" s="248"/>
      <x:c r="B10" s="289" t="str">
        <x:v>(iii) Rental income</x:v>
      </x:c>
      <x:c r="C10" s="289" t="n">
        <x:v>38</x:v>
      </x:c>
      <x:c r="D10" s="289"/>
      <x:c r="E10" s="236"/>
      <x:c r="F10" s="236"/>
      <x:c r="G10" s="236"/>
    </x:row>
    <x:row r="11">
      <x:c r="A11" s="248"/>
      <x:c r="B11" s="289" t="str">
        <x:v>(iv) Fees and commission income</x:v>
      </x:c>
      <x:c r="C11" s="289" t="n">
        <x:v>39</x:v>
      </x:c>
      <x:c r="D11" s="289"/>
      <x:c r="E11" s="236"/>
      <x:c r="F11" s="236"/>
      <x:c r="G11" s="236"/>
    </x:row>
    <x:row r="12">
      <x:c r="A12" s="248"/>
      <x:c r="B12" s="289" t="str">
        <x:v>(v) Net gain on fair value changes</x:v>
      </x:c>
      <x:c r="C12" s="289" t="n">
        <x:v>40</x:v>
      </x:c>
      <x:c r="D12" s="289"/>
      <x:c r="E12" s="236"/>
      <x:c r="F12" s="236"/>
      <x:c r="G12" s="236"/>
    </x:row>
    <x:row r="13">
      <x:c r="A13" s="248"/>
      <x:c r="B13" s="289" t="str">
        <x:v>(vi) Net gain on de-recognition of financial instruments under amortised cost category</x:v>
      </x:c>
      <x:c r="C13" s="289" t="n">
        <x:v>41</x:v>
      </x:c>
      <x:c r="D13" s="289"/>
      <x:c r="E13" s="236"/>
      <x:c r="F13" s="236"/>
      <x:c r="G13" s="236"/>
    </x:row>
    <x:row r="14">
      <x:c r="A14" s="248"/>
      <x:c r="B14" s="289" t="str">
        <x:v>(vii) Sale of products</x:v>
      </x:c>
      <x:c r="C14" s="289" t="n">
        <x:v>42</x:v>
      </x:c>
      <x:c r="D14" s="289"/>
      <x:c r="E14" s="236"/>
      <x:c r="F14" s="236"/>
      <x:c r="G14" s="236"/>
    </x:row>
    <x:row r="15">
      <x:c r="A15" s="248"/>
      <x:c r="B15" s="289" t="str">
        <x:v>(viii) Sale of services</x:v>
      </x:c>
      <x:c r="C15" s="289" t="n">
        <x:v>43</x:v>
      </x:c>
      <x:c r="D15" s="289"/>
      <x:c r="E15" s="236"/>
      <x:c r="F15" s="236"/>
      <x:c r="G15" s="236"/>
    </x:row>
    <x:row r="16">
      <x:c r="A16" s="248"/>
      <x:c r="B16" s="289" t="str">
        <x:v>(ix) Other operating revenue</x:v>
      </x:c>
      <x:c r="C16" s="289" t="n">
        <x:v>44</x:v>
      </x:c>
      <x:c r="D16" s="289"/>
      <x:c r="E16" s="236"/>
      <x:c r="F16" s="236"/>
      <x:c r="G16" s="236"/>
    </x:row>
    <x:row r="17">
      <x:c r="A17" s="248" t="str">
        <x:v>I.</x:v>
      </x:c>
      <x:c r="B17" s="289" t="str">
        <x:v>Total Revenue from operations</x:v>
      </x:c>
      <x:c r="C17" s="289"/>
      <x:c r="D17" s="289"/>
      <x:c r="E17" s="236"/>
      <x:c r="F17" s="236"/>
      <x:c r="G17" s="236"/>
    </x:row>
    <x:row r="18">
      <x:c r="A18" s="248" t="str">
        <x:v>II.</x:v>
      </x:c>
      <x:c r="B18" s="289" t="str">
        <x:v>Other income</x:v>
      </x:c>
      <x:c r="C18" s="289" t="n">
        <x:v>45</x:v>
      </x:c>
      <x:c r="D18" s="289"/>
      <x:c r="E18" s="236"/>
      <x:c r="F18" s="236"/>
      <x:c r="G18" s="236"/>
    </x:row>
    <x:row r="19">
      <x:c r="A19" s="248" t="str">
        <x:v>III.</x:v>
      </x:c>
      <x:c r="B19" s="289" t="str">
        <x:v>Total Income (I+II)</x:v>
      </x:c>
      <x:c r="C19" s="289"/>
      <x:c r="D19" s="289"/>
      <x:c r="E19" s="236"/>
      <x:c r="F19" s="236"/>
      <x:c r="G19" s="236"/>
    </x:row>
    <x:row r="20">
      <x:c r="A20" s="248"/>
      <x:c r="B20" s="289" t="str">
        <x:v>Expenses</x:v>
      </x:c>
      <x:c r="C20" s="289"/>
      <x:c r="D20" s="289"/>
      <x:c r="E20" s="236"/>
      <x:c r="F20" s="236"/>
      <x:c r="G20" s="236"/>
    </x:row>
    <x:row r="21">
      <x:c r="A21" s="248"/>
      <x:c r="B21" s="289" t="str">
        <x:v>(i) Finance costs</x:v>
      </x:c>
      <x:c r="C21" s="289" t="n">
        <x:v>46</x:v>
      </x:c>
      <x:c r="D21" s="289"/>
      <x:c r="E21" s="236"/>
      <x:c r="F21" s="236"/>
      <x:c r="G21" s="236"/>
    </x:row>
    <x:row r="22">
      <x:c r="A22" s="248"/>
      <x:c r="B22" s="289" t="str">
        <x:v>(ii) Fees and commission expense</x:v>
      </x:c>
      <x:c r="C22" s="289" t="n">
        <x:v>47</x:v>
      </x:c>
      <x:c r="D22" s="289"/>
      <x:c r="E22" s="236"/>
      <x:c r="F22" s="236"/>
      <x:c r="G22" s="236"/>
    </x:row>
    <x:row r="23">
      <x:c r="A23" s="248"/>
      <x:c r="B23" s="289" t="str">
        <x:v>(iii) Net loss on fair value changes</x:v>
      </x:c>
      <x:c r="C23" s="289" t="n">
        <x:v>48</x:v>
      </x:c>
      <x:c r="D23" s="289"/>
      <x:c r="E23" s="236"/>
      <x:c r="F23" s="236"/>
      <x:c r="G23" s="236"/>
    </x:row>
    <x:row r="24">
      <x:c r="A24" s="248"/>
      <x:c r="B24" s="289" t="str">
        <x:v>(iv) Net loss on de-recognition of financial instruments under amortised cost category</x:v>
      </x:c>
      <x:c r="C24" s="289" t="n">
        <x:v>49</x:v>
      </x:c>
      <x:c r="D24" s="289"/>
      <x:c r="E24" s="236"/>
      <x:c r="F24" s="236"/>
      <x:c r="G24" s="236"/>
    </x:row>
    <x:row r="25">
      <x:c r="A25" s="248"/>
      <x:c r="B25" s="289" t="str">
        <x:v>(v) Impairment on financial instruments</x:v>
      </x:c>
      <x:c r="C25" s="289" t="n">
        <x:v>50</x:v>
      </x:c>
      <x:c r="D25" s="289"/>
      <x:c r="E25" s="236"/>
      <x:c r="F25" s="236"/>
      <x:c r="G25" s="236"/>
    </x:row>
    <x:row r="26">
      <x:c r="A26" s="248"/>
      <x:c r="B26" s="289" t="str">
        <x:v>(vi) Cost of materials consumed</x:v>
      </x:c>
      <x:c r="C26" s="289" t="n">
        <x:v>51</x:v>
      </x:c>
      <x:c r="D26" s="289"/>
      <x:c r="E26" s="236"/>
      <x:c r="F26" s="236"/>
      <x:c r="G26" s="236"/>
    </x:row>
    <x:row r="27">
      <x:c r="A27" s="248"/>
      <x:c r="B27" s="289" t="str">
        <x:v>(vii) Purchases of Stock-in-Trade</x:v>
      </x:c>
      <x:c r="C27" s="289" t="n">
        <x:v>52</x:v>
      </x:c>
      <x:c r="D27" s="289"/>
      <x:c r="E27" s="236"/>
      <x:c r="F27" s="236"/>
      <x:c r="G27" s="236"/>
    </x:row>
    <x:row r="28">
      <x:c r="A28" s="248"/>
      <x:c r="B28" s="289" t="str">
        <x:v>(viii) Changes in inventories of finished goods, Stock-in-Trade and work-in-progress</x:v>
      </x:c>
      <x:c r="C28" s="289" t="n">
        <x:v>53</x:v>
      </x:c>
      <x:c r="D28" s="289"/>
      <x:c r="E28" s="236"/>
      <x:c r="F28" s="236"/>
      <x:c r="G28" s="236"/>
    </x:row>
    <x:row r="29">
      <x:c r="A29" s="248"/>
      <x:c r="B29" s="289" t="str">
        <x:v>(ix) Employee benefits expense</x:v>
      </x:c>
      <x:c r="C29" s="289" t="n">
        <x:v>54</x:v>
      </x:c>
      <x:c r="D29" s="289"/>
      <x:c r="E29" s="236"/>
      <x:c r="F29" s="236"/>
      <x:c r="G29" s="236"/>
    </x:row>
    <x:row r="30">
      <x:c r="A30" s="248"/>
      <x:c r="B30" s="289" t="str">
        <x:v>(x) Depreciation, amortisation and impairment</x:v>
      </x:c>
      <x:c r="C30" s="289" t="n">
        <x:v>55</x:v>
      </x:c>
      <x:c r="D30" s="289"/>
      <x:c r="E30" s="236"/>
      <x:c r="F30" s="236"/>
      <x:c r="G30" s="236"/>
    </x:row>
    <x:row r="31">
      <x:c r="A31" s="248"/>
      <x:c r="B31" s="289" t="str">
        <x:v>(xi) Other expenses</x:v>
      </x:c>
      <x:c r="C31" s="289" t="n">
        <x:v>56</x:v>
      </x:c>
      <x:c r="D31" s="289"/>
      <x:c r="E31" s="236"/>
      <x:c r="F31" s="236"/>
      <x:c r="G31" s="236"/>
    </x:row>
    <x:row r="32">
      <x:c r="A32" s="248" t="str">
        <x:v>IV.</x:v>
      </x:c>
      <x:c r="B32" s="289" t="str">
        <x:v>Total Expenses</x:v>
      </x:c>
      <x:c r="C32" s="289"/>
      <x:c r="D32" s="289"/>
      <x:c r="E32" s="236"/>
      <x:c r="F32" s="236"/>
      <x:c r="G32" s="236"/>
    </x:row>
    <x:row r="33">
      <x:c r="A33" s="248" t="str">
        <x:v>V.</x:v>
      </x:c>
      <x:c r="B33" s="289" t="str">
        <x:v>Profit/(Loss) before exceptional items and tax (III-IV)</x:v>
      </x:c>
      <x:c r="C33" s="289"/>
      <x:c r="D33" s="289"/>
      <x:c r="E33" s="236"/>
      <x:c r="F33" s="236"/>
      <x:c r="G33" s="236"/>
    </x:row>
    <x:row r="34">
      <x:c r="A34" s="248" t="str">
        <x:v>VI.</x:v>
      </x:c>
      <x:c r="B34" s="289" t="str">
        <x:v>Exceptional items</x:v>
      </x:c>
      <x:c r="C34" s="289" t="n">
        <x:v>57</x:v>
      </x:c>
      <x:c r="D34" s="289"/>
      <x:c r="E34" s="236"/>
      <x:c r="F34" s="236"/>
      <x:c r="G34" s="236"/>
    </x:row>
    <x:row r="35">
      <x:c r="A35" s="248" t="str">
        <x:v>VII.</x:v>
      </x:c>
      <x:c r="B35" s="289" t="str">
        <x:v>Profit/(Loss) before tax (V-VI)</x:v>
      </x:c>
      <x:c r="C35" s="289"/>
      <x:c r="D35" s="289"/>
      <x:c r="E35" s="236"/>
      <x:c r="F35" s="236"/>
      <x:c r="G35" s="236"/>
    </x:row>
    <x:row r="36">
      <x:c r="A36" s="248" t="str">
        <x:v>VIII.</x:v>
      </x:c>
      <x:c r="B36" s="289" t="str">
        <x:v>Tax expense:</x:v>
      </x:c>
      <x:c r="C36" s="289" t="n">
        <x:v>58</x:v>
      </x:c>
      <x:c r="D36" s="289"/>
      <x:c r="E36" s="236"/>
      <x:c r="F36" s="236"/>
      <x:c r="G36" s="236"/>
    </x:row>
    <x:row r="37">
      <x:c r="A37" s="248"/>
      <x:c r="B37" s="289" t="str">
        <x:v>(1) Current tax</x:v>
      </x:c>
      <x:c r="C37" s="289"/>
      <x:c r="D37" s="289"/>
      <x:c r="E37" s="236"/>
      <x:c r="F37" s="236"/>
      <x:c r="G37" s="236"/>
    </x:row>
    <x:row r="38">
      <x:c r="A38" s="248"/>
      <x:c r="B38" s="289" t="str">
        <x:v>(2) Deferred tax</x:v>
      </x:c>
      <x:c r="C38" s="289"/>
      <x:c r="D38" s="289"/>
      <x:c r="E38" s="236"/>
      <x:c r="F38" s="236"/>
      <x:c r="G38" s="236"/>
    </x:row>
    <x:row r="39">
      <x:c r="A39" s="248" t="str">
        <x:v>IX.</x:v>
      </x:c>
      <x:c r="B39" s="289" t="str">
        <x:v>Profit/(Loss) for the period from continuing operations (VII-VIII)</x:v>
      </x:c>
      <x:c r="C39" s="289"/>
      <x:c r="D39" s="289"/>
      <x:c r="E39" s="236"/>
      <x:c r="F39" s="236"/>
      <x:c r="G39" s="236"/>
    </x:row>
    <x:row r="40">
      <x:c r="A40" s="248" t="str">
        <x:v>X.</x:v>
      </x:c>
      <x:c r="B40" s="289" t="str">
        <x:v>Profit/(Loss) from discontinued operations</x:v>
      </x:c>
      <x:c r="C40" s="289" t="n">
        <x:v>59</x:v>
      </x:c>
      <x:c r="D40" s="289"/>
      <x:c r="E40" s="236"/>
      <x:c r="F40" s="236"/>
      <x:c r="G40" s="236"/>
    </x:row>
    <x:row r="41">
      <x:c r="A41" s="234" t="str">
        <x:v>XI.</x:v>
      </x:c>
      <x:c r="B41" s="236" t="str">
        <x:v>Tax expense of discontinued operations</x:v>
      </x:c>
      <x:c r="C41" s="236"/>
      <x:c r="D41" s="236"/>
      <x:c r="E41" s="236"/>
      <x:c r="F41" s="236"/>
      <x:c r="G41" s="236"/>
    </x:row>
    <x:row r="42">
      <x:c r="A42" s="234" t="str">
        <x:v>XII.</x:v>
      </x:c>
      <x:c r="B42" s="236" t="str">
        <x:v>Profit/(Loss) from discontinued operations after tax (X-XI)</x:v>
      </x:c>
      <x:c r="C42" s="236"/>
      <x:c r="D42" s="236"/>
      <x:c r="E42" s="236"/>
      <x:c r="F42" s="236"/>
      <x:c r="G42" s="236"/>
    </x:row>
    <x:row r="43">
      <x:c r="A43" s="279" t="str">
        <x:v>XIII.</x:v>
      </x:c>
      <x:c r="B43" s="290" t="str">
        <x:v>Profit/(Loss) for the period (IX+XII)</x:v>
      </x:c>
      <x:c r="C43" s="290"/>
      <x:c r="D43" s="290"/>
      <x:c r="E43" s="290"/>
      <x:c r="F43" s="290"/>
      <x:c r="G43" s="290"/>
    </x:row>
    <x:row r="44">
      <x:c r="A44" s="255" t="str">
        <x:v>XIV.</x:v>
      </x:c>
      <x:c r="B44" s="291" t="str">
        <x:v>Other Comprehensive Income</x:v>
      </x:c>
      <x:c r="C44" s="291" t="n">
        <x:v>60</x:v>
      </x:c>
      <x:c r="D44" s="291"/>
      <x:c r="E44" s="291"/>
      <x:c r="F44" s="291"/>
      <x:c r="G44" s="291"/>
    </x:row>
    <x:row r="45">
      <x:c r="A45" s="248"/>
      <x:c r="B45" s="261" t="str">
        <x:v>A. Items that will not be reclassified to profit or loss</x:v>
      </x:c>
      <x:c r="C45" s="261"/>
      <x:c r="D45" s="261"/>
      <x:c r="E45" s="261"/>
      <x:c r="F45" s="261"/>
      <x:c r="G45" s="261"/>
    </x:row>
    <x:row r="46">
      <x:c r="A46" s="248"/>
      <x:c r="B46" s="261" t="str">
        <x:v>Income tax relating to items that will not be reclassified to profit or loss</x:v>
      </x:c>
      <x:c r="C46" s="261"/>
      <x:c r="D46" s="261"/>
      <x:c r="E46" s="261"/>
      <x:c r="F46" s="261"/>
      <x:c r="G46" s="261"/>
    </x:row>
    <x:row r="47">
      <x:c r="A47" s="248"/>
      <x:c r="B47" s="261" t="str">
        <x:v>Subtotal (A)</x:v>
      </x:c>
      <x:c r="C47" s="261"/>
      <x:c r="D47" s="261"/>
      <x:c r="E47" s="261"/>
      <x:c r="F47" s="261"/>
      <x:c r="G47" s="261"/>
    </x:row>
    <x:row r="48">
      <x:c r="A48" s="248"/>
      <x:c r="B48" s="261" t="str">
        <x:v>B. Items that will be reclassified to profit or loss</x:v>
      </x:c>
      <x:c r="C48" s="261"/>
      <x:c r="D48" s="261"/>
      <x:c r="E48" s="261"/>
      <x:c r="F48" s="261"/>
      <x:c r="G48" s="261"/>
    </x:row>
    <x:row r="49">
      <x:c r="A49" s="276"/>
      <x:c r="B49" s="277" t="str">
        <x:v>Income tax relating to items that will be reclassified to profit or loss</x:v>
      </x:c>
      <x:c r="C49" s="277"/>
      <x:c r="D49" s="277"/>
      <x:c r="E49" s="277"/>
      <x:c r="F49" s="277"/>
      <x:c r="G49" s="277"/>
    </x:row>
    <x:row r="50">
      <x:c r="A50" s="279"/>
      <x:c r="B50" s="290" t="str">
        <x:v>Subtotal (B)</x:v>
      </x:c>
      <x:c r="C50" s="290"/>
      <x:c r="D50" s="290"/>
      <x:c r="E50" s="290"/>
      <x:c r="F50" s="290"/>
      <x:c r="G50" s="290"/>
    </x:row>
    <x:row r="51">
      <x:c r="A51" s="255"/>
      <x:c r="B51" s="291" t="str">
        <x:v>Other Comprehensive Income (A+B)</x:v>
      </x:c>
      <x:c r="C51" s="291"/>
      <x:c r="D51" s="291"/>
      <x:c r="E51" s="291"/>
      <x:c r="F51" s="291"/>
      <x:c r="G51" s="291"/>
    </x:row>
    <x:row r="52">
      <x:c r="A52" s="248" t="str">
        <x:v>XV.</x:v>
      </x:c>
      <x:c r="B52" s="261" t="str">
        <x:v>Total Comprehensive Income for the period (XIII+XIV)</x:v>
      </x:c>
      <x:c r="C52" s="261"/>
      <x:c r="D52" s="261"/>
      <x:c r="E52" s="261"/>
      <x:c r="F52" s="261"/>
      <x:c r="G52" s="261"/>
    </x:row>
    <x:row r="53">
      <x:c r="A53" s="248" t="str">
        <x:v>XVI.</x:v>
      </x:c>
      <x:c r="B53" s="261" t="str">
        <x:v>Earnings per equity share – continuing operations</x:v>
      </x:c>
      <x:c r="C53" s="261" t="n">
        <x:v>61</x:v>
      </x:c>
      <x:c r="D53" s="261"/>
      <x:c r="E53" s="261"/>
      <x:c r="F53" s="261"/>
      <x:c r="G53" s="261"/>
    </x:row>
    <x:row r="54">
      <x:c r="A54" s="248"/>
      <x:c r="B54" s="261" t="str">
        <x:v>Basic</x:v>
      </x:c>
      <x:c r="C54" s="261"/>
      <x:c r="D54" s="261"/>
      <x:c r="E54" s="261"/>
      <x:c r="F54" s="261"/>
      <x:c r="G54" s="261"/>
    </x:row>
    <x:row r="55">
      <x:c r="A55" s="248"/>
      <x:c r="B55" s="261" t="str">
        <x:v>Diluted</x:v>
      </x:c>
      <x:c r="C55" s="261"/>
      <x:c r="D55" s="261"/>
      <x:c r="E55" s="261"/>
      <x:c r="F55" s="261"/>
      <x:c r="G55" s="261"/>
    </x:row>
    <x:row r="56">
      <x:c r="A56" s="276" t="str">
        <x:v>XVII.</x:v>
      </x:c>
      <x:c r="B56" s="277" t="str">
        <x:v>Earnings per equity share – discontinued operations</x:v>
      </x:c>
      <x:c r="C56" s="277"/>
      <x:c r="D56" s="277"/>
      <x:c r="E56" s="277"/>
      <x:c r="F56" s="277"/>
      <x:c r="G56" s="277"/>
    </x:row>
    <x:row r="57">
      <x:c r="A57" s="279"/>
      <x:c r="B57" s="290" t="str">
        <x:v>Basic</x:v>
      </x:c>
      <x:c r="C57" s="290"/>
      <x:c r="D57" s="290"/>
      <x:c r="E57" s="290"/>
      <x:c r="F57" s="290"/>
      <x:c r="G57" s="290"/>
    </x:row>
    <x:row r="58">
      <x:c r="A58" s="255"/>
      <x:c r="B58" s="291" t="str">
        <x:v>Diluted</x:v>
      </x:c>
      <x:c r="C58" s="291"/>
      <x:c r="D58" s="291"/>
      <x:c r="E58" s="291"/>
      <x:c r="F58" s="291"/>
      <x:c r="G58" s="291"/>
    </x:row>
    <x:row r="59">
      <x:c r="A59" s="248" t="str">
        <x:v>XVIII.</x:v>
      </x:c>
      <x:c r="B59" s="261" t="str">
        <x:v>Earnings per equity share – continuing and discontinued operations</x:v>
      </x:c>
      <x:c r="C59" s="261"/>
      <x:c r="D59" s="261"/>
      <x:c r="E59" s="261"/>
      <x:c r="F59" s="261"/>
      <x:c r="G59" s="261"/>
    </x:row>
    <x:row r="60">
      <x:c r="A60" s="248"/>
      <x:c r="B60" s="261" t="str">
        <x:v>Basic</x:v>
      </x:c>
      <x:c r="C60" s="261"/>
      <x:c r="D60" s="261"/>
      <x:c r="E60" s="261"/>
      <x:c r="F60" s="261"/>
      <x:c r="G60" s="261"/>
    </x:row>
    <x:row r="61">
      <x:c r="A61" s="248"/>
      <x:c r="B61" s="261" t="str">
        <x:v>Diluted</x:v>
      </x:c>
      <x:c r="C61" s="261"/>
      <x:c r="D61" s="261"/>
      <x:c r="E61" s="261"/>
      <x:c r="F61" s="261"/>
      <x:c r="G61" s="261"/>
    </x:row>
    <x:row r="62">
      <x:c r="A62" s="276" t="str">
        <x:v>See accompanying notes to the financial statements</x:v>
      </x:c>
      <x:c r="B62" s="277"/>
      <x:c r="C62" s="277"/>
      <x:c r="D62" s="277"/>
      <x:c r="E62" s="277"/>
      <x:c r="F62" s="277"/>
      <x:c r="G62" s="277"/>
    </x:row>
    <x:row r="63">
      <x:c r="A63" s="279"/>
      <x:c r="B63" s="290"/>
      <x:c r="C63" s="290"/>
      <x:c r="D63" s="290"/>
      <x:c r="E63" s="290"/>
      <x:c r="F63" s="290"/>
      <x:c r="G63" s="290"/>
    </x:row>
    <x:row r="64">
      <x:c r="A64" s="255"/>
      <x:c r="B64" s="291"/>
      <x:c r="C64" s="291"/>
      <x:c r="D64" s="291"/>
      <x:c r="E64" s="291"/>
      <x:c r="F64" s="291"/>
      <x:c r="G64" s="291"/>
    </x:row>
    <x:row r="65">
      <x:c r="A65" s="248"/>
      <x:c r="B65" s="261"/>
      <x:c r="C65" s="261"/>
      <x:c r="D65" s="261"/>
      <x:c r="E65" s="261"/>
      <x:c r="F65" s="261"/>
      <x:c r="G65" s="261"/>
    </x:row>
    <x:row r="66">
      <x:c r="A66" s="248"/>
      <x:c r="B66" s="261"/>
      <x:c r="C66" s="261"/>
      <x:c r="D66" s="261"/>
      <x:c r="E66" s="261"/>
      <x:c r="F66" s="261"/>
      <x:c r="G66" s="261"/>
    </x:row>
    <x:row r="67">
      <x:c r="A67" s="248" t="str">
        <x:v>Schedule III Division III — Notes to Balance Sheet</x:v>
      </x:c>
      <x:c r="B67" s="261"/>
      <x:c r="C67" s="261"/>
      <x:c r="D67" s="261"/>
      <x:c r="E67" s="261"/>
      <x:c r="F67" s="261"/>
      <x:c r="G67" s="261" t="str">
        <x:v>DIVISION III GROUP</x:v>
      </x:c>
    </x:row>
    <x:row r="68">
      <x:c r="A68" s="248" t="n">
        <x:f>'Basic Info'!C13</x:f>
        <x:v>0</x:v>
      </x:c>
      <x:c r="B68" s="261"/>
      <x:c r="C68" s="261"/>
      <x:c r="D68" s="261"/>
      <x:c r="E68" s="261"/>
      <x:c r="F68" s="261"/>
      <x:c r="G68" s="261"/>
    </x:row>
    <x:row r="69">
      <x:c r="A69" s="248" t="str">
        <x:f>"Notes forming part of the Financial Statements for the year ended "&amp;TEXT('Basic Info'!C8,"dd-mmm-yyyy")</x:f>
        <x:v>Notes forming part of the Financial Statements for the year ended </x:v>
      </x:c>
      <x:c r="B69" s="261"/>
      <x:c r="C69" s="261"/>
      <x:c r="D69" s="261"/>
      <x:c r="E69" s="261"/>
      <x:c r="F69" s="261"/>
      <x:c r="G69" s="261"/>
    </x:row>
    <x:row r="70">
      <x:c r="A70" s="276"/>
      <x:c r="B70" s="277"/>
      <x:c r="C70" s="277"/>
      <x:c r="D70" s="277"/>
      <x:c r="E70" s="277"/>
      <x:c r="F70" s="277"/>
      <x:c r="G70" s="277"/>
    </x:row>
    <x:row r="71">
      <x:c r="A71" s="279" t="str">
        <x:v>Note No.</x:v>
      </x:c>
      <x:c r="B71" s="290" t="str">
        <x:v>Particulars</x:v>
      </x:c>
      <x:c r="C71" s="290" t="str">
        <x:v>Balance Sheet Section</x:v>
      </x:c>
      <x:c r="D71" s="290" t="str">
        <x:v>Classification Basis</x:v>
      </x:c>
      <x:c r="E71" s="290"/>
      <x:c r="F71" s="290"/>
      <x:c r="G71" s="290"/>
    </x:row>
    <x:row r="72">
      <x:c r="A72" s="255" t="n">
        <x:v>1</x:v>
      </x:c>
      <x:c r="B72" s="291" t="str">
        <x:v>Cash and cash equivalents</x:v>
      </x:c>
      <x:c r="C72" s="291" t="str">
        <x:v>Financial assets</x:v>
      </x:c>
      <x:c r="D72" s="291" t="str">
        <x:v>Financial / non-financial</x:v>
      </x:c>
      <x:c r="E72" s="291"/>
      <x:c r="F72" s="291"/>
      <x:c r="G72" s="291"/>
    </x:row>
    <x:row r="73">
      <x:c r="A73" s="248" t="n">
        <x:v>2</x:v>
      </x:c>
      <x:c r="B73" s="261" t="str">
        <x:v>Bank balance other than cash and cash equivalents</x:v>
      </x:c>
      <x:c r="C73" s="261" t="str">
        <x:v>Financial assets</x:v>
      </x:c>
      <x:c r="D73" s="261" t="str">
        <x:v>Financial / non-financial</x:v>
      </x:c>
      <x:c r="E73" s="261"/>
      <x:c r="F73" s="261"/>
      <x:c r="G73" s="261"/>
    </x:row>
    <x:row r="74">
      <x:c r="A74" s="248" t="n">
        <x:v>3</x:v>
      </x:c>
      <x:c r="B74" s="261" t="str">
        <x:v>Derivative financial instruments — Financial assets</x:v>
      </x:c>
      <x:c r="C74" s="261" t="str">
        <x:v>Financial assets</x:v>
      </x:c>
      <x:c r="D74" s="261" t="str">
        <x:v>Financial / non-financial</x:v>
      </x:c>
      <x:c r="E74" s="261"/>
      <x:c r="F74" s="261"/>
      <x:c r="G74" s="261"/>
    </x:row>
    <x:row r="75">
      <x:c r="A75" s="248" t="n">
        <x:v>4</x:v>
      </x:c>
      <x:c r="B75" s="261" t="str">
        <x:v>Trade receivables</x:v>
      </x:c>
      <x:c r="C75" s="261" t="str">
        <x:v>Financial assets</x:v>
      </x:c>
      <x:c r="D75" s="261" t="str">
        <x:v>Financial / non-financial</x:v>
      </x:c>
      <x:c r="E75" s="261"/>
      <x:c r="F75" s="261"/>
      <x:c r="G75" s="261"/>
    </x:row>
    <x:row r="76">
      <x:c r="A76" s="248" t="n">
        <x:v>5</x:v>
      </x:c>
      <x:c r="B76" s="261" t="str">
        <x:v>Other receivables</x:v>
      </x:c>
      <x:c r="C76" s="261" t="str">
        <x:v>Financial assets</x:v>
      </x:c>
      <x:c r="D76" s="261" t="str">
        <x:v>Financial / non-financial</x:v>
      </x:c>
      <x:c r="E76" s="261"/>
      <x:c r="F76" s="261"/>
      <x:c r="G76" s="261"/>
    </x:row>
    <x:row r="77">
      <x:c r="A77" s="276" t="n">
        <x:v>6</x:v>
      </x:c>
      <x:c r="B77" s="277" t="str">
        <x:v>Loans</x:v>
      </x:c>
      <x:c r="C77" s="277" t="str">
        <x:v>Financial assets</x:v>
      </x:c>
      <x:c r="D77" s="277" t="str">
        <x:v>Financial / non-financial</x:v>
      </x:c>
      <x:c r="E77" s="277"/>
      <x:c r="F77" s="277"/>
      <x:c r="G77" s="277"/>
    </x:row>
    <x:row r="78">
      <x:c r="A78" s="279" t="n">
        <x:v>7</x:v>
      </x:c>
      <x:c r="B78" s="290" t="str">
        <x:v>Investments</x:v>
      </x:c>
      <x:c r="C78" s="290" t="str">
        <x:v>Financial assets</x:v>
      </x:c>
      <x:c r="D78" s="290" t="str">
        <x:v>Financial / non-financial</x:v>
      </x:c>
      <x:c r="E78" s="290"/>
      <x:c r="F78" s="290"/>
      <x:c r="G78" s="290"/>
    </x:row>
    <x:row r="79">
      <x:c r="A79" s="255" t="n">
        <x:v>8</x:v>
      </x:c>
      <x:c r="B79" s="291" t="str">
        <x:v>Other financial assets (to be specified)</x:v>
      </x:c>
      <x:c r="C79" s="291" t="str">
        <x:v>Financial assets</x:v>
      </x:c>
      <x:c r="D79" s="291" t="str">
        <x:v>Financial / non-financial</x:v>
      </x:c>
      <x:c r="E79" s="291"/>
      <x:c r="F79" s="291"/>
      <x:c r="G79" s="291"/>
    </x:row>
    <x:row r="80">
      <x:c r="A80" s="248" t="n">
        <x:v>9</x:v>
      </x:c>
      <x:c r="B80" s="261" t="str">
        <x:v>Inventories</x:v>
      </x:c>
      <x:c r="C80" s="261" t="str">
        <x:v>Non-financial assets</x:v>
      </x:c>
      <x:c r="D80" s="261" t="str">
        <x:v>Financial / non-financial</x:v>
      </x:c>
      <x:c r="E80" s="261"/>
      <x:c r="F80" s="261"/>
      <x:c r="G80" s="261"/>
    </x:row>
    <x:row r="81">
      <x:c r="A81" s="248" t="n">
        <x:v>10</x:v>
      </x:c>
      <x:c r="B81" s="261" t="str">
        <x:v>Current tax assets (Net)</x:v>
      </x:c>
      <x:c r="C81" s="261" t="str">
        <x:v>Non-financial assets</x:v>
      </x:c>
      <x:c r="D81" s="261" t="str">
        <x:v>Financial / non-financial</x:v>
      </x:c>
      <x:c r="E81" s="261"/>
      <x:c r="F81" s="261"/>
      <x:c r="G81" s="261"/>
    </x:row>
    <x:row r="82">
      <x:c r="A82" s="248" t="n">
        <x:v>11</x:v>
      </x:c>
      <x:c r="B82" s="261" t="str">
        <x:v>Deferred tax assets (Net)</x:v>
      </x:c>
      <x:c r="C82" s="261" t="str">
        <x:v>Non-financial assets</x:v>
      </x:c>
      <x:c r="D82" s="261" t="str">
        <x:v>Financial / non-financial</x:v>
      </x:c>
      <x:c r="E82" s="261"/>
      <x:c r="F82" s="261"/>
      <x:c r="G82" s="261"/>
    </x:row>
    <x:row r="83">
      <x:c r="A83" s="248" t="n">
        <x:v>12</x:v>
      </x:c>
      <x:c r="B83" s="261" t="str">
        <x:v>Investment property</x:v>
      </x:c>
      <x:c r="C83" s="261" t="str">
        <x:v>Non-financial assets</x:v>
      </x:c>
      <x:c r="D83" s="261" t="str">
        <x:v>Financial / non-financial</x:v>
      </x:c>
      <x:c r="E83" s="261"/>
      <x:c r="F83" s="261"/>
      <x:c r="G83" s="261"/>
    </x:row>
    <x:row r="84">
      <x:c r="A84" s="276" t="n">
        <x:v>13</x:v>
      </x:c>
      <x:c r="B84" s="277" t="str">
        <x:v>Biological assets other than bearer plants</x:v>
      </x:c>
      <x:c r="C84" s="277" t="str">
        <x:v>Non-financial assets</x:v>
      </x:c>
      <x:c r="D84" s="277" t="str">
        <x:v>Financial / non-financial</x:v>
      </x:c>
      <x:c r="E84" s="277"/>
      <x:c r="F84" s="277"/>
      <x:c r="G84" s="277"/>
    </x:row>
    <x:row r="85">
      <x:c r="A85" s="279" t="n">
        <x:v>14</x:v>
      </x:c>
      <x:c r="B85" s="290" t="str">
        <x:v>Property, Plant and Equipment</x:v>
      </x:c>
      <x:c r="C85" s="290" t="str">
        <x:v>Non-financial assets</x:v>
      </x:c>
      <x:c r="D85" s="290" t="str">
        <x:v>Financial / non-financial</x:v>
      </x:c>
      <x:c r="E85" s="290"/>
      <x:c r="F85" s="290"/>
      <x:c r="G85" s="290"/>
    </x:row>
    <x:row r="86">
      <x:c r="A86" s="255" t="n">
        <x:v>15</x:v>
      </x:c>
      <x:c r="B86" s="291" t="str">
        <x:v>Capital work-in-progress</x:v>
      </x:c>
      <x:c r="C86" s="291" t="str">
        <x:v>Non-financial assets</x:v>
      </x:c>
      <x:c r="D86" s="291" t="str">
        <x:v>Financial / non-financial</x:v>
      </x:c>
      <x:c r="E86" s="291"/>
      <x:c r="F86" s="291"/>
      <x:c r="G86" s="291"/>
    </x:row>
    <x:row r="87">
      <x:c r="A87" s="248" t="n">
        <x:v>16</x:v>
      </x:c>
      <x:c r="B87" s="261" t="str">
        <x:v>Intangible assets under development</x:v>
      </x:c>
      <x:c r="C87" s="261" t="str">
        <x:v>Non-financial assets</x:v>
      </x:c>
      <x:c r="D87" s="261" t="str">
        <x:v>Financial / non-financial</x:v>
      </x:c>
      <x:c r="E87" s="261"/>
      <x:c r="F87" s="261"/>
      <x:c r="G87" s="261"/>
    </x:row>
    <x:row r="88">
      <x:c r="A88" s="248" t="n">
        <x:v>17</x:v>
      </x:c>
      <x:c r="B88" s="261" t="str">
        <x:v>Goodwill</x:v>
      </x:c>
      <x:c r="C88" s="261" t="str">
        <x:v>Non-financial assets</x:v>
      </x:c>
      <x:c r="D88" s="261" t="str">
        <x:v>Financial / non-financial</x:v>
      </x:c>
      <x:c r="E88" s="261"/>
      <x:c r="F88" s="261"/>
      <x:c r="G88" s="261"/>
    </x:row>
    <x:row r="89">
      <x:c r="A89" s="248" t="n">
        <x:v>18</x:v>
      </x:c>
      <x:c r="B89" s="261" t="str">
        <x:v>Other intangible assets</x:v>
      </x:c>
      <x:c r="C89" s="261" t="str">
        <x:v>Non-financial assets</x:v>
      </x:c>
      <x:c r="D89" s="261" t="str">
        <x:v>Financial / non-financial</x:v>
      </x:c>
      <x:c r="E89" s="261"/>
      <x:c r="F89" s="261"/>
      <x:c r="G89" s="261"/>
    </x:row>
    <x:row r="90">
      <x:c r="A90" s="248" t="n">
        <x:v>19</x:v>
      </x:c>
      <x:c r="B90" s="261" t="str">
        <x:v>Other non-financial assets (to be specified)</x:v>
      </x:c>
      <x:c r="C90" s="261" t="str">
        <x:v>Non-financial assets</x:v>
      </x:c>
      <x:c r="D90" s="261" t="str">
        <x:v>Financial / non-financial</x:v>
      </x:c>
      <x:c r="E90" s="261"/>
      <x:c r="F90" s="261"/>
      <x:c r="G90" s="261"/>
    </x:row>
    <x:row r="91">
      <x:c r="A91" s="276" t="n">
        <x:v>20</x:v>
      </x:c>
      <x:c r="B91" s="277" t="str">
        <x:v>Derivative financial instruments — Financial liabilities</x:v>
      </x:c>
      <x:c r="C91" s="277" t="str">
        <x:v>Financial liabilities</x:v>
      </x:c>
      <x:c r="D91" s="277" t="str">
        <x:v>Financial / non-financial</x:v>
      </x:c>
      <x:c r="E91" s="277"/>
      <x:c r="F91" s="277"/>
      <x:c r="G91" s="277"/>
    </x:row>
    <x:row r="92">
      <x:c r="A92" s="279" t="n">
        <x:v>21</x:v>
      </x:c>
      <x:c r="B92" s="290" t="str">
        <x:v>Total outstanding dues of micro enterprises and small enterprises — Financial liabilities</x:v>
      </x:c>
      <x:c r="C92" s="290" t="str">
        <x:v>Financial liabilities</x:v>
      </x:c>
      <x:c r="D92" s="290" t="str">
        <x:v>Financial / non-financial</x:v>
      </x:c>
      <x:c r="E92" s="290"/>
      <x:c r="F92" s="290"/>
      <x:c r="G92" s="290"/>
    </x:row>
    <x:row r="93">
      <x:c r="A93" s="255" t="n">
        <x:v>22</x:v>
      </x:c>
      <x:c r="B93" s="291" t="str">
        <x:v>Total outstanding dues of creditors other than micro enterprises and small enterprises — Financial liabilities</x:v>
      </x:c>
      <x:c r="C93" s="291" t="str">
        <x:v>Financial liabilities</x:v>
      </x:c>
      <x:c r="D93" s="291" t="str">
        <x:v>Financial / non-financial</x:v>
      </x:c>
      <x:c r="E93" s="291"/>
      <x:c r="F93" s="291"/>
      <x:c r="G93" s="291"/>
    </x:row>
    <x:row r="94">
      <x:c r="A94" s="248" t="n">
        <x:v>23</x:v>
      </x:c>
      <x:c r="B94" s="261" t="str">
        <x:v>Total outstanding dues of micro enterprises and small enterprises — Financial liabilities</x:v>
      </x:c>
      <x:c r="C94" s="261" t="str">
        <x:v>Financial liabilities</x:v>
      </x:c>
      <x:c r="D94" s="261" t="str">
        <x:v>Financial / non-financial</x:v>
      </x:c>
      <x:c r="E94" s="261"/>
      <x:c r="F94" s="261"/>
      <x:c r="G94" s="261"/>
    </x:row>
    <x:row r="95">
      <x:c r="A95" s="248" t="n">
        <x:v>24</x:v>
      </x:c>
      <x:c r="B95" s="261" t="str">
        <x:v>Total outstanding dues of creditors other than micro enterprises and small enterprises — Financial liabilities</x:v>
      </x:c>
      <x:c r="C95" s="261" t="str">
        <x:v>Financial liabilities</x:v>
      </x:c>
      <x:c r="D95" s="261" t="str">
        <x:v>Financial / non-financial</x:v>
      </x:c>
      <x:c r="E95" s="261"/>
      <x:c r="F95" s="261"/>
      <x:c r="G95" s="261"/>
    </x:row>
    <x:row r="96">
      <x:c r="A96" s="248" t="n">
        <x:v>25</x:v>
      </x:c>
      <x:c r="B96" s="261" t="str">
        <x:v>Debt securities</x:v>
      </x:c>
      <x:c r="C96" s="261" t="str">
        <x:v>Financial liabilities</x:v>
      </x:c>
      <x:c r="D96" s="261" t="str">
        <x:v>Financial / non-financial</x:v>
      </x:c>
      <x:c r="E96" s="261"/>
      <x:c r="F96" s="261"/>
      <x:c r="G96" s="261"/>
    </x:row>
    <x:row r="97">
      <x:c r="A97" s="248" t="n">
        <x:v>26</x:v>
      </x:c>
      <x:c r="B97" s="261" t="str">
        <x:v>Borrowings (other than debt securities)</x:v>
      </x:c>
      <x:c r="C97" s="261" t="str">
        <x:v>Financial liabilities</x:v>
      </x:c>
      <x:c r="D97" s="261" t="str">
        <x:v>Financial / non-financial</x:v>
      </x:c>
      <x:c r="E97" s="261"/>
      <x:c r="F97" s="261"/>
      <x:c r="G97" s="261"/>
    </x:row>
    <x:row r="98">
      <x:c r="A98" s="276" t="n">
        <x:v>27</x:v>
      </x:c>
      <x:c r="B98" s="277" t="str">
        <x:v>Deposits</x:v>
      </x:c>
      <x:c r="C98" s="277" t="str">
        <x:v>Financial liabilities</x:v>
      </x:c>
      <x:c r="D98" s="277" t="str">
        <x:v>Financial / non-financial</x:v>
      </x:c>
      <x:c r="E98" s="277"/>
      <x:c r="F98" s="277"/>
      <x:c r="G98" s="277"/>
    </x:row>
    <x:row r="99">
      <x:c r="A99" s="279" t="n">
        <x:v>28</x:v>
      </x:c>
      <x:c r="B99" s="290" t="str">
        <x:v>Subordinated liabilities</x:v>
      </x:c>
      <x:c r="C99" s="290" t="str">
        <x:v>Financial liabilities</x:v>
      </x:c>
      <x:c r="D99" s="290" t="str">
        <x:v>Financial / non-financial</x:v>
      </x:c>
      <x:c r="E99" s="290"/>
      <x:c r="F99" s="290"/>
      <x:c r="G99" s="290"/>
    </x:row>
    <x:row r="100">
      <x:c r="A100" s="255" t="n">
        <x:v>29</x:v>
      </x:c>
      <x:c r="B100" s="291" t="str">
        <x:v>Other financial liabilities (to be specified)</x:v>
      </x:c>
      <x:c r="C100" s="291" t="str">
        <x:v>Financial liabilities</x:v>
      </x:c>
      <x:c r="D100" s="291" t="str">
        <x:v>Financial / non-financial</x:v>
      </x:c>
      <x:c r="E100" s="291"/>
      <x:c r="F100" s="291"/>
      <x:c r="G100" s="291"/>
    </x:row>
    <x:row r="101">
      <x:c r="A101" s="248" t="n">
        <x:v>30</x:v>
      </x:c>
      <x:c r="B101" s="261" t="str">
        <x:v>Current tax liabilities (Net)</x:v>
      </x:c>
      <x:c r="C101" s="261" t="str">
        <x:v>Non-financial liabilities</x:v>
      </x:c>
      <x:c r="D101" s="261" t="str">
        <x:v>Financial / non-financial</x:v>
      </x:c>
      <x:c r="E101" s="261"/>
      <x:c r="F101" s="261"/>
      <x:c r="G101" s="261"/>
    </x:row>
    <x:row r="102">
      <x:c r="A102" s="248" t="n">
        <x:v>31</x:v>
      </x:c>
      <x:c r="B102" s="261" t="str">
        <x:v>Provisions</x:v>
      </x:c>
      <x:c r="C102" s="261" t="str">
        <x:v>Non-financial liabilities</x:v>
      </x:c>
      <x:c r="D102" s="261" t="str">
        <x:v>Financial / non-financial</x:v>
      </x:c>
      <x:c r="E102" s="261"/>
      <x:c r="F102" s="261"/>
      <x:c r="G102" s="261"/>
    </x:row>
    <x:row r="103">
      <x:c r="A103" s="248" t="n">
        <x:v>32</x:v>
      </x:c>
      <x:c r="B103" s="261" t="str">
        <x:v>Deferred tax liabilities (Net)</x:v>
      </x:c>
      <x:c r="C103" s="261" t="str">
        <x:v>Non-financial liabilities</x:v>
      </x:c>
      <x:c r="D103" s="261" t="str">
        <x:v>Financial / non-financial</x:v>
      </x:c>
      <x:c r="E103" s="261"/>
      <x:c r="F103" s="261"/>
      <x:c r="G103" s="261"/>
    </x:row>
    <x:row r="104">
      <x:c r="A104" s="248" t="n">
        <x:v>33</x:v>
      </x:c>
      <x:c r="B104" s="261" t="str">
        <x:v>Other non-financial liabilities (to be specified)</x:v>
      </x:c>
      <x:c r="C104" s="261" t="str">
        <x:v>Non-financial liabilities</x:v>
      </x:c>
      <x:c r="D104" s="261" t="str">
        <x:v>Financial / non-financial</x:v>
      </x:c>
      <x:c r="E104" s="261"/>
      <x:c r="F104" s="261"/>
      <x:c r="G104" s="261"/>
    </x:row>
    <x:row r="105">
      <x:c r="A105" s="248" t="n">
        <x:v>34</x:v>
      </x:c>
      <x:c r="B105" s="261" t="str">
        <x:v>Equity share capital</x:v>
      </x:c>
      <x:c r="C105" s="261" t="str">
        <x:v>Equity</x:v>
      </x:c>
      <x:c r="D105" s="261" t="str">
        <x:v>Financial / non-financial</x:v>
      </x:c>
      <x:c r="E105" s="261"/>
      <x:c r="F105" s="261"/>
      <x:c r="G105" s="261"/>
    </x:row>
    <x:row r="106">
      <x:c r="A106" s="248" t="n">
        <x:v>35</x:v>
      </x:c>
      <x:c r="B106" s="261" t="str">
        <x:v>Other equity</x:v>
      </x:c>
      <x:c r="C106" s="261" t="str">
        <x:v>Equity</x:v>
      </x:c>
      <x:c r="D106" s="261" t="str">
        <x:v>Financial / non-financial</x:v>
      </x:c>
      <x:c r="E106" s="261"/>
      <x:c r="F106" s="261"/>
      <x:c r="G106" s="261"/>
    </x:row>
    <x:row r="107">
      <x:c r="A107" s="276"/>
      <x:c r="B107" s="277"/>
      <x:c r="C107" s="277"/>
      <x:c r="D107" s="277"/>
      <x:c r="E107" s="277"/>
      <x:c r="F107" s="277"/>
      <x:c r="G107" s="277"/>
    </x:row>
    <x:row r="108">
      <x:c r="A108" s="279"/>
      <x:c r="B108" s="290"/>
      <x:c r="C108" s="290"/>
      <x:c r="D108" s="290"/>
      <x:c r="E108" s="290"/>
      <x:c r="F108" s="290"/>
      <x:c r="G108" s="290"/>
    </x:row>
    <x:row r="109">
      <x:c r="A109" s="255" t="str">
        <x:v>Note 1 — Cash and cash equivalents</x:v>
      </x:c>
      <x:c r="B109" s="291"/>
      <x:c r="C109" s="291"/>
      <x:c r="D109" s="291"/>
      <x:c r="E109" s="291"/>
      <x:c r="F109" s="291"/>
      <x:c r="G109" s="291"/>
    </x:row>
    <x:row r="110">
      <x:c r="A110" s="248" t="str">
        <x:v>Particulars</x:v>
      </x:c>
      <x:c r="B110" s="261" t="str">
        <x:v>Current Year</x:v>
      </x:c>
      <x:c r="C110" s="261" t="str">
        <x:v>Previous Year</x:v>
      </x:c>
      <x:c r="D110" s="261" t="str">
        <x:v>Mapping / Source</x:v>
      </x:c>
      <x:c r="E110" s="261" t="str">
        <x:v>Classification</x:v>
      </x:c>
      <x:c r="F110" s="261" t="str">
        <x:v>Remarks</x:v>
      </x:c>
      <x:c r="G110" s="261"/>
    </x:row>
    <x:row r="111">
      <x:c r="A111" s="248" t="str">
        <x:v>Cash on hand</x:v>
      </x:c>
      <x:c r="B111" s="261"/>
      <x:c r="C111" s="261"/>
      <x:c r="D111" s="261"/>
      <x:c r="E111" s="261" t="str">
        <x:v>Financial / non-financial</x:v>
      </x:c>
      <x:c r="F111" s="261"/>
      <x:c r="G111" s="261"/>
    </x:row>
    <x:row r="112">
      <x:c r="A112" s="248" t="str">
        <x:v>Balances with banks</x:v>
      </x:c>
      <x:c r="B112" s="261"/>
      <x:c r="C112" s="261"/>
      <x:c r="D112" s="261"/>
      <x:c r="E112" s="261" t="str">
        <x:v>Financial / non-financial</x:v>
      </x:c>
      <x:c r="F112" s="261"/>
      <x:c r="G112" s="261"/>
    </x:row>
    <x:row r="113">
      <x:c r="A113" s="276" t="str">
        <x:v>Cheques / drafts on hand</x:v>
      </x:c>
      <x:c r="B113" s="277"/>
      <x:c r="C113" s="277"/>
      <x:c r="D113" s="277"/>
      <x:c r="E113" s="277" t="str">
        <x:v>Financial / non-financial</x:v>
      </x:c>
      <x:c r="F113" s="277"/>
      <x:c r="G113" s="277"/>
    </x:row>
    <x:row r="114">
      <x:c r="A114" s="279" t="str">
        <x:v>Short-term deposits</x:v>
      </x:c>
      <x:c r="B114" s="290"/>
      <x:c r="C114" s="290"/>
      <x:c r="D114" s="290"/>
      <x:c r="E114" s="290" t="str">
        <x:v>Financial / non-financial</x:v>
      </x:c>
      <x:c r="F114" s="290"/>
      <x:c r="G114" s="290"/>
    </x:row>
    <x:row r="115">
      <x:c r="A115" s="255" t="str">
        <x:v>Total Cash and cash equivalents</x:v>
      </x:c>
      <x:c r="B115" s="291" t="n">
        <x:f>SUM(B111:B114)</x:f>
        <x:v>0</x:v>
      </x:c>
      <x:c r="C115" s="291" t="n">
        <x:f>SUM(C111:C114)</x:f>
        <x:v>0</x:v>
      </x:c>
      <x:c r="D115" s="291"/>
      <x:c r="E115" s="291" t="str">
        <x:v>Financial / non-financial</x:v>
      </x:c>
      <x:c r="F115" s="291"/>
      <x:c r="G115" s="291"/>
    </x:row>
    <x:row r="116">
      <x:c r="A116" s="248" t="str">
        <x:v>Note 2 — Bank balance other than cash and cash equivalents</x:v>
      </x:c>
      <x:c r="B116" s="261"/>
      <x:c r="C116" s="261"/>
      <x:c r="D116" s="261"/>
      <x:c r="E116" s="261"/>
      <x:c r="F116" s="261"/>
      <x:c r="G116" s="261"/>
    </x:row>
    <x:row r="117">
      <x:c r="A117" s="248" t="str">
        <x:v>Particulars</x:v>
      </x:c>
      <x:c r="B117" s="261" t="str">
        <x:v>Current Year</x:v>
      </x:c>
      <x:c r="C117" s="261" t="str">
        <x:v>Previous Year</x:v>
      </x:c>
      <x:c r="D117" s="261" t="str">
        <x:v>Mapping / Source</x:v>
      </x:c>
      <x:c r="E117" s="261" t="str">
        <x:v>Classification</x:v>
      </x:c>
      <x:c r="F117" s="261" t="str">
        <x:v>Remarks</x:v>
      </x:c>
      <x:c r="G117" s="261"/>
    </x:row>
    <x:row r="118">
      <x:c r="A118" s="248" t="str">
        <x:v>Cash on hand</x:v>
      </x:c>
      <x:c r="B118" s="261"/>
      <x:c r="C118" s="261"/>
      <x:c r="D118" s="261"/>
      <x:c r="E118" s="261" t="str">
        <x:v>Financial / non-financial</x:v>
      </x:c>
      <x:c r="F118" s="261"/>
      <x:c r="G118" s="261"/>
    </x:row>
    <x:row r="119">
      <x:c r="A119" s="276" t="str">
        <x:v>Balances with banks</x:v>
      </x:c>
      <x:c r="B119" s="277"/>
      <x:c r="C119" s="277"/>
      <x:c r="D119" s="277"/>
      <x:c r="E119" s="277" t="str">
        <x:v>Financial / non-financial</x:v>
      </x:c>
      <x:c r="F119" s="277"/>
      <x:c r="G119" s="277"/>
    </x:row>
    <x:row r="120">
      <x:c r="A120" s="279" t="str">
        <x:v>Cheques / drafts on hand</x:v>
      </x:c>
      <x:c r="B120" s="290"/>
      <x:c r="C120" s="290"/>
      <x:c r="D120" s="290"/>
      <x:c r="E120" s="290" t="str">
        <x:v>Financial / non-financial</x:v>
      </x:c>
      <x:c r="F120" s="290"/>
      <x:c r="G120" s="290"/>
    </x:row>
    <x:row r="121">
      <x:c r="A121" s="255" t="str">
        <x:v>Short-term deposits</x:v>
      </x:c>
      <x:c r="B121" s="291"/>
      <x:c r="C121" s="291"/>
      <x:c r="D121" s="291"/>
      <x:c r="E121" s="291" t="str">
        <x:v>Financial / non-financial</x:v>
      </x:c>
      <x:c r="F121" s="291"/>
      <x:c r="G121" s="291"/>
    </x:row>
    <x:row r="122">
      <x:c r="A122" s="248" t="str">
        <x:v>Total Bank balance other than cash and cash equivalents</x:v>
      </x:c>
      <x:c r="B122" s="261" t="n">
        <x:f>SUM(B118:B121)</x:f>
        <x:v>0</x:v>
      </x:c>
      <x:c r="C122" s="261" t="n">
        <x:f>SUM(C118:C121)</x:f>
        <x:v>0</x:v>
      </x:c>
      <x:c r="D122" s="261"/>
      <x:c r="E122" s="261" t="str">
        <x:v>Financial / non-financial</x:v>
      </x:c>
      <x:c r="F122" s="261"/>
      <x:c r="G122" s="261"/>
    </x:row>
    <x:row r="123">
      <x:c r="A123" s="248" t="str">
        <x:v>Note 3 — Derivative financial instruments — Financial assets</x:v>
      </x:c>
      <x:c r="B123" s="261"/>
      <x:c r="C123" s="261"/>
      <x:c r="D123" s="261"/>
      <x:c r="E123" s="261"/>
      <x:c r="F123" s="261"/>
      <x:c r="G123" s="261"/>
    </x:row>
    <x:row r="124">
      <x:c r="A124" s="248" t="str">
        <x:v>Particulars</x:v>
      </x:c>
      <x:c r="B124" s="261" t="str">
        <x:v>Current Year</x:v>
      </x:c>
      <x:c r="C124" s="261" t="str">
        <x:v>Previous Year</x:v>
      </x:c>
      <x:c r="D124" s="261" t="str">
        <x:v>Mapping / Source</x:v>
      </x:c>
      <x:c r="E124" s="261" t="str">
        <x:v>Classification</x:v>
      </x:c>
      <x:c r="F124" s="261" t="str">
        <x:v>Remarks</x:v>
      </x:c>
      <x:c r="G124" s="261"/>
    </x:row>
    <x:row r="125">
      <x:c r="A125" s="276" t="str">
        <x:v>Forward contracts</x:v>
      </x:c>
      <x:c r="B125" s="277"/>
      <x:c r="C125" s="277"/>
      <x:c r="D125" s="277"/>
      <x:c r="E125" s="277" t="str">
        <x:v>Financial / non-financial</x:v>
      </x:c>
      <x:c r="F125" s="277"/>
      <x:c r="G125" s="277"/>
    </x:row>
    <x:row r="126">
      <x:c r="A126" s="279" t="str">
        <x:v>Options / swaps</x:v>
      </x:c>
      <x:c r="B126" s="290"/>
      <x:c r="C126" s="290"/>
      <x:c r="D126" s="290"/>
      <x:c r="E126" s="290" t="str">
        <x:v>Financial / non-financial</x:v>
      </x:c>
      <x:c r="F126" s="290"/>
      <x:c r="G126" s="290"/>
    </x:row>
    <x:row r="127">
      <x:c r="A127" s="255" t="str">
        <x:v>Other derivatives</x:v>
      </x:c>
      <x:c r="B127" s="291"/>
      <x:c r="C127" s="291"/>
      <x:c r="D127" s="291"/>
      <x:c r="E127" s="291" t="str">
        <x:v>Financial / non-financial</x:v>
      </x:c>
      <x:c r="F127" s="291"/>
      <x:c r="G127" s="291"/>
    </x:row>
    <x:row r="128">
      <x:c r="A128" s="248" t="str">
        <x:v>Total Derivative financial instruments</x:v>
      </x:c>
      <x:c r="B128" s="261" t="n">
        <x:f>SUM(B125:B127)</x:f>
        <x:v>0</x:v>
      </x:c>
      <x:c r="C128" s="261" t="n">
        <x:f>SUM(C125:C127)</x:f>
        <x:v>0</x:v>
      </x:c>
      <x:c r="D128" s="261"/>
      <x:c r="E128" s="261" t="str">
        <x:v>Financial / non-financial</x:v>
      </x:c>
      <x:c r="F128" s="261"/>
      <x:c r="G128" s="261"/>
    </x:row>
    <x:row r="129">
      <x:c r="A129" s="248" t="str">
        <x:v>Note 4 — Trade receivables</x:v>
      </x:c>
      <x:c r="B129" s="261"/>
      <x:c r="C129" s="261"/>
      <x:c r="D129" s="261"/>
      <x:c r="E129" s="261"/>
      <x:c r="F129" s="261"/>
      <x:c r="G129" s="261"/>
    </x:row>
    <x:row r="130">
      <x:c r="A130" s="248" t="str">
        <x:v>Particulars</x:v>
      </x:c>
      <x:c r="B130" s="261" t="str">
        <x:v>Current Year</x:v>
      </x:c>
      <x:c r="C130" s="261" t="str">
        <x:v>Previous Year</x:v>
      </x:c>
      <x:c r="D130" s="261" t="str">
        <x:v>Mapping / Source</x:v>
      </x:c>
      <x:c r="E130" s="261" t="str">
        <x:v>Classification</x:v>
      </x:c>
      <x:c r="F130" s="261" t="str">
        <x:v>Remarks</x:v>
      </x:c>
      <x:c r="G130" s="261"/>
    </x:row>
    <x:row r="131">
      <x:c r="A131" s="276" t="str">
        <x:v>Secured, considered good</x:v>
      </x:c>
      <x:c r="B131" s="277"/>
      <x:c r="C131" s="277"/>
      <x:c r="D131" s="277"/>
      <x:c r="E131" s="277" t="str">
        <x:v>Financial / non-financial</x:v>
      </x:c>
      <x:c r="F131" s="277"/>
      <x:c r="G131" s="277"/>
    </x:row>
    <x:row r="132">
      <x:c r="A132" s="279" t="str">
        <x:v>Unsecured, considered good</x:v>
      </x:c>
      <x:c r="B132" s="290"/>
      <x:c r="C132" s="290"/>
      <x:c r="D132" s="290"/>
      <x:c r="E132" s="290" t="str">
        <x:v>Financial / non-financial</x:v>
      </x:c>
      <x:c r="F132" s="290"/>
      <x:c r="G132" s="290"/>
    </x:row>
    <x:row r="133">
      <x:c r="A133" s="255" t="str">
        <x:v>Significant increase in credit risk</x:v>
      </x:c>
      <x:c r="B133" s="291"/>
      <x:c r="C133" s="291"/>
      <x:c r="D133" s="291"/>
      <x:c r="E133" s="291" t="str">
        <x:v>Financial / non-financial</x:v>
      </x:c>
      <x:c r="F133" s="291"/>
      <x:c r="G133" s="291"/>
    </x:row>
    <x:row r="134">
      <x:c r="A134" s="248" t="str">
        <x:v>Credit impaired</x:v>
      </x:c>
      <x:c r="B134" s="261"/>
      <x:c r="C134" s="261"/>
      <x:c r="D134" s="261"/>
      <x:c r="E134" s="261" t="str">
        <x:v>Financial / non-financial</x:v>
      </x:c>
      <x:c r="F134" s="261"/>
      <x:c r="G134" s="261"/>
    </x:row>
    <x:row r="135">
      <x:c r="A135" s="248" t="str">
        <x:v>Less: Allowance for doubtful debts</x:v>
      </x:c>
      <x:c r="B135" s="261"/>
      <x:c r="C135" s="261"/>
      <x:c r="D135" s="261"/>
      <x:c r="E135" s="261" t="str">
        <x:v>Financial / non-financial</x:v>
      </x:c>
      <x:c r="F135" s="261"/>
      <x:c r="G135" s="261"/>
    </x:row>
    <x:row r="136">
      <x:c r="A136" s="248" t="str">
        <x:v>Total Trade receivables</x:v>
      </x:c>
      <x:c r="B136" s="261" t="n">
        <x:f>SUM(B131:B135)</x:f>
        <x:v>0</x:v>
      </x:c>
      <x:c r="C136" s="261" t="n">
        <x:f>SUM(C131:C135)</x:f>
        <x:v>0</x:v>
      </x:c>
      <x:c r="D136" s="261"/>
      <x:c r="E136" s="261" t="str">
        <x:v>Financial / non-financial</x:v>
      </x:c>
      <x:c r="F136" s="261"/>
      <x:c r="G136" s="261"/>
    </x:row>
    <x:row r="137">
      <x:c r="A137" s="248" t="str">
        <x:v>Note 5 — Other receivables</x:v>
      </x:c>
      <x:c r="B137" s="261"/>
      <x:c r="C137" s="261"/>
      <x:c r="D137" s="261"/>
      <x:c r="E137" s="261"/>
      <x:c r="F137" s="261"/>
      <x:c r="G137" s="261"/>
    </x:row>
    <x:row r="138">
      <x:c r="A138" s="248" t="str">
        <x:v>Particulars</x:v>
      </x:c>
      <x:c r="B138" s="261" t="str">
        <x:v>Current Year</x:v>
      </x:c>
      <x:c r="C138" s="261" t="str">
        <x:v>Previous Year</x:v>
      </x:c>
      <x:c r="D138" s="261" t="str">
        <x:v>Mapping / Source</x:v>
      </x:c>
      <x:c r="E138" s="261" t="str">
        <x:v>Classification</x:v>
      </x:c>
      <x:c r="F138" s="261" t="str">
        <x:v>Remarks</x:v>
      </x:c>
      <x:c r="G138" s="261"/>
    </x:row>
    <x:row r="139">
      <x:c r="A139" s="248" t="str">
        <x:v>Secured receivables</x:v>
      </x:c>
      <x:c r="B139" s="261"/>
      <x:c r="C139" s="261"/>
      <x:c r="D139" s="261"/>
      <x:c r="E139" s="261" t="str">
        <x:v>Financial / non-financial</x:v>
      </x:c>
      <x:c r="F139" s="261"/>
      <x:c r="G139" s="261"/>
    </x:row>
    <x:row r="140">
      <x:c r="A140" s="276" t="str">
        <x:v>Unsecured receivables</x:v>
      </x:c>
      <x:c r="B140" s="277"/>
      <x:c r="C140" s="277"/>
      <x:c r="D140" s="277"/>
      <x:c r="E140" s="277" t="str">
        <x:v>Financial / non-financial</x:v>
      </x:c>
      <x:c r="F140" s="277"/>
      <x:c r="G140" s="277"/>
    </x:row>
    <x:row r="141">
      <x:c r="A141" s="279" t="str">
        <x:v>Less: Allowance / impairment</x:v>
      </x:c>
      <x:c r="B141" s="290"/>
      <x:c r="C141" s="290"/>
      <x:c r="D141" s="290"/>
      <x:c r="E141" s="290" t="str">
        <x:v>Financial / non-financial</x:v>
      </x:c>
      <x:c r="F141" s="290"/>
      <x:c r="G141" s="290"/>
    </x:row>
    <x:row r="142">
      <x:c r="A142" s="255" t="str">
        <x:v>Other</x:v>
      </x:c>
      <x:c r="B142" s="291"/>
      <x:c r="C142" s="291"/>
      <x:c r="D142" s="291"/>
      <x:c r="E142" s="291" t="str">
        <x:v>Financial / non-financial</x:v>
      </x:c>
      <x:c r="F142" s="291"/>
      <x:c r="G142" s="291"/>
    </x:row>
    <x:row r="143">
      <x:c r="A143" s="248" t="str">
        <x:v>Total Other receivables</x:v>
      </x:c>
      <x:c r="B143" s="261" t="n">
        <x:f>SUM(B139:B142)</x:f>
        <x:v>0</x:v>
      </x:c>
      <x:c r="C143" s="261" t="n">
        <x:f>SUM(C139:C142)</x:f>
        <x:v>0</x:v>
      </x:c>
      <x:c r="D143" s="261"/>
      <x:c r="E143" s="261" t="str">
        <x:v>Financial / non-financial</x:v>
      </x:c>
      <x:c r="F143" s="261"/>
      <x:c r="G143" s="261"/>
    </x:row>
    <x:row r="144">
      <x:c r="A144" s="248" t="str">
        <x:v>Note 6 — Loans</x:v>
      </x:c>
      <x:c r="B144" s="261"/>
      <x:c r="C144" s="261"/>
      <x:c r="D144" s="261"/>
      <x:c r="E144" s="261"/>
      <x:c r="F144" s="261"/>
      <x:c r="G144" s="261"/>
    </x:row>
    <x:row r="145">
      <x:c r="A145" s="248" t="str">
        <x:v>Particulars</x:v>
      </x:c>
      <x:c r="B145" s="261" t="str">
        <x:v>Current Year</x:v>
      </x:c>
      <x:c r="C145" s="261" t="str">
        <x:v>Previous Year</x:v>
      </x:c>
      <x:c r="D145" s="261" t="str">
        <x:v>Mapping / Source</x:v>
      </x:c>
      <x:c r="E145" s="261" t="str">
        <x:v>Classification</x:v>
      </x:c>
      <x:c r="F145" s="261" t="str">
        <x:v>Remarks</x:v>
      </x:c>
      <x:c r="G145" s="261"/>
    </x:row>
    <x:row r="146">
      <x:c r="A146" s="276" t="str">
        <x:v>Secured, considered good</x:v>
      </x:c>
      <x:c r="B146" s="277"/>
      <x:c r="C146" s="277"/>
      <x:c r="D146" s="277"/>
      <x:c r="E146" s="277" t="str">
        <x:v>Financial / non-financial</x:v>
      </x:c>
      <x:c r="F146" s="277"/>
      <x:c r="G146" s="277"/>
    </x:row>
    <x:row r="147">
      <x:c r="A147" s="279" t="str">
        <x:v>Unsecured, considered good</x:v>
      </x:c>
      <x:c r="B147" s="290"/>
      <x:c r="C147" s="290"/>
      <x:c r="D147" s="290"/>
      <x:c r="E147" s="290" t="str">
        <x:v>Financial / non-financial</x:v>
      </x:c>
      <x:c r="F147" s="290"/>
      <x:c r="G147" s="290"/>
    </x:row>
    <x:row r="148">
      <x:c r="A148" s="255" t="str">
        <x:v>Credit impaired / doubtful</x:v>
      </x:c>
      <x:c r="B148" s="291"/>
      <x:c r="C148" s="291"/>
      <x:c r="D148" s="291"/>
      <x:c r="E148" s="291" t="str">
        <x:v>Financial / non-financial</x:v>
      </x:c>
      <x:c r="F148" s="291"/>
      <x:c r="G148" s="291"/>
    </x:row>
    <x:row r="149">
      <x:c r="A149" s="248" t="str">
        <x:v>Less: Allowance / impairment</x:v>
      </x:c>
      <x:c r="B149" s="261"/>
      <x:c r="C149" s="261"/>
      <x:c r="D149" s="261"/>
      <x:c r="E149" s="261" t="str">
        <x:v>Financial / non-financial</x:v>
      </x:c>
      <x:c r="F149" s="261"/>
      <x:c r="G149" s="261"/>
    </x:row>
    <x:row r="150">
      <x:c r="A150" s="248" t="str">
        <x:v>Total Loans</x:v>
      </x:c>
      <x:c r="B150" s="261" t="n">
        <x:f>SUM(B146:B149)</x:f>
        <x:v>0</x:v>
      </x:c>
      <x:c r="C150" s="261" t="n">
        <x:f>SUM(C146:C149)</x:f>
        <x:v>0</x:v>
      </x:c>
      <x:c r="D150" s="261"/>
      <x:c r="E150" s="261" t="str">
        <x:v>Financial / non-financial</x:v>
      </x:c>
      <x:c r="F150" s="261"/>
      <x:c r="G150" s="261"/>
    </x:row>
    <x:row r="151">
      <x:c r="A151" s="248" t="str">
        <x:v>Note 7 — Investments</x:v>
      </x:c>
      <x:c r="B151" s="261"/>
      <x:c r="C151" s="261"/>
      <x:c r="D151" s="261"/>
      <x:c r="E151" s="261"/>
      <x:c r="F151" s="261"/>
      <x:c r="G151" s="261"/>
    </x:row>
    <x:row r="152">
      <x:c r="A152" s="276" t="str">
        <x:v>Particulars</x:v>
      </x:c>
      <x:c r="B152" s="277" t="str">
        <x:v>Current Year</x:v>
      </x:c>
      <x:c r="C152" s="277" t="str">
        <x:v>Previous Year</x:v>
      </x:c>
      <x:c r="D152" s="277" t="str">
        <x:v>Mapping / Source</x:v>
      </x:c>
      <x:c r="E152" s="277" t="str">
        <x:v>Classification</x:v>
      </x:c>
      <x:c r="F152" s="277" t="str">
        <x:v>Remarks</x:v>
      </x:c>
      <x:c r="G152" s="277"/>
    </x:row>
    <x:row r="153">
      <x:c r="A153" s="279" t="str">
        <x:v>Quoted investments</x:v>
      </x:c>
      <x:c r="B153" s="290"/>
      <x:c r="C153" s="290"/>
      <x:c r="D153" s="290"/>
      <x:c r="E153" s="290" t="str">
        <x:v>Financial / non-financial</x:v>
      </x:c>
      <x:c r="F153" s="290"/>
      <x:c r="G153" s="290"/>
    </x:row>
    <x:row r="154">
      <x:c r="A154" s="255" t="str">
        <x:v>Unquoted investments</x:v>
      </x:c>
      <x:c r="B154" s="291"/>
      <x:c r="C154" s="291"/>
      <x:c r="D154" s="291"/>
      <x:c r="E154" s="291" t="str">
        <x:v>Financial / non-financial</x:v>
      </x:c>
      <x:c r="F154" s="291"/>
      <x:c r="G154" s="291"/>
    </x:row>
    <x:row r="155">
      <x:c r="A155" s="248" t="str">
        <x:v>Investments in subsidiaries / associates / JVs</x:v>
      </x:c>
      <x:c r="B155" s="261"/>
      <x:c r="C155" s="261"/>
      <x:c r="D155" s="261"/>
      <x:c r="E155" s="261" t="str">
        <x:v>Financial / non-financial</x:v>
      </x:c>
      <x:c r="F155" s="261"/>
      <x:c r="G155" s="261"/>
    </x:row>
    <x:row r="156">
      <x:c r="A156" s="248" t="str">
        <x:v>Less: Impairment</x:v>
      </x:c>
      <x:c r="B156" s="261"/>
      <x:c r="C156" s="261"/>
      <x:c r="D156" s="261"/>
      <x:c r="E156" s="261" t="str">
        <x:v>Financial / non-financial</x:v>
      </x:c>
      <x:c r="F156" s="261"/>
      <x:c r="G156" s="261"/>
    </x:row>
    <x:row r="157">
      <x:c r="A157" s="248" t="str">
        <x:v>Total Investments</x:v>
      </x:c>
      <x:c r="B157" s="261" t="n">
        <x:f>SUM(B153:B156)</x:f>
        <x:v>0</x:v>
      </x:c>
      <x:c r="C157" s="261" t="n">
        <x:f>SUM(C153:C156)</x:f>
        <x:v>0</x:v>
      </x:c>
      <x:c r="D157" s="261"/>
      <x:c r="E157" s="261" t="str">
        <x:v>Financial / non-financial</x:v>
      </x:c>
      <x:c r="F157" s="261"/>
      <x:c r="G157" s="261"/>
    </x:row>
    <x:row r="158">
      <x:c r="A158" s="276" t="str">
        <x:v>Note 8 — Other financial assets (to be specified)</x:v>
      </x:c>
      <x:c r="B158" s="277"/>
      <x:c r="C158" s="277"/>
      <x:c r="D158" s="277"/>
      <x:c r="E158" s="277"/>
      <x:c r="F158" s="277"/>
      <x:c r="G158" s="277"/>
    </x:row>
    <x:row r="159">
      <x:c r="A159" s="279" t="str">
        <x:v>Particulars</x:v>
      </x:c>
      <x:c r="B159" s="290" t="str">
        <x:v>Current Year</x:v>
      </x:c>
      <x:c r="C159" s="290" t="str">
        <x:v>Previous Year</x:v>
      </x:c>
      <x:c r="D159" s="290" t="str">
        <x:v>Mapping / Source</x:v>
      </x:c>
      <x:c r="E159" s="290" t="str">
        <x:v>Classification</x:v>
      </x:c>
      <x:c r="F159" s="290" t="str">
        <x:v>Remarks</x:v>
      </x:c>
      <x:c r="G159" s="290"/>
    </x:row>
    <x:row r="160">
      <x:c r="A160" s="255" t="str">
        <x:v>Security deposits</x:v>
      </x:c>
      <x:c r="B160" s="291"/>
      <x:c r="C160" s="291"/>
      <x:c r="D160" s="291"/>
      <x:c r="E160" s="291" t="str">
        <x:v>Financial / non-financial</x:v>
      </x:c>
      <x:c r="F160" s="291"/>
      <x:c r="G160" s="291"/>
    </x:row>
    <x:row r="161">
      <x:c r="A161" s="248" t="str">
        <x:v>Interest accrued</x:v>
      </x:c>
      <x:c r="B161" s="261"/>
      <x:c r="C161" s="261"/>
      <x:c r="D161" s="261"/>
      <x:c r="E161" s="261" t="str">
        <x:v>Financial / non-financial</x:v>
      </x:c>
      <x:c r="F161" s="261"/>
      <x:c r="G161" s="261"/>
    </x:row>
    <x:row r="162">
      <x:c r="A162" s="248" t="str">
        <x:v>Derivative / contractual receivables</x:v>
      </x:c>
      <x:c r="B162" s="261"/>
      <x:c r="C162" s="261"/>
      <x:c r="D162" s="261"/>
      <x:c r="E162" s="261" t="str">
        <x:v>Financial / non-financial</x:v>
      </x:c>
      <x:c r="F162" s="261"/>
      <x:c r="G162" s="261"/>
    </x:row>
    <x:row r="163">
      <x:c r="A163" s="248" t="str">
        <x:v>Other financial assets</x:v>
      </x:c>
      <x:c r="B163" s="261"/>
      <x:c r="C163" s="261"/>
      <x:c r="D163" s="261"/>
      <x:c r="E163" s="261" t="str">
        <x:v>Financial / non-financial</x:v>
      </x:c>
      <x:c r="F163" s="261"/>
      <x:c r="G163" s="261"/>
    </x:row>
    <x:row r="164">
      <x:c r="A164" s="248" t="str">
        <x:v>Total Other financial assets (to be specified)</x:v>
      </x:c>
      <x:c r="B164" s="261" t="n">
        <x:f>SUM(B160:B163)</x:f>
        <x:v>0</x:v>
      </x:c>
      <x:c r="C164" s="261" t="n">
        <x:f>SUM(C160:C163)</x:f>
        <x:v>0</x:v>
      </x:c>
      <x:c r="D164" s="261"/>
      <x:c r="E164" s="261" t="str">
        <x:v>Financial / non-financial</x:v>
      </x:c>
      <x:c r="F164" s="261"/>
      <x:c r="G164" s="261"/>
    </x:row>
    <x:row r="165">
      <x:c r="A165" s="276" t="str">
        <x:v>Note 9 — Inventories</x:v>
      </x:c>
      <x:c r="B165" s="277"/>
      <x:c r="C165" s="277"/>
      <x:c r="D165" s="277"/>
      <x:c r="E165" s="277"/>
      <x:c r="F165" s="277"/>
      <x:c r="G165" s="277"/>
    </x:row>
    <x:row r="166">
      <x:c r="A166" s="279" t="str">
        <x:v>Particulars</x:v>
      </x:c>
      <x:c r="B166" s="290" t="str">
        <x:v>Current Year</x:v>
      </x:c>
      <x:c r="C166" s="290" t="str">
        <x:v>Previous Year</x:v>
      </x:c>
      <x:c r="D166" s="290" t="str">
        <x:v>Mapping / Source</x:v>
      </x:c>
      <x:c r="E166" s="290" t="str">
        <x:v>Classification</x:v>
      </x:c>
      <x:c r="F166" s="290" t="str">
        <x:v>Remarks</x:v>
      </x:c>
      <x:c r="G166" s="290"/>
    </x:row>
    <x:row r="167">
      <x:c r="A167" s="255" t="str">
        <x:v>Raw materials</x:v>
      </x:c>
      <x:c r="B167" s="291"/>
      <x:c r="C167" s="291"/>
      <x:c r="D167" s="291"/>
      <x:c r="E167" s="291" t="str">
        <x:v>Financial / non-financial</x:v>
      </x:c>
      <x:c r="F167" s="291"/>
      <x:c r="G167" s="291"/>
    </x:row>
    <x:row r="168">
      <x:c r="A168" s="248" t="str">
        <x:v>Work-in-progress</x:v>
      </x:c>
      <x:c r="B168" s="261"/>
      <x:c r="C168" s="261"/>
      <x:c r="D168" s="261"/>
      <x:c r="E168" s="261" t="str">
        <x:v>Financial / non-financial</x:v>
      </x:c>
      <x:c r="F168" s="261"/>
      <x:c r="G168" s="261"/>
    </x:row>
    <x:row r="169">
      <x:c r="A169" s="248" t="str">
        <x:v>Finished goods</x:v>
      </x:c>
      <x:c r="B169" s="261"/>
      <x:c r="C169" s="261"/>
      <x:c r="D169" s="261"/>
      <x:c r="E169" s="261" t="str">
        <x:v>Financial / non-financial</x:v>
      </x:c>
      <x:c r="F169" s="261"/>
      <x:c r="G169" s="261"/>
    </x:row>
    <x:row r="170">
      <x:c r="A170" s="248" t="str">
        <x:v>Stock-in-trade</x:v>
      </x:c>
      <x:c r="B170" s="261"/>
      <x:c r="C170" s="261"/>
      <x:c r="D170" s="261"/>
      <x:c r="E170" s="261" t="str">
        <x:v>Financial / non-financial</x:v>
      </x:c>
      <x:c r="F170" s="261"/>
      <x:c r="G170" s="261"/>
    </x:row>
    <x:row r="171">
      <x:c r="A171" s="248" t="str">
        <x:v>Stores and spares</x:v>
      </x:c>
      <x:c r="B171" s="261"/>
      <x:c r="C171" s="261"/>
      <x:c r="D171" s="261"/>
      <x:c r="E171" s="261" t="str">
        <x:v>Financial / non-financial</x:v>
      </x:c>
      <x:c r="F171" s="261"/>
      <x:c r="G171" s="261"/>
    </x:row>
    <x:row r="172">
      <x:c r="A172" s="276" t="str">
        <x:v>Other inventories</x:v>
      </x:c>
      <x:c r="B172" s="277"/>
      <x:c r="C172" s="277"/>
      <x:c r="D172" s="277"/>
      <x:c r="E172" s="277" t="str">
        <x:v>Financial / non-financial</x:v>
      </x:c>
      <x:c r="F172" s="277"/>
      <x:c r="G172" s="277"/>
    </x:row>
    <x:row r="173">
      <x:c r="A173" s="279" t="str">
        <x:v>Total Inventories</x:v>
      </x:c>
      <x:c r="B173" s="290" t="n">
        <x:f>SUM(B167:B172)</x:f>
        <x:v>0</x:v>
      </x:c>
      <x:c r="C173" s="290" t="n">
        <x:f>SUM(C167:C172)</x:f>
        <x:v>0</x:v>
      </x:c>
      <x:c r="D173" s="290"/>
      <x:c r="E173" s="290" t="str">
        <x:v>Financial / non-financial</x:v>
      </x:c>
      <x:c r="F173" s="290"/>
      <x:c r="G173" s="290"/>
    </x:row>
    <x:row r="174">
      <x:c r="A174" s="255" t="str">
        <x:v>Note 10 — Current tax assets (Net)</x:v>
      </x:c>
      <x:c r="B174" s="291"/>
      <x:c r="C174" s="291"/>
      <x:c r="D174" s="291"/>
      <x:c r="E174" s="291"/>
      <x:c r="F174" s="291"/>
      <x:c r="G174" s="291"/>
    </x:row>
    <x:row r="175">
      <x:c r="A175" s="248" t="str">
        <x:v>Particulars</x:v>
      </x:c>
      <x:c r="B175" s="261" t="str">
        <x:v>Current Year</x:v>
      </x:c>
      <x:c r="C175" s="261" t="str">
        <x:v>Previous Year</x:v>
      </x:c>
      <x:c r="D175" s="261" t="str">
        <x:v>Mapping / Source</x:v>
      </x:c>
      <x:c r="E175" s="261" t="str">
        <x:v>Classification</x:v>
      </x:c>
      <x:c r="F175" s="261" t="str">
        <x:v>Remarks</x:v>
      </x:c>
      <x:c r="G175" s="261"/>
    </x:row>
    <x:row r="176">
      <x:c r="A176" s="248" t="str">
        <x:v>Advance tax</x:v>
      </x:c>
      <x:c r="B176" s="261"/>
      <x:c r="C176" s="261"/>
      <x:c r="D176" s="261"/>
      <x:c r="E176" s="261" t="str">
        <x:v>Financial / non-financial</x:v>
      </x:c>
      <x:c r="F176" s="261"/>
      <x:c r="G176" s="261"/>
    </x:row>
    <x:row r="177">
      <x:c r="A177" s="248" t="str">
        <x:v>Tax deducted / collected at source</x:v>
      </x:c>
      <x:c r="B177" s="261"/>
      <x:c r="C177" s="261"/>
      <x:c r="D177" s="261"/>
      <x:c r="E177" s="261" t="str">
        <x:v>Financial / non-financial</x:v>
      </x:c>
      <x:c r="F177" s="261"/>
      <x:c r="G177" s="261"/>
    </x:row>
    <x:row r="178">
      <x:c r="A178" s="276" t="str">
        <x:v>Less: Provision for current tax</x:v>
      </x:c>
      <x:c r="B178" s="277"/>
      <x:c r="C178" s="277"/>
      <x:c r="D178" s="277"/>
      <x:c r="E178" s="277" t="str">
        <x:v>Financial / non-financial</x:v>
      </x:c>
      <x:c r="F178" s="277"/>
      <x:c r="G178" s="277"/>
    </x:row>
    <x:row r="179">
      <x:c r="A179" s="279" t="str">
        <x:v>Total Current tax assets (Net)</x:v>
      </x:c>
      <x:c r="B179" s="290" t="n">
        <x:f>SUM(B176:B178)</x:f>
        <x:v>0</x:v>
      </x:c>
      <x:c r="C179" s="290" t="n">
        <x:f>SUM(C176:C178)</x:f>
        <x:v>0</x:v>
      </x:c>
      <x:c r="D179" s="290"/>
      <x:c r="E179" s="290" t="str">
        <x:v>Financial / non-financial</x:v>
      </x:c>
      <x:c r="F179" s="290"/>
      <x:c r="G179" s="290"/>
    </x:row>
    <x:row r="180">
      <x:c r="A180" s="255" t="str">
        <x:v>Note 11 — Deferred tax assets (Net)</x:v>
      </x:c>
      <x:c r="B180" s="291"/>
      <x:c r="C180" s="291"/>
      <x:c r="D180" s="291"/>
      <x:c r="E180" s="291"/>
      <x:c r="F180" s="291"/>
      <x:c r="G180" s="291"/>
    </x:row>
    <x:row r="181">
      <x:c r="A181" s="248" t="str">
        <x:v>Particulars</x:v>
      </x:c>
      <x:c r="B181" s="261" t="str">
        <x:v>Current Year</x:v>
      </x:c>
      <x:c r="C181" s="261" t="str">
        <x:v>Previous Year</x:v>
      </x:c>
      <x:c r="D181" s="261" t="str">
        <x:v>Mapping / Source</x:v>
      </x:c>
      <x:c r="E181" s="261" t="str">
        <x:v>Classification</x:v>
      </x:c>
      <x:c r="F181" s="261" t="str">
        <x:v>Remarks</x:v>
      </x:c>
      <x:c r="G181" s="261"/>
    </x:row>
    <x:row r="182">
      <x:c r="A182" s="248" t="str">
        <x:v>Timing differences / temporary differences</x:v>
      </x:c>
      <x:c r="B182" s="261"/>
      <x:c r="C182" s="261"/>
      <x:c r="D182" s="261"/>
      <x:c r="E182" s="261" t="str">
        <x:v>Financial / non-financial</x:v>
      </x:c>
      <x:c r="F182" s="261"/>
      <x:c r="G182" s="261"/>
    </x:row>
    <x:row r="183">
      <x:c r="A183" s="248" t="str">
        <x:v>Unused tax losses / credits</x:v>
      </x:c>
      <x:c r="B183" s="261"/>
      <x:c r="C183" s="261"/>
      <x:c r="D183" s="261"/>
      <x:c r="E183" s="261" t="str">
        <x:v>Financial / non-financial</x:v>
      </x:c>
      <x:c r="F183" s="261"/>
      <x:c r="G183" s="261"/>
    </x:row>
    <x:row r="184">
      <x:c r="A184" s="276" t="str">
        <x:v>Other deferred tax balances</x:v>
      </x:c>
      <x:c r="B184" s="277"/>
      <x:c r="C184" s="277"/>
      <x:c r="D184" s="277"/>
      <x:c r="E184" s="277" t="str">
        <x:v>Financial / non-financial</x:v>
      </x:c>
      <x:c r="F184" s="277"/>
      <x:c r="G184" s="277"/>
    </x:row>
    <x:row r="185">
      <x:c r="A185" s="279" t="str">
        <x:v>Total Deferred tax assets (Net)</x:v>
      </x:c>
      <x:c r="B185" s="290" t="n">
        <x:f>SUM(B182:B184)</x:f>
        <x:v>0</x:v>
      </x:c>
      <x:c r="C185" s="290" t="n">
        <x:f>SUM(C182:C184)</x:f>
        <x:v>0</x:v>
      </x:c>
      <x:c r="D185" s="290"/>
      <x:c r="E185" s="290" t="str">
        <x:v>Financial / non-financial</x:v>
      </x:c>
      <x:c r="F185" s="290"/>
      <x:c r="G185" s="290"/>
    </x:row>
    <x:row r="186">
      <x:c r="A186" s="255" t="str">
        <x:v>Note 12 — Investment property</x:v>
      </x:c>
      <x:c r="B186" s="291"/>
      <x:c r="C186" s="291"/>
      <x:c r="D186" s="291"/>
      <x:c r="E186" s="291"/>
      <x:c r="F186" s="291"/>
      <x:c r="G186" s="291"/>
    </x:row>
    <x:row r="187">
      <x:c r="A187" s="248" t="str">
        <x:v>Particulars</x:v>
      </x:c>
      <x:c r="B187" s="261" t="str">
        <x:v>Current Year</x:v>
      </x:c>
      <x:c r="C187" s="261" t="str">
        <x:v>Previous Year</x:v>
      </x:c>
      <x:c r="D187" s="261" t="str">
        <x:v>Mapping / Source</x:v>
      </x:c>
      <x:c r="E187" s="261" t="str">
        <x:v>Classification</x:v>
      </x:c>
      <x:c r="F187" s="261" t="str">
        <x:v>Remarks</x:v>
      </x:c>
      <x:c r="G187" s="261"/>
    </x:row>
    <x:row r="188">
      <x:c r="A188" s="248" t="str">
        <x:v>Land</x:v>
      </x:c>
      <x:c r="B188" s="261"/>
      <x:c r="C188" s="261"/>
      <x:c r="D188" s="261"/>
      <x:c r="E188" s="261" t="str">
        <x:v>Financial / non-financial</x:v>
      </x:c>
      <x:c r="F188" s="261"/>
      <x:c r="G188" s="261"/>
    </x:row>
    <x:row r="189">
      <x:c r="A189" s="248" t="str">
        <x:v>Buildings</x:v>
      </x:c>
      <x:c r="B189" s="261"/>
      <x:c r="C189" s="261"/>
      <x:c r="D189" s="261"/>
      <x:c r="E189" s="261" t="str">
        <x:v>Financial / non-financial</x:v>
      </x:c>
      <x:c r="F189" s="261"/>
      <x:c r="G189" s="261"/>
    </x:row>
    <x:row r="190">
      <x:c r="A190" s="276" t="str">
        <x:v>Less: Accumulated depreciation / impairment</x:v>
      </x:c>
      <x:c r="B190" s="277"/>
      <x:c r="C190" s="277"/>
      <x:c r="D190" s="277"/>
      <x:c r="E190" s="277" t="str">
        <x:v>Financial / non-financial</x:v>
      </x:c>
      <x:c r="F190" s="277"/>
      <x:c r="G190" s="277"/>
    </x:row>
    <x:row r="191">
      <x:c r="A191" s="279" t="str">
        <x:v>Total Investment property</x:v>
      </x:c>
      <x:c r="B191" s="290" t="n">
        <x:f>SUM(B188:B190)</x:f>
        <x:v>0</x:v>
      </x:c>
      <x:c r="C191" s="290" t="n">
        <x:f>SUM(C188:C190)</x:f>
        <x:v>0</x:v>
      </x:c>
      <x:c r="D191" s="290"/>
      <x:c r="E191" s="290" t="str">
        <x:v>Financial / non-financial</x:v>
      </x:c>
      <x:c r="F191" s="290"/>
      <x:c r="G191" s="290"/>
    </x:row>
    <x:row r="192">
      <x:c r="A192" s="255" t="str">
        <x:v>Note 13 — Biological assets other than bearer plants</x:v>
      </x:c>
      <x:c r="B192" s="291"/>
      <x:c r="C192" s="291"/>
      <x:c r="D192" s="291"/>
      <x:c r="E192" s="291"/>
      <x:c r="F192" s="291"/>
      <x:c r="G192" s="291"/>
    </x:row>
    <x:row r="193">
      <x:c r="A193" s="248" t="str">
        <x:v>Particulars</x:v>
      </x:c>
      <x:c r="B193" s="261" t="str">
        <x:v>Current Year</x:v>
      </x:c>
      <x:c r="C193" s="261" t="str">
        <x:v>Previous Year</x:v>
      </x:c>
      <x:c r="D193" s="261" t="str">
        <x:v>Mapping / Source</x:v>
      </x:c>
      <x:c r="E193" s="261" t="str">
        <x:v>Classification</x:v>
      </x:c>
      <x:c r="F193" s="261" t="str">
        <x:v>Remarks</x:v>
      </x:c>
      <x:c r="G193" s="261"/>
    </x:row>
    <x:row r="194">
      <x:c r="A194" s="248" t="str">
        <x:v>Biological assets</x:v>
      </x:c>
      <x:c r="B194" s="261"/>
      <x:c r="C194" s="261"/>
      <x:c r="D194" s="261"/>
      <x:c r="E194" s="261" t="str">
        <x:v>Financial / non-financial</x:v>
      </x:c>
      <x:c r="F194" s="261"/>
      <x:c r="G194" s="261"/>
    </x:row>
    <x:row r="195">
      <x:c r="A195" s="248" t="str">
        <x:v>Fair value / cost adjustments</x:v>
      </x:c>
      <x:c r="B195" s="261"/>
      <x:c r="C195" s="261"/>
      <x:c r="D195" s="261"/>
      <x:c r="E195" s="261" t="str">
        <x:v>Financial / non-financial</x:v>
      </x:c>
      <x:c r="F195" s="261"/>
      <x:c r="G195" s="261"/>
    </x:row>
    <x:row r="196">
      <x:c r="A196" s="276" t="str">
        <x:v>Less: Impairment</x:v>
      </x:c>
      <x:c r="B196" s="277"/>
      <x:c r="C196" s="277"/>
      <x:c r="D196" s="277"/>
      <x:c r="E196" s="277" t="str">
        <x:v>Financial / non-financial</x:v>
      </x:c>
      <x:c r="F196" s="277"/>
      <x:c r="G196" s="277"/>
    </x:row>
    <x:row r="197">
      <x:c r="A197" s="279" t="str">
        <x:v>Total Biological assets other than bearer plants</x:v>
      </x:c>
      <x:c r="B197" s="290" t="n">
        <x:f>SUM(B194:B196)</x:f>
        <x:v>0</x:v>
      </x:c>
      <x:c r="C197" s="290" t="n">
        <x:f>SUM(C194:C196)</x:f>
        <x:v>0</x:v>
      </x:c>
      <x:c r="D197" s="290"/>
      <x:c r="E197" s="290" t="str">
        <x:v>Financial / non-financial</x:v>
      </x:c>
      <x:c r="F197" s="290"/>
      <x:c r="G197" s="290"/>
    </x:row>
    <x:row r="198">
      <x:c r="A198" s="255" t="str">
        <x:v>Note 14 — Property, Plant and Equipment</x:v>
      </x:c>
      <x:c r="B198" s="291"/>
      <x:c r="C198" s="291"/>
      <x:c r="D198" s="291"/>
      <x:c r="E198" s="291"/>
      <x:c r="F198" s="291"/>
      <x:c r="G198" s="291"/>
    </x:row>
    <x:row r="199">
      <x:c r="A199" s="248" t="str">
        <x:v>Particulars</x:v>
      </x:c>
      <x:c r="B199" s="261" t="str">
        <x:v>Current Year</x:v>
      </x:c>
      <x:c r="C199" s="261" t="str">
        <x:v>Previous Year</x:v>
      </x:c>
      <x:c r="D199" s="261" t="str">
        <x:v>Mapping / Source</x:v>
      </x:c>
      <x:c r="E199" s="261" t="str">
        <x:v>Classification</x:v>
      </x:c>
      <x:c r="F199" s="261" t="str">
        <x:v>Remarks</x:v>
      </x:c>
      <x:c r="G199" s="261"/>
    </x:row>
    <x:row r="200">
      <x:c r="A200" s="248" t="str">
        <x:v>Land</x:v>
      </x:c>
      <x:c r="B200" s="261"/>
      <x:c r="C200" s="261"/>
      <x:c r="D200" s="261"/>
      <x:c r="E200" s="261" t="str">
        <x:v>Financial / non-financial</x:v>
      </x:c>
      <x:c r="F200" s="261"/>
      <x:c r="G200" s="261"/>
    </x:row>
    <x:row r="201">
      <x:c r="A201" s="248" t="str">
        <x:v>Buildings</x:v>
      </x:c>
      <x:c r="B201" s="261"/>
      <x:c r="C201" s="261"/>
      <x:c r="D201" s="261"/>
      <x:c r="E201" s="261" t="str">
        <x:v>Financial / non-financial</x:v>
      </x:c>
      <x:c r="F201" s="261"/>
      <x:c r="G201" s="261"/>
    </x:row>
    <x:row r="202">
      <x:c r="A202" s="276" t="str">
        <x:v>Plant and equipment</x:v>
      </x:c>
      <x:c r="B202" s="277"/>
      <x:c r="C202" s="277"/>
      <x:c r="D202" s="277"/>
      <x:c r="E202" s="277" t="str">
        <x:v>Financial / non-financial</x:v>
      </x:c>
      <x:c r="F202" s="277"/>
      <x:c r="G202" s="277"/>
    </x:row>
    <x:row r="203">
      <x:c r="A203" s="279" t="str">
        <x:v>Furniture and fixtures</x:v>
      </x:c>
      <x:c r="B203" s="290"/>
      <x:c r="C203" s="290"/>
      <x:c r="D203" s="290"/>
      <x:c r="E203" s="290" t="str">
        <x:v>Financial / non-financial</x:v>
      </x:c>
      <x:c r="F203" s="290"/>
      <x:c r="G203" s="290"/>
    </x:row>
    <x:row r="204">
      <x:c r="A204" s="255" t="str">
        <x:v>Vehicles</x:v>
      </x:c>
      <x:c r="B204" s="291"/>
      <x:c r="C204" s="291"/>
      <x:c r="D204" s="291"/>
      <x:c r="E204" s="291" t="str">
        <x:v>Financial / non-financial</x:v>
      </x:c>
      <x:c r="F204" s="291"/>
      <x:c r="G204" s="291"/>
    </x:row>
    <x:row r="205">
      <x:c r="A205" s="248" t="str">
        <x:v>Office equipment / computers</x:v>
      </x:c>
      <x:c r="B205" s="261"/>
      <x:c r="C205" s="261"/>
      <x:c r="D205" s="261"/>
      <x:c r="E205" s="261" t="str">
        <x:v>Financial / non-financial</x:v>
      </x:c>
      <x:c r="F205" s="261"/>
      <x:c r="G205" s="261"/>
    </x:row>
    <x:row r="206">
      <x:c r="A206" s="248" t="str">
        <x:v>Total Property, Plant and Equipment</x:v>
      </x:c>
      <x:c r="B206" s="261" t="n">
        <x:f>SUM(B200:B205)</x:f>
        <x:v>0</x:v>
      </x:c>
      <x:c r="C206" s="261" t="n">
        <x:f>SUM(C200:C205)</x:f>
        <x:v>0</x:v>
      </x:c>
      <x:c r="D206" s="261"/>
      <x:c r="E206" s="261" t="str">
        <x:v>Financial / non-financial</x:v>
      </x:c>
      <x:c r="F206" s="261"/>
      <x:c r="G206" s="261"/>
    </x:row>
    <x:row r="207">
      <x:c r="A207" s="248" t="str">
        <x:v>Note 15 — Capital work-in-progress</x:v>
      </x:c>
      <x:c r="B207" s="261"/>
      <x:c r="C207" s="261"/>
      <x:c r="D207" s="261"/>
      <x:c r="E207" s="261"/>
      <x:c r="F207" s="261"/>
      <x:c r="G207" s="261"/>
    </x:row>
    <x:row r="208">
      <x:c r="A208" s="248" t="str">
        <x:v>Particulars</x:v>
      </x:c>
      <x:c r="B208" s="261" t="str">
        <x:v>Current Year</x:v>
      </x:c>
      <x:c r="C208" s="261" t="str">
        <x:v>Previous Year</x:v>
      </x:c>
      <x:c r="D208" s="261" t="str">
        <x:v>Mapping / Source</x:v>
      </x:c>
      <x:c r="E208" s="261" t="str">
        <x:v>Classification</x:v>
      </x:c>
      <x:c r="F208" s="261" t="str">
        <x:v>Remarks</x:v>
      </x:c>
      <x:c r="G208" s="261"/>
    </x:row>
    <x:row r="209">
      <x:c r="A209" s="276" t="str">
        <x:v>Projects in progress</x:v>
      </x:c>
      <x:c r="B209" s="277"/>
      <x:c r="C209" s="277"/>
      <x:c r="D209" s="277"/>
      <x:c r="E209" s="277" t="str">
        <x:v>Financial / non-financial</x:v>
      </x:c>
      <x:c r="F209" s="277"/>
      <x:c r="G209" s="277"/>
    </x:row>
    <x:row r="210">
      <x:c r="A210" s="279" t="str">
        <x:v>Projects temporarily suspended</x:v>
      </x:c>
      <x:c r="B210" s="290"/>
      <x:c r="C210" s="290"/>
      <x:c r="D210" s="290"/>
      <x:c r="E210" s="290" t="str">
        <x:v>Financial / non-financial</x:v>
      </x:c>
      <x:c r="F210" s="290"/>
      <x:c r="G210" s="290"/>
    </x:row>
    <x:row r="211">
      <x:c r="A211" s="255" t="str">
        <x:v>Capital advances transferred / adjustments</x:v>
      </x:c>
      <x:c r="B211" s="291"/>
      <x:c r="C211" s="291"/>
      <x:c r="D211" s="291"/>
      <x:c r="E211" s="291" t="str">
        <x:v>Financial / non-financial</x:v>
      </x:c>
      <x:c r="F211" s="291"/>
      <x:c r="G211" s="291"/>
    </x:row>
    <x:row r="212">
      <x:c r="A212" s="248" t="str">
        <x:v>Total Capital work-in-progress</x:v>
      </x:c>
      <x:c r="B212" s="261" t="n">
        <x:f>SUM(B209:B211)</x:f>
        <x:v>0</x:v>
      </x:c>
      <x:c r="C212" s="261" t="n">
        <x:f>SUM(C209:C211)</x:f>
        <x:v>0</x:v>
      </x:c>
      <x:c r="D212" s="261"/>
      <x:c r="E212" s="261" t="str">
        <x:v>Financial / non-financial</x:v>
      </x:c>
      <x:c r="F212" s="261"/>
      <x:c r="G212" s="261"/>
    </x:row>
    <x:row r="213">
      <x:c r="A213" s="248" t="str">
        <x:v>Note 16 — Intangible assets under development</x:v>
      </x:c>
      <x:c r="B213" s="261"/>
      <x:c r="C213" s="261"/>
      <x:c r="D213" s="261"/>
      <x:c r="E213" s="261"/>
      <x:c r="F213" s="261"/>
      <x:c r="G213" s="261"/>
    </x:row>
    <x:row r="214">
      <x:c r="A214" s="248" t="str">
        <x:v>Particulars</x:v>
      </x:c>
      <x:c r="B214" s="261" t="str">
        <x:v>Current Year</x:v>
      </x:c>
      <x:c r="C214" s="261" t="str">
        <x:v>Previous Year</x:v>
      </x:c>
      <x:c r="D214" s="261" t="str">
        <x:v>Mapping / Source</x:v>
      </x:c>
      <x:c r="E214" s="261" t="str">
        <x:v>Classification</x:v>
      </x:c>
      <x:c r="F214" s="261" t="str">
        <x:v>Remarks</x:v>
      </x:c>
      <x:c r="G214" s="261"/>
    </x:row>
    <x:row r="215">
      <x:c r="A215" s="248" t="str">
        <x:v>Software under development</x:v>
      </x:c>
      <x:c r="B215" s="261"/>
      <x:c r="C215" s="261"/>
      <x:c r="D215" s="261"/>
      <x:c r="E215" s="261" t="str">
        <x:v>Financial / non-financial</x:v>
      </x:c>
      <x:c r="F215" s="261"/>
      <x:c r="G215" s="261"/>
    </x:row>
    <x:row r="216">
      <x:c r="A216" s="276" t="str">
        <x:v>Licences / rights under development</x:v>
      </x:c>
      <x:c r="B216" s="277"/>
      <x:c r="C216" s="277"/>
      <x:c r="D216" s="277"/>
      <x:c r="E216" s="277" t="str">
        <x:v>Financial / non-financial</x:v>
      </x:c>
      <x:c r="F216" s="277"/>
      <x:c r="G216" s="277"/>
    </x:row>
    <x:row r="217">
      <x:c r="A217" s="279" t="str">
        <x:v>Other intangible projects</x:v>
      </x:c>
      <x:c r="B217" s="290"/>
      <x:c r="C217" s="290"/>
      <x:c r="D217" s="290"/>
      <x:c r="E217" s="290" t="str">
        <x:v>Financial / non-financial</x:v>
      </x:c>
      <x:c r="F217" s="290"/>
      <x:c r="G217" s="290"/>
    </x:row>
    <x:row r="218">
      <x:c r="A218" s="255" t="str">
        <x:v>Total Intangible assets under development</x:v>
      </x:c>
      <x:c r="B218" s="291" t="n">
        <x:f>SUM(B215:B217)</x:f>
        <x:v>0</x:v>
      </x:c>
      <x:c r="C218" s="291" t="n">
        <x:f>SUM(C215:C217)</x:f>
        <x:v>0</x:v>
      </x:c>
      <x:c r="D218" s="291"/>
      <x:c r="E218" s="291" t="str">
        <x:v>Financial / non-financial</x:v>
      </x:c>
      <x:c r="F218" s="291"/>
      <x:c r="G218" s="291"/>
    </x:row>
    <x:row r="219">
      <x:c r="A219" s="248" t="str">
        <x:v>Note 17 — Goodwill</x:v>
      </x:c>
      <x:c r="B219" s="261"/>
      <x:c r="C219" s="261"/>
      <x:c r="D219" s="261"/>
      <x:c r="E219" s="261"/>
      <x:c r="F219" s="261"/>
      <x:c r="G219" s="261"/>
    </x:row>
    <x:row r="220">
      <x:c r="A220" s="248" t="str">
        <x:v>Particulars</x:v>
      </x:c>
      <x:c r="B220" s="261" t="str">
        <x:v>Current Year</x:v>
      </x:c>
      <x:c r="C220" s="261" t="str">
        <x:v>Previous Year</x:v>
      </x:c>
      <x:c r="D220" s="261" t="str">
        <x:v>Mapping / Source</x:v>
      </x:c>
      <x:c r="E220" s="261" t="str">
        <x:v>Classification</x:v>
      </x:c>
      <x:c r="F220" s="261" t="str">
        <x:v>Remarks</x:v>
      </x:c>
      <x:c r="G220" s="261"/>
    </x:row>
    <x:row r="221">
      <x:c r="A221" s="248" t="str">
        <x:v>Goodwill on business combinations</x:v>
      </x:c>
      <x:c r="B221" s="261"/>
      <x:c r="C221" s="261"/>
      <x:c r="D221" s="261"/>
      <x:c r="E221" s="261" t="str">
        <x:v>Financial / non-financial</x:v>
      </x:c>
      <x:c r="F221" s="261"/>
      <x:c r="G221" s="261"/>
    </x:row>
    <x:row r="222">
      <x:c r="A222" s="276" t="str">
        <x:v>Less: Impairment</x:v>
      </x:c>
      <x:c r="B222" s="277"/>
      <x:c r="C222" s="277"/>
      <x:c r="D222" s="277"/>
      <x:c r="E222" s="277" t="str">
        <x:v>Financial / non-financial</x:v>
      </x:c>
      <x:c r="F222" s="277"/>
      <x:c r="G222" s="277"/>
    </x:row>
    <x:row r="223">
      <x:c r="A223" s="279" t="str">
        <x:v>Other adjustments</x:v>
      </x:c>
      <x:c r="B223" s="290"/>
      <x:c r="C223" s="290"/>
      <x:c r="D223" s="290"/>
      <x:c r="E223" s="290" t="str">
        <x:v>Financial / non-financial</x:v>
      </x:c>
      <x:c r="F223" s="290"/>
      <x:c r="G223" s="290"/>
    </x:row>
    <x:row r="224">
      <x:c r="A224" s="255" t="str">
        <x:v>Total Goodwill</x:v>
      </x:c>
      <x:c r="B224" s="291" t="n">
        <x:f>SUM(B221:B223)</x:f>
        <x:v>0</x:v>
      </x:c>
      <x:c r="C224" s="291" t="n">
        <x:f>SUM(C221:C223)</x:f>
        <x:v>0</x:v>
      </x:c>
      <x:c r="D224" s="291"/>
      <x:c r="E224" s="291" t="str">
        <x:v>Financial / non-financial</x:v>
      </x:c>
      <x:c r="F224" s="291"/>
      <x:c r="G224" s="291"/>
    </x:row>
    <x:row r="225">
      <x:c r="A225" s="248" t="str">
        <x:v>Note 18 — Other intangible assets</x:v>
      </x:c>
      <x:c r="B225" s="261"/>
      <x:c r="C225" s="261"/>
      <x:c r="D225" s="261"/>
      <x:c r="E225" s="261"/>
      <x:c r="F225" s="261"/>
      <x:c r="G225" s="261"/>
    </x:row>
    <x:row r="226">
      <x:c r="A226" s="248" t="str">
        <x:v>Particulars</x:v>
      </x:c>
      <x:c r="B226" s="261" t="str">
        <x:v>Current Year</x:v>
      </x:c>
      <x:c r="C226" s="261" t="str">
        <x:v>Previous Year</x:v>
      </x:c>
      <x:c r="D226" s="261" t="str">
        <x:v>Mapping / Source</x:v>
      </x:c>
      <x:c r="E226" s="261" t="str">
        <x:v>Classification</x:v>
      </x:c>
      <x:c r="F226" s="261" t="str">
        <x:v>Remarks</x:v>
      </x:c>
      <x:c r="G226" s="261"/>
    </x:row>
    <x:row r="227">
      <x:c r="A227" s="248" t="str">
        <x:v>Software</x:v>
      </x:c>
      <x:c r="B227" s="261"/>
      <x:c r="C227" s="261"/>
      <x:c r="D227" s="261"/>
      <x:c r="E227" s="261" t="str">
        <x:v>Financial / non-financial</x:v>
      </x:c>
      <x:c r="F227" s="261"/>
      <x:c r="G227" s="261"/>
    </x:row>
    <x:row r="228">
      <x:c r="A228" s="248" t="str">
        <x:v>Licences and franchises</x:v>
      </x:c>
      <x:c r="B228" s="261"/>
      <x:c r="C228" s="261"/>
      <x:c r="D228" s="261"/>
      <x:c r="E228" s="261" t="str">
        <x:v>Financial / non-financial</x:v>
      </x:c>
      <x:c r="F228" s="261"/>
      <x:c r="G228" s="261"/>
    </x:row>
    <x:row r="229">
      <x:c r="A229" s="276" t="str">
        <x:v>Brands / trademarks</x:v>
      </x:c>
      <x:c r="B229" s="277"/>
      <x:c r="C229" s="277"/>
      <x:c r="D229" s="277"/>
      <x:c r="E229" s="277" t="str">
        <x:v>Financial / non-financial</x:v>
      </x:c>
      <x:c r="F229" s="277"/>
      <x:c r="G229" s="277"/>
    </x:row>
    <x:row r="230">
      <x:c r="A230" s="279" t="str">
        <x:v>Other intangible assets</x:v>
      </x:c>
      <x:c r="B230" s="290"/>
      <x:c r="C230" s="290"/>
      <x:c r="D230" s="290"/>
      <x:c r="E230" s="290" t="str">
        <x:v>Financial / non-financial</x:v>
      </x:c>
      <x:c r="F230" s="290"/>
      <x:c r="G230" s="290"/>
    </x:row>
    <x:row r="231">
      <x:c r="A231" s="255" t="str">
        <x:v>Total Other intangible assets</x:v>
      </x:c>
      <x:c r="B231" s="291" t="n">
        <x:f>SUM(B227:B230)</x:f>
        <x:v>0</x:v>
      </x:c>
      <x:c r="C231" s="291" t="n">
        <x:f>SUM(C227:C230)</x:f>
        <x:v>0</x:v>
      </x:c>
      <x:c r="D231" s="291"/>
      <x:c r="E231" s="291" t="str">
        <x:v>Financial / non-financial</x:v>
      </x:c>
      <x:c r="F231" s="291"/>
      <x:c r="G231" s="291"/>
    </x:row>
    <x:row r="232">
      <x:c r="A232" s="248" t="str">
        <x:v>Note 19 — Other non-financial assets (to be specified)</x:v>
      </x:c>
      <x:c r="B232" s="261"/>
      <x:c r="C232" s="261"/>
      <x:c r="D232" s="261"/>
      <x:c r="E232" s="261"/>
      <x:c r="F232" s="261"/>
      <x:c r="G232" s="261"/>
    </x:row>
    <x:row r="233">
      <x:c r="A233" s="248" t="str">
        <x:v>Particulars</x:v>
      </x:c>
      <x:c r="B233" s="261" t="str">
        <x:v>Current Year</x:v>
      </x:c>
      <x:c r="C233" s="261" t="str">
        <x:v>Previous Year</x:v>
      </x:c>
      <x:c r="D233" s="261" t="str">
        <x:v>Mapping / Source</x:v>
      </x:c>
      <x:c r="E233" s="261" t="str">
        <x:v>Classification</x:v>
      </x:c>
      <x:c r="F233" s="261" t="str">
        <x:v>Remarks</x:v>
      </x:c>
      <x:c r="G233" s="261"/>
    </x:row>
    <x:row r="234">
      <x:c r="A234" s="248" t="str">
        <x:v>Capital advances</x:v>
      </x:c>
      <x:c r="B234" s="261"/>
      <x:c r="C234" s="261"/>
      <x:c r="D234" s="261"/>
      <x:c r="E234" s="261" t="str">
        <x:v>Financial / non-financial</x:v>
      </x:c>
      <x:c r="F234" s="261"/>
      <x:c r="G234" s="261"/>
    </x:row>
    <x:row r="235">
      <x:c r="A235" s="248" t="str">
        <x:v>Prepaid expenses</x:v>
      </x:c>
      <x:c r="B235" s="261"/>
      <x:c r="C235" s="261"/>
      <x:c r="D235" s="261"/>
      <x:c r="E235" s="261" t="str">
        <x:v>Financial / non-financial</x:v>
      </x:c>
      <x:c r="F235" s="261"/>
      <x:c r="G235" s="261"/>
    </x:row>
    <x:row r="236">
      <x:c r="A236" s="276" t="str">
        <x:v>Balances with government authorities</x:v>
      </x:c>
      <x:c r="B236" s="277"/>
      <x:c r="C236" s="277"/>
      <x:c r="D236" s="277"/>
      <x:c r="E236" s="277" t="str">
        <x:v>Financial / non-financial</x:v>
      </x:c>
      <x:c r="F236" s="277"/>
      <x:c r="G236" s="277"/>
    </x:row>
    <x:row r="237">
      <x:c r="A237" s="279" t="str">
        <x:v>Other assets</x:v>
      </x:c>
      <x:c r="B237" s="290"/>
      <x:c r="C237" s="290"/>
      <x:c r="D237" s="290"/>
      <x:c r="E237" s="290" t="str">
        <x:v>Financial / non-financial</x:v>
      </x:c>
      <x:c r="F237" s="290"/>
      <x:c r="G237" s="290"/>
    </x:row>
    <x:row r="238">
      <x:c r="A238" s="255" t="str">
        <x:v>Total Other non-financial assets (to be specified)</x:v>
      </x:c>
      <x:c r="B238" s="291" t="n">
        <x:f>SUM(B234:B237)</x:f>
        <x:v>0</x:v>
      </x:c>
      <x:c r="C238" s="291" t="n">
        <x:f>SUM(C234:C237)</x:f>
        <x:v>0</x:v>
      </x:c>
      <x:c r="D238" s="291"/>
      <x:c r="E238" s="291" t="str">
        <x:v>Financial / non-financial</x:v>
      </x:c>
      <x:c r="F238" s="291"/>
      <x:c r="G238" s="291"/>
    </x:row>
    <x:row r="239">
      <x:c r="A239" s="248" t="str">
        <x:v>Note 20 — Derivative financial instruments — Financial liabilities</x:v>
      </x:c>
      <x:c r="B239" s="261"/>
      <x:c r="C239" s="261"/>
      <x:c r="D239" s="261"/>
      <x:c r="E239" s="261"/>
      <x:c r="F239" s="261"/>
      <x:c r="G239" s="261"/>
    </x:row>
    <x:row r="240">
      <x:c r="A240" s="248" t="str">
        <x:v>Particulars</x:v>
      </x:c>
      <x:c r="B240" s="261" t="str">
        <x:v>Current Year</x:v>
      </x:c>
      <x:c r="C240" s="261" t="str">
        <x:v>Previous Year</x:v>
      </x:c>
      <x:c r="D240" s="261" t="str">
        <x:v>Mapping / Source</x:v>
      </x:c>
      <x:c r="E240" s="261" t="str">
        <x:v>Classification</x:v>
      </x:c>
      <x:c r="F240" s="261" t="str">
        <x:v>Remarks</x:v>
      </x:c>
      <x:c r="G240" s="261"/>
    </x:row>
    <x:row r="241">
      <x:c r="A241" s="248" t="str">
        <x:v>Forward contracts</x:v>
      </x:c>
      <x:c r="B241" s="261"/>
      <x:c r="C241" s="261"/>
      <x:c r="D241" s="261"/>
      <x:c r="E241" s="261" t="str">
        <x:v>Financial / non-financial</x:v>
      </x:c>
      <x:c r="F241" s="261"/>
      <x:c r="G241" s="261"/>
    </x:row>
    <x:row r="242">
      <x:c r="A242" s="276" t="str">
        <x:v>Options / swaps</x:v>
      </x:c>
      <x:c r="B242" s="277"/>
      <x:c r="C242" s="277"/>
      <x:c r="D242" s="277"/>
      <x:c r="E242" s="277" t="str">
        <x:v>Financial / non-financial</x:v>
      </x:c>
      <x:c r="F242" s="277"/>
      <x:c r="G242" s="277"/>
    </x:row>
    <x:row r="243">
      <x:c r="A243" s="279" t="str">
        <x:v>Other derivatives</x:v>
      </x:c>
      <x:c r="B243" s="290"/>
      <x:c r="C243" s="290"/>
      <x:c r="D243" s="290"/>
      <x:c r="E243" s="290" t="str">
        <x:v>Financial / non-financial</x:v>
      </x:c>
      <x:c r="F243" s="290"/>
      <x:c r="G243" s="290"/>
    </x:row>
    <x:row r="244">
      <x:c r="A244" s="255" t="str">
        <x:v>Total Derivative financial instruments</x:v>
      </x:c>
      <x:c r="B244" s="291" t="n">
        <x:f>SUM(B241:B243)</x:f>
        <x:v>0</x:v>
      </x:c>
      <x:c r="C244" s="291" t="n">
        <x:f>SUM(C241:C243)</x:f>
        <x:v>0</x:v>
      </x:c>
      <x:c r="D244" s="291"/>
      <x:c r="E244" s="291" t="str">
        <x:v>Financial / non-financial</x:v>
      </x:c>
      <x:c r="F244" s="291"/>
      <x:c r="G244" s="291"/>
    </x:row>
    <x:row r="245">
      <x:c r="A245" s="248" t="str">
        <x:v>Note 21 — Total outstanding dues of micro enterprises and small enterprises — Financial liabilities</x:v>
      </x:c>
      <x:c r="B245" s="261"/>
      <x:c r="C245" s="261"/>
      <x:c r="D245" s="261"/>
      <x:c r="E245" s="261"/>
      <x:c r="F245" s="261"/>
      <x:c r="G245" s="261"/>
    </x:row>
    <x:row r="246">
      <x:c r="A246" s="248" t="str">
        <x:v>Particulars</x:v>
      </x:c>
      <x:c r="B246" s="261" t="str">
        <x:v>Current Year</x:v>
      </x:c>
      <x:c r="C246" s="261" t="str">
        <x:v>Previous Year</x:v>
      </x:c>
      <x:c r="D246" s="261" t="str">
        <x:v>Mapping / Source</x:v>
      </x:c>
      <x:c r="E246" s="261" t="str">
        <x:v>Classification</x:v>
      </x:c>
      <x:c r="F246" s="261" t="str">
        <x:v>Remarks</x:v>
      </x:c>
      <x:c r="G246" s="261"/>
    </x:row>
    <x:row r="247">
      <x:c r="A247" s="248" t="str">
        <x:v>MSME principal outstanding</x:v>
      </x:c>
      <x:c r="B247" s="261"/>
      <x:c r="C247" s="261"/>
      <x:c r="D247" s="261"/>
      <x:c r="E247" s="261" t="str">
        <x:v>Financial / non-financial</x:v>
      </x:c>
      <x:c r="F247" s="261"/>
      <x:c r="G247" s="261"/>
    </x:row>
    <x:row r="248">
      <x:c r="A248" s="248" t="str">
        <x:v>Interest due to MSME</x:v>
      </x:c>
      <x:c r="B248" s="261"/>
      <x:c r="C248" s="261"/>
      <x:c r="D248" s="261"/>
      <x:c r="E248" s="261" t="str">
        <x:v>Financial / non-financial</x:v>
      </x:c>
      <x:c r="F248" s="261"/>
      <x:c r="G248" s="261"/>
    </x:row>
    <x:row r="249">
      <x:c r="A249" s="276" t="str">
        <x:v>Other MSME dues</x:v>
      </x:c>
      <x:c r="B249" s="277"/>
      <x:c r="C249" s="277"/>
      <x:c r="D249" s="277"/>
      <x:c r="E249" s="277" t="str">
        <x:v>Financial / non-financial</x:v>
      </x:c>
      <x:c r="F249" s="277"/>
      <x:c r="G249" s="277"/>
    </x:row>
    <x:row r="250">
      <x:c r="A250" s="279" t="str">
        <x:v>Total Total outstanding dues of micro enterprises and small enterprises</x:v>
      </x:c>
      <x:c r="B250" s="290" t="n">
        <x:f>SUM(B247:B249)</x:f>
        <x:v>0</x:v>
      </x:c>
      <x:c r="C250" s="290" t="n">
        <x:f>SUM(C247:C249)</x:f>
        <x:v>0</x:v>
      </x:c>
      <x:c r="D250" s="290"/>
      <x:c r="E250" s="290" t="str">
        <x:v>Financial / non-financial</x:v>
      </x:c>
      <x:c r="F250" s="290"/>
      <x:c r="G250" s="290"/>
    </x:row>
    <x:row r="251">
      <x:c r="A251" s="255" t="str">
        <x:v>Note 22 — Total outstanding dues of creditors other than micro enterprises and small enterprises — Financial liabilities</x:v>
      </x:c>
      <x:c r="B251" s="291"/>
      <x:c r="C251" s="291"/>
      <x:c r="D251" s="291"/>
      <x:c r="E251" s="291"/>
      <x:c r="F251" s="291"/>
      <x:c r="G251" s="291"/>
    </x:row>
    <x:row r="252">
      <x:c r="A252" s="248" t="str">
        <x:v>Particulars</x:v>
      </x:c>
      <x:c r="B252" s="261" t="str">
        <x:v>Current Year</x:v>
      </x:c>
      <x:c r="C252" s="261" t="str">
        <x:v>Previous Year</x:v>
      </x:c>
      <x:c r="D252" s="261" t="str">
        <x:v>Mapping / Source</x:v>
      </x:c>
      <x:c r="E252" s="261" t="str">
        <x:v>Classification</x:v>
      </x:c>
      <x:c r="F252" s="261" t="str">
        <x:v>Remarks</x:v>
      </x:c>
      <x:c r="G252" s="261"/>
    </x:row>
    <x:row r="253">
      <x:c r="A253" s="248" t="str">
        <x:v>MSME principal outstanding</x:v>
      </x:c>
      <x:c r="B253" s="261"/>
      <x:c r="C253" s="261"/>
      <x:c r="D253" s="261"/>
      <x:c r="E253" s="261" t="str">
        <x:v>Financial / non-financial</x:v>
      </x:c>
      <x:c r="F253" s="261"/>
      <x:c r="G253" s="261"/>
    </x:row>
    <x:row r="254">
      <x:c r="A254" s="248" t="str">
        <x:v>Interest due to MSME</x:v>
      </x:c>
      <x:c r="B254" s="261"/>
      <x:c r="C254" s="261"/>
      <x:c r="D254" s="261"/>
      <x:c r="E254" s="261" t="str">
        <x:v>Financial / non-financial</x:v>
      </x:c>
      <x:c r="F254" s="261"/>
      <x:c r="G254" s="261"/>
    </x:row>
    <x:row r="255">
      <x:c r="A255" s="276" t="str">
        <x:v>Other MSME dues</x:v>
      </x:c>
      <x:c r="B255" s="277"/>
      <x:c r="C255" s="277"/>
      <x:c r="D255" s="277"/>
      <x:c r="E255" s="277" t="str">
        <x:v>Financial / non-financial</x:v>
      </x:c>
      <x:c r="F255" s="277"/>
      <x:c r="G255" s="277"/>
    </x:row>
    <x:row r="256">
      <x:c r="A256" s="279" t="str">
        <x:v>Total Total outstanding dues of creditors other than micro enterprises and small enterprises</x:v>
      </x:c>
      <x:c r="B256" s="290" t="n">
        <x:f>SUM(B253:B255)</x:f>
        <x:v>0</x:v>
      </x:c>
      <x:c r="C256" s="290" t="n">
        <x:f>SUM(C253:C255)</x:f>
        <x:v>0</x:v>
      </x:c>
      <x:c r="D256" s="290"/>
      <x:c r="E256" s="290" t="str">
        <x:v>Financial / non-financial</x:v>
      </x:c>
      <x:c r="F256" s="290"/>
      <x:c r="G256" s="290"/>
    </x:row>
    <x:row r="257">
      <x:c r="A257" s="255" t="str">
        <x:v>Note 23 — Total outstanding dues of micro enterprises and small enterprises — Financial liabilities</x:v>
      </x:c>
      <x:c r="B257" s="291"/>
      <x:c r="C257" s="291"/>
      <x:c r="D257" s="291"/>
      <x:c r="E257" s="291"/>
      <x:c r="F257" s="291"/>
      <x:c r="G257" s="291"/>
    </x:row>
    <x:row r="258">
      <x:c r="A258" s="248" t="str">
        <x:v>Particulars</x:v>
      </x:c>
      <x:c r="B258" s="261" t="str">
        <x:v>Current Year</x:v>
      </x:c>
      <x:c r="C258" s="261" t="str">
        <x:v>Previous Year</x:v>
      </x:c>
      <x:c r="D258" s="261" t="str">
        <x:v>Mapping / Source</x:v>
      </x:c>
      <x:c r="E258" s="261" t="str">
        <x:v>Classification</x:v>
      </x:c>
      <x:c r="F258" s="261" t="str">
        <x:v>Remarks</x:v>
      </x:c>
      <x:c r="G258" s="261"/>
    </x:row>
    <x:row r="259">
      <x:c r="A259" s="248" t="str">
        <x:v>MSME principal outstanding</x:v>
      </x:c>
      <x:c r="B259" s="261"/>
      <x:c r="C259" s="261"/>
      <x:c r="D259" s="261"/>
      <x:c r="E259" s="261" t="str">
        <x:v>Financial / non-financial</x:v>
      </x:c>
      <x:c r="F259" s="261"/>
      <x:c r="G259" s="261"/>
    </x:row>
    <x:row r="260">
      <x:c r="A260" s="248" t="str">
        <x:v>Interest due to MSME</x:v>
      </x:c>
      <x:c r="B260" s="261"/>
      <x:c r="C260" s="261"/>
      <x:c r="D260" s="261"/>
      <x:c r="E260" s="261" t="str">
        <x:v>Financial / non-financial</x:v>
      </x:c>
      <x:c r="F260" s="261"/>
      <x:c r="G260" s="261"/>
    </x:row>
    <x:row r="261">
      <x:c r="A261" s="248" t="str">
        <x:v>Other MSME dues</x:v>
      </x:c>
      <x:c r="B261" s="261"/>
      <x:c r="C261" s="261"/>
      <x:c r="D261" s="261"/>
      <x:c r="E261" s="261" t="str">
        <x:v>Financial / non-financial</x:v>
      </x:c>
      <x:c r="F261" s="261"/>
      <x:c r="G261" s="261"/>
    </x:row>
    <x:row r="262">
      <x:c r="A262" s="276" t="str">
        <x:v>Total Total outstanding dues of micro enterprises and small enterprises</x:v>
      </x:c>
      <x:c r="B262" s="277" t="n">
        <x:f>SUM(B259:B261)</x:f>
        <x:v>0</x:v>
      </x:c>
      <x:c r="C262" s="277" t="n">
        <x:f>SUM(C259:C261)</x:f>
        <x:v>0</x:v>
      </x:c>
      <x:c r="D262" s="277"/>
      <x:c r="E262" s="277" t="str">
        <x:v>Financial / non-financial</x:v>
      </x:c>
      <x:c r="F262" s="277"/>
      <x:c r="G262" s="277"/>
    </x:row>
    <x:row r="263">
      <x:c r="A263" s="279" t="str">
        <x:v>Note 24 — Total outstanding dues of creditors other than micro enterprises and small enterprises — Financial liabilities</x:v>
      </x:c>
      <x:c r="B263" s="290"/>
      <x:c r="C263" s="290"/>
      <x:c r="D263" s="290"/>
      <x:c r="E263" s="290"/>
      <x:c r="F263" s="290"/>
      <x:c r="G263" s="290"/>
    </x:row>
    <x:row r="264">
      <x:c r="A264" s="255" t="str">
        <x:v>Particulars</x:v>
      </x:c>
      <x:c r="B264" s="291" t="str">
        <x:v>Current Year</x:v>
      </x:c>
      <x:c r="C264" s="291" t="str">
        <x:v>Previous Year</x:v>
      </x:c>
      <x:c r="D264" s="291" t="str">
        <x:v>Mapping / Source</x:v>
      </x:c>
      <x:c r="E264" s="291" t="str">
        <x:v>Classification</x:v>
      </x:c>
      <x:c r="F264" s="291" t="str">
        <x:v>Remarks</x:v>
      </x:c>
      <x:c r="G264" s="291"/>
    </x:row>
    <x:row r="265">
      <x:c r="A265" s="248" t="str">
        <x:v>MSME principal outstanding</x:v>
      </x:c>
      <x:c r="B265" s="261"/>
      <x:c r="C265" s="261"/>
      <x:c r="D265" s="261"/>
      <x:c r="E265" s="261" t="str">
        <x:v>Financial / non-financial</x:v>
      </x:c>
      <x:c r="F265" s="261"/>
      <x:c r="G265" s="261"/>
    </x:row>
    <x:row r="266">
      <x:c r="A266" s="248" t="str">
        <x:v>Interest due to MSME</x:v>
      </x:c>
      <x:c r="B266" s="261"/>
      <x:c r="C266" s="261"/>
      <x:c r="D266" s="261"/>
      <x:c r="E266" s="261" t="str">
        <x:v>Financial / non-financial</x:v>
      </x:c>
      <x:c r="F266" s="261"/>
      <x:c r="G266" s="261"/>
    </x:row>
    <x:row r="267">
      <x:c r="A267" s="248" t="str">
        <x:v>Other MSME dues</x:v>
      </x:c>
      <x:c r="B267" s="261"/>
      <x:c r="C267" s="261"/>
      <x:c r="D267" s="261"/>
      <x:c r="E267" s="261" t="str">
        <x:v>Financial / non-financial</x:v>
      </x:c>
      <x:c r="F267" s="261"/>
      <x:c r="G267" s="261"/>
    </x:row>
    <x:row r="268">
      <x:c r="A268" s="276" t="str">
        <x:v>Total Total outstanding dues of creditors other than micro enterprises and small enterprises</x:v>
      </x:c>
      <x:c r="B268" s="277" t="n">
        <x:f>SUM(B265:B267)</x:f>
        <x:v>0</x:v>
      </x:c>
      <x:c r="C268" s="277" t="n">
        <x:f>SUM(C265:C267)</x:f>
        <x:v>0</x:v>
      </x:c>
      <x:c r="D268" s="277"/>
      <x:c r="E268" s="277" t="str">
        <x:v>Financial / non-financial</x:v>
      </x:c>
      <x:c r="F268" s="277"/>
      <x:c r="G268" s="277"/>
    </x:row>
    <x:row r="269">
      <x:c r="A269" s="279" t="str">
        <x:v>Note 25 — Debt securities</x:v>
      </x:c>
      <x:c r="B269" s="290"/>
      <x:c r="C269" s="290"/>
      <x:c r="D269" s="290"/>
      <x:c r="E269" s="290"/>
      <x:c r="F269" s="290"/>
      <x:c r="G269" s="290"/>
    </x:row>
    <x:row r="270">
      <x:c r="A270" s="255" t="str">
        <x:v>Particulars</x:v>
      </x:c>
      <x:c r="B270" s="291" t="str">
        <x:v>Current Year</x:v>
      </x:c>
      <x:c r="C270" s="291" t="str">
        <x:v>Previous Year</x:v>
      </x:c>
      <x:c r="D270" s="291" t="str">
        <x:v>Mapping / Source</x:v>
      </x:c>
      <x:c r="E270" s="291" t="str">
        <x:v>Classification</x:v>
      </x:c>
      <x:c r="F270" s="291" t="str">
        <x:v>Remarks</x:v>
      </x:c>
      <x:c r="G270" s="291"/>
    </x:row>
    <x:row r="271">
      <x:c r="A271" s="248" t="str">
        <x:v>Secured</x:v>
      </x:c>
      <x:c r="B271" s="261"/>
      <x:c r="C271" s="261"/>
      <x:c r="D271" s="261"/>
      <x:c r="E271" s="261" t="str">
        <x:v>Financial / non-financial</x:v>
      </x:c>
      <x:c r="F271" s="261"/>
      <x:c r="G271" s="261"/>
    </x:row>
    <x:row r="272">
      <x:c r="A272" s="248" t="str">
        <x:v>Unsecured</x:v>
      </x:c>
      <x:c r="B272" s="261"/>
      <x:c r="C272" s="261"/>
      <x:c r="D272" s="261"/>
      <x:c r="E272" s="261" t="str">
        <x:v>Financial / non-financial</x:v>
      </x:c>
      <x:c r="F272" s="261"/>
      <x:c r="G272" s="261"/>
    </x:row>
    <x:row r="273">
      <x:c r="A273" s="248" t="str">
        <x:v>Accrued interest / transaction costs</x:v>
      </x:c>
      <x:c r="B273" s="261"/>
      <x:c r="C273" s="261"/>
      <x:c r="D273" s="261"/>
      <x:c r="E273" s="261" t="str">
        <x:v>Financial / non-financial</x:v>
      </x:c>
      <x:c r="F273" s="261"/>
      <x:c r="G273" s="261"/>
    </x:row>
    <x:row r="274">
      <x:c r="A274" s="248" t="str">
        <x:v>Other</x:v>
      </x:c>
      <x:c r="B274" s="261"/>
      <x:c r="C274" s="261"/>
      <x:c r="D274" s="261"/>
      <x:c r="E274" s="261" t="str">
        <x:v>Financial / non-financial</x:v>
      </x:c>
      <x:c r="F274" s="261"/>
      <x:c r="G274" s="261"/>
    </x:row>
    <x:row r="275">
      <x:c r="A275" s="248" t="str">
        <x:v>Total Debt securities</x:v>
      </x:c>
      <x:c r="B275" s="261" t="n">
        <x:f>SUM(B271:B274)</x:f>
        <x:v>0</x:v>
      </x:c>
      <x:c r="C275" s="261" t="n">
        <x:f>SUM(C271:C274)</x:f>
        <x:v>0</x:v>
      </x:c>
      <x:c r="D275" s="261"/>
      <x:c r="E275" s="261" t="str">
        <x:v>Financial / non-financial</x:v>
      </x:c>
      <x:c r="F275" s="261"/>
      <x:c r="G275" s="261"/>
    </x:row>
    <x:row r="276">
      <x:c r="A276" s="276" t="str">
        <x:v>Note 26 — Borrowings (other than debt securities)</x:v>
      </x:c>
      <x:c r="B276" s="277"/>
      <x:c r="C276" s="277"/>
      <x:c r="D276" s="277"/>
      <x:c r="E276" s="277"/>
      <x:c r="F276" s="277"/>
      <x:c r="G276" s="277"/>
    </x:row>
    <x:row r="277">
      <x:c r="A277" s="234" t="str">
        <x:v>Particulars</x:v>
      </x:c>
      <x:c r="B277" s="236" t="str">
        <x:v>Current Year</x:v>
      </x:c>
      <x:c r="C277" s="236" t="str">
        <x:v>Previous Year</x:v>
      </x:c>
      <x:c r="D277" s="236" t="str">
        <x:v>Mapping / Source</x:v>
      </x:c>
      <x:c r="E277" s="236" t="str">
        <x:v>Classification</x:v>
      </x:c>
      <x:c r="F277" s="236" t="str">
        <x:v>Remarks</x:v>
      </x:c>
      <x:c r="G277" s="236"/>
    </x:row>
    <x:row r="278">
      <x:c r="A278" s="280" t="str">
        <x:v>Secured</x:v>
      </x:c>
      <x:c r="B278" s="292"/>
      <x:c r="C278" s="292"/>
      <x:c r="D278" s="292"/>
      <x:c r="E278" s="292" t="str">
        <x:v>Financial / non-financial</x:v>
      </x:c>
      <x:c r="F278" s="292"/>
      <x:c r="G278" s="261"/>
    </x:row>
    <x:row r="279">
      <x:c r="A279" s="269" t="str">
        <x:v>Unsecured</x:v>
      </x:c>
      <x:c r="B279" s="293"/>
      <x:c r="C279" s="293"/>
      <x:c r="D279" s="293"/>
      <x:c r="E279" s="293" t="str">
        <x:v>Financial / non-financial</x:v>
      </x:c>
      <x:c r="F279" s="293"/>
      <x:c r="G279" s="261"/>
    </x:row>
    <x:row r="280">
      <x:c r="A280" s="248" t="str">
        <x:v>Accrued interest / transaction costs</x:v>
      </x:c>
      <x:c r="B280" s="261"/>
      <x:c r="C280" s="261"/>
      <x:c r="D280" s="261"/>
      <x:c r="E280" s="261" t="str">
        <x:v>Financial / non-financial</x:v>
      </x:c>
      <x:c r="F280" s="261"/>
      <x:c r="G280" s="261"/>
    </x:row>
    <x:row r="281">
      <x:c r="A281" s="248" t="str">
        <x:v>Other</x:v>
      </x:c>
      <x:c r="B281" s="261"/>
      <x:c r="C281" s="261"/>
      <x:c r="D281" s="261"/>
      <x:c r="E281" s="261" t="str">
        <x:v>Financial / non-financial</x:v>
      </x:c>
      <x:c r="F281" s="261"/>
      <x:c r="G281" s="261"/>
    </x:row>
    <x:row r="282">
      <x:c r="A282" s="248" t="str">
        <x:v>Total Borrowings (other than debt securities)</x:v>
      </x:c>
      <x:c r="B282" s="261" t="n">
        <x:f>SUM(B278:B281)</x:f>
        <x:v>0</x:v>
      </x:c>
      <x:c r="C282" s="261" t="n">
        <x:f>SUM(C278:C281)</x:f>
        <x:v>0</x:v>
      </x:c>
      <x:c r="D282" s="261"/>
      <x:c r="E282" s="261" t="str">
        <x:v>Financial / non-financial</x:v>
      </x:c>
      <x:c r="F282" s="261"/>
      <x:c r="G282" s="261"/>
    </x:row>
    <x:row r="283">
      <x:c r="A283" s="248" t="str">
        <x:v>Note 27 — Deposits</x:v>
      </x:c>
      <x:c r="B283" s="261"/>
      <x:c r="C283" s="261"/>
      <x:c r="D283" s="261"/>
      <x:c r="E283" s="261"/>
      <x:c r="F283" s="261"/>
      <x:c r="G283" s="261"/>
    </x:row>
    <x:row r="284">
      <x:c r="A284" s="248" t="str">
        <x:v>Particulars</x:v>
      </x:c>
      <x:c r="B284" s="261" t="str">
        <x:v>Current Year</x:v>
      </x:c>
      <x:c r="C284" s="261" t="str">
        <x:v>Previous Year</x:v>
      </x:c>
      <x:c r="D284" s="261" t="str">
        <x:v>Mapping / Source</x:v>
      </x:c>
      <x:c r="E284" s="261" t="str">
        <x:v>Classification</x:v>
      </x:c>
      <x:c r="F284" s="261" t="str">
        <x:v>Remarks</x:v>
      </x:c>
      <x:c r="G284" s="261"/>
    </x:row>
    <x:row r="285">
      <x:c r="A285" s="248" t="str">
        <x:v>Public deposits</x:v>
      </x:c>
      <x:c r="B285" s="261"/>
      <x:c r="C285" s="261"/>
      <x:c r="D285" s="261"/>
      <x:c r="E285" s="261" t="str">
        <x:v>Financial / non-financial</x:v>
      </x:c>
      <x:c r="F285" s="261"/>
      <x:c r="G285" s="261"/>
    </x:row>
    <x:row r="286">
      <x:c r="A286" s="248" t="str">
        <x:v>Inter-corporate deposits</x:v>
      </x:c>
      <x:c r="B286" s="261"/>
      <x:c r="C286" s="261"/>
      <x:c r="D286" s="261"/>
      <x:c r="E286" s="261" t="str">
        <x:v>Financial / non-financial</x:v>
      </x:c>
      <x:c r="F286" s="261"/>
      <x:c r="G286" s="261"/>
    </x:row>
    <x:row r="287">
      <x:c r="A287" s="248" t="str">
        <x:v>Other deposits</x:v>
      </x:c>
      <x:c r="B287" s="261"/>
      <x:c r="C287" s="261"/>
      <x:c r="D287" s="261"/>
      <x:c r="E287" s="261" t="str">
        <x:v>Financial / non-financial</x:v>
      </x:c>
      <x:c r="F287" s="261"/>
      <x:c r="G287" s="261"/>
    </x:row>
    <x:row r="288">
      <x:c r="A288" s="248" t="str">
        <x:v>Total Deposits</x:v>
      </x:c>
      <x:c r="B288" s="261" t="n">
        <x:f>SUM(B285:B287)</x:f>
        <x:v>0</x:v>
      </x:c>
      <x:c r="C288" s="261" t="n">
        <x:f>SUM(C285:C287)</x:f>
        <x:v>0</x:v>
      </x:c>
      <x:c r="D288" s="261"/>
      <x:c r="E288" s="261" t="str">
        <x:v>Financial / non-financial</x:v>
      </x:c>
      <x:c r="F288" s="261"/>
      <x:c r="G288" s="261"/>
    </x:row>
    <x:row r="289">
      <x:c r="A289" s="248" t="str">
        <x:v>Note 28 — Subordinated liabilities</x:v>
      </x:c>
      <x:c r="B289" s="261"/>
      <x:c r="C289" s="261"/>
      <x:c r="D289" s="261"/>
      <x:c r="E289" s="261"/>
      <x:c r="F289" s="261"/>
      <x:c r="G289" s="261"/>
    </x:row>
    <x:row r="290">
      <x:c r="A290" s="248" t="str">
        <x:v>Particulars</x:v>
      </x:c>
      <x:c r="B290" s="261" t="str">
        <x:v>Current Year</x:v>
      </x:c>
      <x:c r="C290" s="261" t="str">
        <x:v>Previous Year</x:v>
      </x:c>
      <x:c r="D290" s="261" t="str">
        <x:v>Mapping / Source</x:v>
      </x:c>
      <x:c r="E290" s="261" t="str">
        <x:v>Classification</x:v>
      </x:c>
      <x:c r="F290" s="261" t="str">
        <x:v>Remarks</x:v>
      </x:c>
      <x:c r="G290" s="261"/>
    </x:row>
    <x:row r="291">
      <x:c r="A291" s="248" t="str">
        <x:v>Secured</x:v>
      </x:c>
      <x:c r="B291" s="261"/>
      <x:c r="C291" s="261"/>
      <x:c r="D291" s="261"/>
      <x:c r="E291" s="261" t="str">
        <x:v>Financial / non-financial</x:v>
      </x:c>
      <x:c r="F291" s="261"/>
      <x:c r="G291" s="261"/>
    </x:row>
    <x:row r="292">
      <x:c r="A292" s="248" t="str">
        <x:v>Unsecured</x:v>
      </x:c>
      <x:c r="B292" s="261"/>
      <x:c r="C292" s="261"/>
      <x:c r="D292" s="261"/>
      <x:c r="E292" s="261" t="str">
        <x:v>Financial / non-financial</x:v>
      </x:c>
      <x:c r="F292" s="261"/>
      <x:c r="G292" s="261"/>
    </x:row>
    <x:row r="293">
      <x:c r="A293" s="248" t="str">
        <x:v>Accrued interest / transaction costs</x:v>
      </x:c>
      <x:c r="B293" s="261"/>
      <x:c r="C293" s="261"/>
      <x:c r="D293" s="261"/>
      <x:c r="E293" s="261" t="str">
        <x:v>Financial / non-financial</x:v>
      </x:c>
      <x:c r="F293" s="261"/>
      <x:c r="G293" s="261"/>
    </x:row>
    <x:row r="294">
      <x:c r="A294" s="248" t="str">
        <x:v>Other</x:v>
      </x:c>
      <x:c r="B294" s="261"/>
      <x:c r="C294" s="261"/>
      <x:c r="D294" s="261"/>
      <x:c r="E294" s="261" t="str">
        <x:v>Financial / non-financial</x:v>
      </x:c>
      <x:c r="F294" s="261"/>
      <x:c r="G294" s="261"/>
    </x:row>
    <x:row r="295">
      <x:c r="A295" s="248" t="str">
        <x:v>Total Subordinated liabilities</x:v>
      </x:c>
      <x:c r="B295" s="261" t="n">
        <x:f>SUM(B291:B294)</x:f>
        <x:v>0</x:v>
      </x:c>
      <x:c r="C295" s="261" t="n">
        <x:f>SUM(C291:C294)</x:f>
        <x:v>0</x:v>
      </x:c>
      <x:c r="D295" s="261"/>
      <x:c r="E295" s="261" t="str">
        <x:v>Financial / non-financial</x:v>
      </x:c>
      <x:c r="F295" s="261"/>
      <x:c r="G295" s="261"/>
    </x:row>
    <x:row r="296">
      <x:c r="A296" s="248" t="str">
        <x:v>Note 29 — Other financial liabilities (to be specified)</x:v>
      </x:c>
      <x:c r="B296" s="261"/>
      <x:c r="C296" s="261"/>
      <x:c r="D296" s="261"/>
      <x:c r="E296" s="261"/>
      <x:c r="F296" s="261"/>
      <x:c r="G296" s="261"/>
    </x:row>
    <x:row r="297">
      <x:c r="A297" s="234" t="str">
        <x:v>Particulars</x:v>
      </x:c>
      <x:c r="B297" s="236" t="str">
        <x:v>Current Year</x:v>
      </x:c>
      <x:c r="C297" s="236" t="str">
        <x:v>Previous Year</x:v>
      </x:c>
      <x:c r="D297" s="236" t="str">
        <x:v>Mapping / Source</x:v>
      </x:c>
      <x:c r="E297" s="236" t="str">
        <x:v>Classification</x:v>
      </x:c>
      <x:c r="F297" s="236" t="str">
        <x:v>Remarks</x:v>
      </x:c>
      <x:c r="G297" s="236"/>
    </x:row>
    <x:row r="298">
      <x:c r="A298" s="282" t="str">
        <x:v>Interest accrued</x:v>
      </x:c>
      <x:c r="B298" s="294"/>
      <x:c r="C298" s="294"/>
      <x:c r="D298" s="294"/>
      <x:c r="E298" s="294" t="str">
        <x:v>Financial / non-financial</x:v>
      </x:c>
      <x:c r="F298" s="294"/>
      <x:c r="G298" s="261"/>
    </x:row>
    <x:row r="299">
      <x:c r="A299" t="str">
        <x:v>Employee / vendor payable</x:v>
      </x:c>
      <x:c r="B299"/>
      <x:c r="C299"/>
      <x:c r="D299"/>
      <x:c r="E299" t="str">
        <x:v>Financial / non-financial</x:v>
      </x:c>
      <x:c r="F299"/>
      <x:c r="G299"/>
    </x:row>
    <x:row r="300">
      <x:c r="A300" t="str">
        <x:v>Security deposits received</x:v>
      </x:c>
      <x:c r="B300"/>
      <x:c r="C300"/>
      <x:c r="D300"/>
      <x:c r="E300" t="str">
        <x:v>Financial / non-financial</x:v>
      </x:c>
      <x:c r="F300"/>
      <x:c r="G300"/>
    </x:row>
    <x:row r="301">
      <x:c r="A301" t="str">
        <x:v>Other financial liabilities</x:v>
      </x:c>
      <x:c r="B301"/>
      <x:c r="C301"/>
      <x:c r="D301"/>
      <x:c r="E301" t="str">
        <x:v>Financial / non-financial</x:v>
      </x:c>
      <x:c r="F301"/>
      <x:c r="G301"/>
    </x:row>
    <x:row r="302">
      <x:c r="A302" t="str">
        <x:v>Total Other financial liabilities (to be specified)</x:v>
      </x:c>
      <x:c r="B302" t="n">
        <x:f>SUM(B298:B301)</x:f>
        <x:v>0</x:v>
      </x:c>
      <x:c r="C302" t="n">
        <x:f>SUM(C298:C301)</x:f>
        <x:v>0</x:v>
      </x:c>
      <x:c r="D302"/>
      <x:c r="E302" t="str">
        <x:v>Financial / non-financial</x:v>
      </x:c>
      <x:c r="F302"/>
      <x:c r="G302"/>
    </x:row>
    <x:row r="303">
      <x:c r="A303" t="str">
        <x:v>Note 30 — Current tax liabilities (Net)</x:v>
      </x:c>
      <x:c r="B303"/>
      <x:c r="C303"/>
      <x:c r="D303"/>
      <x:c r="E303"/>
      <x:c r="F303"/>
      <x:c r="G303"/>
    </x:row>
    <x:row r="304">
      <x:c r="A304" t="str">
        <x:v>Particulars</x:v>
      </x:c>
      <x:c r="B304" t="str">
        <x:v>Current Year</x:v>
      </x:c>
      <x:c r="C304" t="str">
        <x:v>Previous Year</x:v>
      </x:c>
      <x:c r="D304" t="str">
        <x:v>Mapping / Source</x:v>
      </x:c>
      <x:c r="E304" t="str">
        <x:v>Classification</x:v>
      </x:c>
      <x:c r="F304" t="str">
        <x:v>Remarks</x:v>
      </x:c>
      <x:c r="G304"/>
    </x:row>
    <x:row r="305">
      <x:c r="A305" t="str">
        <x:v>Provision for current tax</x:v>
      </x:c>
      <x:c r="B305"/>
      <x:c r="C305"/>
      <x:c r="D305"/>
      <x:c r="E305" t="str">
        <x:v>Financial / non-financial</x:v>
      </x:c>
      <x:c r="F305"/>
      <x:c r="G305"/>
    </x:row>
    <x:row r="306">
      <x:c r="A306" t="str">
        <x:v>Less: Advance tax / TDS</x:v>
      </x:c>
      <x:c r="B306"/>
      <x:c r="C306"/>
      <x:c r="D306"/>
      <x:c r="E306" t="str">
        <x:v>Financial / non-financial</x:v>
      </x:c>
      <x:c r="F306"/>
      <x:c r="G306"/>
    </x:row>
    <x:row r="307">
      <x:c r="A307" t="str">
        <x:v>Other current tax balances</x:v>
      </x:c>
      <x:c r="B307"/>
      <x:c r="C307"/>
      <x:c r="D307"/>
      <x:c r="E307" t="str">
        <x:v>Financial / non-financial</x:v>
      </x:c>
      <x:c r="F307"/>
      <x:c r="G307"/>
    </x:row>
    <x:row r="308">
      <x:c r="A308" t="str">
        <x:v>Total Current tax liabilities (Net)</x:v>
      </x:c>
      <x:c r="B308" t="n">
        <x:f>SUM(B305:B307)</x:f>
        <x:v>0</x:v>
      </x:c>
      <x:c r="C308" t="n">
        <x:f>SUM(C305:C307)</x:f>
        <x:v>0</x:v>
      </x:c>
      <x:c r="D308"/>
      <x:c r="E308" t="str">
        <x:v>Financial / non-financial</x:v>
      </x:c>
      <x:c r="F308"/>
      <x:c r="G308"/>
    </x:row>
    <x:row r="309">
      <x:c r="A309" t="str">
        <x:v>Note 31 — Provisions</x:v>
      </x:c>
      <x:c r="B309"/>
      <x:c r="C309"/>
      <x:c r="D309"/>
      <x:c r="E309"/>
      <x:c r="F309"/>
      <x:c r="G309"/>
    </x:row>
    <x:row r="310">
      <x:c r="A310" t="str">
        <x:v>Particulars</x:v>
      </x:c>
      <x:c r="B310" t="str">
        <x:v>Current Year</x:v>
      </x:c>
      <x:c r="C310" t="str">
        <x:v>Previous Year</x:v>
      </x:c>
      <x:c r="D310" t="str">
        <x:v>Mapping / Source</x:v>
      </x:c>
      <x:c r="E310" t="str">
        <x:v>Classification</x:v>
      </x:c>
      <x:c r="F310" t="str">
        <x:v>Remarks</x:v>
      </x:c>
      <x:c r="G310"/>
    </x:row>
    <x:row r="311">
      <x:c r="A311" t="str">
        <x:v>Employee benefit provisions</x:v>
      </x:c>
      <x:c r="B311"/>
      <x:c r="C311"/>
      <x:c r="D311"/>
      <x:c r="E311" t="str">
        <x:v>Financial / non-financial</x:v>
      </x:c>
      <x:c r="F311"/>
      <x:c r="G311"/>
    </x:row>
    <x:row r="312">
      <x:c r="A312" t="str">
        <x:v>Tax provisions</x:v>
      </x:c>
      <x:c r="B312"/>
      <x:c r="C312"/>
      <x:c r="D312"/>
      <x:c r="E312" t="str">
        <x:v>Financial / non-financial</x:v>
      </x:c>
      <x:c r="F312"/>
      <x:c r="G312"/>
    </x:row>
    <x:row r="313">
      <x:c r="A313" t="str">
        <x:v>Warranty / contractual provisions</x:v>
      </x:c>
      <x:c r="B313"/>
      <x:c r="C313"/>
      <x:c r="D313"/>
      <x:c r="E313" t="str">
        <x:v>Financial / non-financial</x:v>
      </x:c>
      <x:c r="F313"/>
      <x:c r="G313"/>
    </x:row>
    <x:row r="314">
      <x:c r="A314" t="str">
        <x:v>Other provisions</x:v>
      </x:c>
      <x:c r="B314"/>
      <x:c r="C314"/>
      <x:c r="D314"/>
      <x:c r="E314" t="str">
        <x:v>Financial / non-financial</x:v>
      </x:c>
      <x:c r="F314"/>
      <x:c r="G314"/>
    </x:row>
    <x:row r="315">
      <x:c r="A315" t="str">
        <x:v>Total Provisions</x:v>
      </x:c>
      <x:c r="B315" t="n">
        <x:f>SUM(B311:B314)</x:f>
        <x:v>0</x:v>
      </x:c>
      <x:c r="C315" t="n">
        <x:f>SUM(C311:C314)</x:f>
        <x:v>0</x:v>
      </x:c>
      <x:c r="D315"/>
      <x:c r="E315" t="str">
        <x:v>Financial / non-financial</x:v>
      </x:c>
      <x:c r="F315"/>
      <x:c r="G315"/>
    </x:row>
    <x:row r="316">
      <x:c r="A316" t="str">
        <x:v>Note 32 — Deferred tax liabilities (Net)</x:v>
      </x:c>
      <x:c r="B316"/>
      <x:c r="C316"/>
      <x:c r="D316"/>
      <x:c r="E316"/>
      <x:c r="F316"/>
      <x:c r="G316"/>
    </x:row>
    <x:row r="317">
      <x:c r="A317" t="str">
        <x:v>Particulars</x:v>
      </x:c>
      <x:c r="B317" t="str">
        <x:v>Current Year</x:v>
      </x:c>
      <x:c r="C317" t="str">
        <x:v>Previous Year</x:v>
      </x:c>
      <x:c r="D317" t="str">
        <x:v>Mapping / Source</x:v>
      </x:c>
      <x:c r="E317" t="str">
        <x:v>Classification</x:v>
      </x:c>
      <x:c r="F317" t="str">
        <x:v>Remarks</x:v>
      </x:c>
      <x:c r="G317"/>
    </x:row>
    <x:row r="318">
      <x:c r="A318" t="str">
        <x:v>Timing differences / temporary differences</x:v>
      </x:c>
      <x:c r="B318"/>
      <x:c r="C318"/>
      <x:c r="D318"/>
      <x:c r="E318" t="str">
        <x:v>Financial / non-financial</x:v>
      </x:c>
      <x:c r="F318"/>
      <x:c r="G318"/>
    </x:row>
    <x:row r="319">
      <x:c r="A319" t="str">
        <x:v>Unused tax losses / credits</x:v>
      </x:c>
      <x:c r="B319"/>
      <x:c r="C319"/>
      <x:c r="D319"/>
      <x:c r="E319" t="str">
        <x:v>Financial / non-financial</x:v>
      </x:c>
      <x:c r="F319"/>
      <x:c r="G319"/>
    </x:row>
    <x:row r="320">
      <x:c r="A320" t="str">
        <x:v>Other deferred tax balances</x:v>
      </x:c>
      <x:c r="B320"/>
      <x:c r="C320"/>
      <x:c r="D320"/>
      <x:c r="E320" t="str">
        <x:v>Financial / non-financial</x:v>
      </x:c>
      <x:c r="F320"/>
      <x:c r="G320"/>
    </x:row>
    <x:row r="321">
      <x:c r="A321" t="str">
        <x:v>Total Deferred tax liabilities (Net)</x:v>
      </x:c>
      <x:c r="B321" t="n">
        <x:f>SUM(B318:B320)</x:f>
        <x:v>0</x:v>
      </x:c>
      <x:c r="C321" t="n">
        <x:f>SUM(C318:C320)</x:f>
        <x:v>0</x:v>
      </x:c>
      <x:c r="D321"/>
      <x:c r="E321" t="str">
        <x:v>Financial / non-financial</x:v>
      </x:c>
      <x:c r="F321"/>
      <x:c r="G321"/>
    </x:row>
    <x:row r="322">
      <x:c r="A322" t="str">
        <x:v>Note 33 — Other non-financial liabilities (to be specified)</x:v>
      </x:c>
      <x:c r="B322"/>
      <x:c r="C322"/>
      <x:c r="D322"/>
      <x:c r="E322"/>
      <x:c r="F322"/>
      <x:c r="G322"/>
    </x:row>
    <x:row r="323">
      <x:c r="A323" t="str">
        <x:v>Particulars</x:v>
      </x:c>
      <x:c r="B323" t="str">
        <x:v>Current Year</x:v>
      </x:c>
      <x:c r="C323" t="str">
        <x:v>Previous Year</x:v>
      </x:c>
      <x:c r="D323" t="str">
        <x:v>Mapping / Source</x:v>
      </x:c>
      <x:c r="E323" t="str">
        <x:v>Classification</x:v>
      </x:c>
      <x:c r="F323" t="str">
        <x:v>Remarks</x:v>
      </x:c>
      <x:c r="G323"/>
    </x:row>
    <x:row r="324">
      <x:c r="A324" t="str">
        <x:v>Statutory dues</x:v>
      </x:c>
      <x:c r="B324"/>
      <x:c r="C324"/>
      <x:c r="D324"/>
      <x:c r="E324" t="str">
        <x:v>Financial / non-financial</x:v>
      </x:c>
      <x:c r="F324"/>
      <x:c r="G324"/>
    </x:row>
    <x:row r="325">
      <x:c r="A325" t="str">
        <x:v>Advances from customers</x:v>
      </x:c>
      <x:c r="B325"/>
      <x:c r="C325"/>
      <x:c r="D325"/>
      <x:c r="E325" t="str">
        <x:v>Financial / non-financial</x:v>
      </x:c>
      <x:c r="F325"/>
      <x:c r="G325"/>
    </x:row>
    <x:row r="326">
      <x:c r="A326" t="str">
        <x:v>Accrued expenses</x:v>
      </x:c>
      <x:c r="B326"/>
      <x:c r="C326"/>
      <x:c r="D326"/>
      <x:c r="E326" t="str">
        <x:v>Financial / non-financial</x:v>
      </x:c>
      <x:c r="F326"/>
      <x:c r="G326"/>
    </x:row>
    <x:row r="327">
      <x:c r="A327" t="str">
        <x:v>Other liabilities</x:v>
      </x:c>
      <x:c r="B327"/>
      <x:c r="C327"/>
      <x:c r="D327"/>
      <x:c r="E327" t="str">
        <x:v>Financial / non-financial</x:v>
      </x:c>
      <x:c r="F327"/>
      <x:c r="G327"/>
    </x:row>
    <x:row r="328">
      <x:c r="A328" t="str">
        <x:v>Total Other non-financial liabilities (to be specified)</x:v>
      </x:c>
      <x:c r="B328" t="n">
        <x:f>SUM(B324:B327)</x:f>
        <x:v>0</x:v>
      </x:c>
      <x:c r="C328" t="n">
        <x:f>SUM(C324:C327)</x:f>
        <x:v>0</x:v>
      </x:c>
      <x:c r="D328"/>
      <x:c r="E328" t="str">
        <x:v>Financial / non-financial</x:v>
      </x:c>
      <x:c r="F328"/>
      <x:c r="G328"/>
    </x:row>
    <x:row r="329">
      <x:c r="A329" t="str">
        <x:v>Note 34 — Equity share capital</x:v>
      </x:c>
      <x:c r="B329"/>
      <x:c r="C329"/>
      <x:c r="D329"/>
      <x:c r="E329"/>
      <x:c r="F329"/>
      <x:c r="G329"/>
    </x:row>
    <x:row r="330">
      <x:c r="A330" t="str">
        <x:v>Particulars</x:v>
      </x:c>
      <x:c r="B330" t="str">
        <x:v>Current Year</x:v>
      </x:c>
      <x:c r="C330" t="str">
        <x:v>Previous Year</x:v>
      </x:c>
      <x:c r="D330" t="str">
        <x:v>Mapping / Source</x:v>
      </x:c>
      <x:c r="E330" t="str">
        <x:v>Classification</x:v>
      </x:c>
      <x:c r="F330" t="str">
        <x:v>Remarks</x:v>
      </x:c>
      <x:c r="G330"/>
    </x:row>
    <x:row r="331">
      <x:c r="A331" t="str">
        <x:v>Equity shares</x:v>
      </x:c>
      <x:c r="B331"/>
      <x:c r="C331"/>
      <x:c r="D331"/>
      <x:c r="E331" t="str">
        <x:v>Financial / non-financial</x:v>
      </x:c>
      <x:c r="F331"/>
      <x:c r="G331"/>
    </x:row>
    <x:row r="332">
      <x:c r="A332" t="str">
        <x:v>Preference shares</x:v>
      </x:c>
      <x:c r="B332"/>
      <x:c r="C332"/>
      <x:c r="D332"/>
      <x:c r="E332" t="str">
        <x:v>Financial / non-financial</x:v>
      </x:c>
      <x:c r="F332"/>
      <x:c r="G332"/>
    </x:row>
    <x:row r="333">
      <x:c r="A333" t="str">
        <x:v>Other share capital adjustments</x:v>
      </x:c>
      <x:c r="B333"/>
      <x:c r="C333"/>
      <x:c r="D333"/>
      <x:c r="E333" t="str">
        <x:v>Financial / non-financial</x:v>
      </x:c>
      <x:c r="F333"/>
      <x:c r="G333"/>
    </x:row>
    <x:row r="334">
      <x:c r="A334" t="str">
        <x:v>Total Equity share capital</x:v>
      </x:c>
      <x:c r="B334" t="n">
        <x:f>SUM(B331:B333)</x:f>
        <x:v>0</x:v>
      </x:c>
      <x:c r="C334" t="n">
        <x:f>SUM(C331:C333)</x:f>
        <x:v>0</x:v>
      </x:c>
      <x:c r="D334"/>
      <x:c r="E334" t="str">
        <x:v>Financial / non-financial</x:v>
      </x:c>
      <x:c r="F334"/>
      <x:c r="G334"/>
    </x:row>
    <x:row r="335">
      <x:c r="A335" t="str">
        <x:v>Note 35 — Other equity</x:v>
      </x:c>
      <x:c r="B335"/>
      <x:c r="C335"/>
      <x:c r="D335"/>
      <x:c r="E335"/>
      <x:c r="F335"/>
      <x:c r="G335"/>
    </x:row>
    <x:row r="336">
      <x:c r="A336" t="str">
        <x:v>Particulars</x:v>
      </x:c>
      <x:c r="B336" t="str">
        <x:v>Current Year</x:v>
      </x:c>
      <x:c r="C336" t="str">
        <x:v>Previous Year</x:v>
      </x:c>
      <x:c r="D336" t="str">
        <x:v>Mapping / Source</x:v>
      </x:c>
      <x:c r="E336" t="str">
        <x:v>Classification</x:v>
      </x:c>
      <x:c r="F336" t="str">
        <x:v>Remarks</x:v>
      </x:c>
      <x:c r="G336"/>
    </x:row>
    <x:row r="337">
      <x:c r="A337" t="str">
        <x:v>Capital reserve</x:v>
      </x:c>
      <x:c r="B337"/>
      <x:c r="C337"/>
      <x:c r="D337"/>
      <x:c r="E337" t="str">
        <x:v>Financial / non-financial</x:v>
      </x:c>
      <x:c r="F337"/>
      <x:c r="G337"/>
    </x:row>
    <x:row r="338">
      <x:c r="A338" t="str">
        <x:v>Securities premium</x:v>
      </x:c>
      <x:c r="B338"/>
      <x:c r="C338"/>
      <x:c r="D338"/>
      <x:c r="E338" t="str">
        <x:v>Financial / non-financial</x:v>
      </x:c>
      <x:c r="F338"/>
      <x:c r="G338"/>
    </x:row>
    <x:row r="339">
      <x:c r="A339" t="str">
        <x:v>General reserve</x:v>
      </x:c>
      <x:c r="B339"/>
      <x:c r="C339"/>
      <x:c r="D339"/>
      <x:c r="E339" t="str">
        <x:v>Financial / non-financial</x:v>
      </x:c>
      <x:c r="F339"/>
      <x:c r="G339"/>
    </x:row>
    <x:row r="340">
      <x:c r="A340" t="str">
        <x:v>Retained earnings / Surplus</x:v>
      </x:c>
      <x:c r="B340"/>
      <x:c r="C340"/>
      <x:c r="D340"/>
      <x:c r="E340" t="str">
        <x:v>Financial / non-financial</x:v>
      </x:c>
      <x:c r="F340"/>
      <x:c r="G340"/>
    </x:row>
    <x:row r="341">
      <x:c r="A341" t="str">
        <x:v>Other reserves</x:v>
      </x:c>
      <x:c r="B341"/>
      <x:c r="C341"/>
      <x:c r="D341"/>
      <x:c r="E341" t="str">
        <x:v>Financial / non-financial</x:v>
      </x:c>
      <x:c r="F341"/>
      <x:c r="G341"/>
    </x:row>
    <x:row r="342">
      <x:c r="A342" t="str">
        <x:v>Total Other equity</x:v>
      </x:c>
      <x:c r="B342" t="n">
        <x:f>SUM(B337:B341)</x:f>
        <x:v>0</x:v>
      </x:c>
      <x:c r="C342" t="n">
        <x:f>SUM(C337:C341)</x:f>
        <x:v>0</x:v>
      </x:c>
      <x:c r="D342"/>
      <x:c r="E342" t="str">
        <x:v>Financial / non-financial</x:v>
      </x:c>
      <x:c r="F342"/>
      <x:c r="G342"/>
    </x:row>
    <x:row r="343">
      <x:c r="A343"/>
      <x:c r="B343"/>
      <x:c r="C343"/>
      <x:c r="D343"/>
      <x:c r="E343"/>
      <x:c r="F343"/>
      <x:c r="G343"/>
    </x:row>
    <x:row r="344">
      <x:c r="A344" t="str">
        <x:v>Additional Schedule III Disclosures</x:v>
      </x:c>
      <x:c r="B344"/>
      <x:c r="C344"/>
      <x:c r="D344"/>
      <x:c r="E344"/>
      <x:c r="F344"/>
      <x:c r="G344"/>
    </x:row>
    <x:row r="345">
      <x:c r="A345" t="str">
        <x:v>Applicability</x:v>
      </x:c>
      <x:c r="B345" t="str">
        <x:v>Disclosure Group</x:v>
      </x:c>
      <x:c r="C345" t="str">
        <x:v>Automation Requirement</x:v>
      </x:c>
      <x:c r="D345" t="str">
        <x:v>Status</x:v>
      </x:c>
      <x:c r="E345" t="str">
        <x:v>Reference / Data Source</x:v>
      </x:c>
      <x:c r="F345" t="str">
        <x:v>Remarks</x:v>
      </x:c>
      <x:c r="G345"/>
    </x:row>
    <x:row r="346">
      <x:c r="A346" t="str">
        <x:v>All three divisions</x:v>
      </x:c>
      <x:c r="B346" t="str">
        <x:v>Rounding off</x:v>
      </x:c>
      <x:c r="C346" t="str">
        <x:v>Figures must be rounded based on total income thresholds and the same unit must be used consistently.</x:v>
      </x:c>
      <x:c r="D346" t="str">
        <x:v>Pending</x:v>
      </x:c>
      <x:c r="E346"/>
      <x:c r="F346"/>
      <x:c r="G346"/>
    </x:row>
    <x:row r="347">
      <x:c r="A347" t="str">
        <x:v>All three divisions</x:v>
      </x:c>
      <x:c r="B347" t="str">
        <x:v>Promoter shareholding</x:v>
      </x:c>
      <x:c r="C347" t="str">
        <x:v>Detailed promoter shareholding and percentage change disclosures.</x:v>
      </x:c>
      <x:c r="D347" t="str">
        <x:v>Pending</x:v>
      </x:c>
      <x:c r="E347"/>
      <x:c r="F347"/>
      <x:c r="G347"/>
    </x:row>
    <x:row r="348">
      <x:c r="A348" t="str">
        <x:v>All three divisions</x:v>
      </x:c>
      <x:c r="B348" t="str">
        <x:v>Title deeds</x:v>
      </x:c>
      <x:c r="C348" t="str">
        <x:v>Immovable-property title deeds not held in the company’s name.</x:v>
      </x:c>
      <x:c r="D348" t="str">
        <x:v>Pending</x:v>
      </x:c>
      <x:c r="E348"/>
      <x:c r="F348"/>
      <x:c r="G348"/>
    </x:row>
    <x:row r="349">
      <x:c r="A349" t="str">
        <x:v>All three divisions</x:v>
      </x:c>
      <x:c r="B349" t="str">
        <x:v>CWIP ageing</x:v>
      </x:c>
      <x:c r="C349" t="str">
        <x:v>Ageing and completion schedules for capital work-in-progress.</x:v>
      </x:c>
      <x:c r="D349" t="str">
        <x:v>Pending</x:v>
      </x:c>
      <x:c r="E349"/>
      <x:c r="F349"/>
      <x:c r="G349"/>
    </x:row>
    <x:row r="350">
      <x:c r="A350" t="str">
        <x:v>All three divisions</x:v>
      </x:c>
      <x:c r="B350" t="str">
        <x:v>Intangible assets under development ageing</x:v>
      </x:c>
      <x:c r="C350" t="str">
        <x:v>Ageing and completion schedules for intangible assets under development.</x:v>
      </x:c>
      <x:c r="D350" t="str">
        <x:v>Pending</x:v>
      </x:c>
      <x:c r="E350"/>
      <x:c r="F350"/>
      <x:c r="G350"/>
    </x:row>
    <x:row r="351">
      <x:c r="A351" t="str">
        <x:v>All three divisions</x:v>
      </x:c>
      <x:c r="B351" t="str">
        <x:v>Benami property</x:v>
      </x:c>
      <x:c r="C351" t="str">
        <x:v>Proceedings or property held under the Benami Transactions law.</x:v>
      </x:c>
      <x:c r="D351" t="str">
        <x:v>Pending</x:v>
      </x:c>
      <x:c r="E351"/>
      <x:c r="F351"/>
      <x:c r="G351"/>
    </x:row>
    <x:row r="352">
      <x:c r="A352" t="str">
        <x:v>All three divisions</x:v>
      </x:c>
      <x:c r="B352" t="str">
        <x:v>Borrowings utilisation</x:v>
      </x:c>
      <x:c r="C352" t="str">
        <x:v>Borrowings from banks and financial institutions not used for the stated purpose.</x:v>
      </x:c>
      <x:c r="D352" t="str">
        <x:v>Pending</x:v>
      </x:c>
      <x:c r="E352"/>
      <x:c r="F352"/>
      <x:c r="G352"/>
    </x:row>
    <x:row r="353">
      <x:c r="A353" t="str">
        <x:v>All three divisions</x:v>
      </x:c>
      <x:c r="B353" t="str">
        <x:v>Wilful defaulter</x:v>
      </x:c>
      <x:c r="C353" t="str">
        <x:v>Disclosure where the company has been declared a wilful defaulter.</x:v>
      </x:c>
      <x:c r="D353" t="str">
        <x:v>Pending</x:v>
      </x:c>
      <x:c r="E353"/>
      <x:c r="F353"/>
      <x:c r="G353"/>
    </x:row>
    <x:row r="354">
      <x:c r="A354" t="str">
        <x:v>All three divisions</x:v>
      </x:c>
      <x:c r="B354" t="str">
        <x:v>Struck-off companies</x:v>
      </x:c>
      <x:c r="C354" t="str">
        <x:v>Transactions and balances with companies struck off under the Companies Act.</x:v>
      </x:c>
      <x:c r="D354" t="str">
        <x:v>Pending</x:v>
      </x:c>
      <x:c r="E354"/>
      <x:c r="F354"/>
      <x:c r="G354"/>
    </x:row>
    <x:row r="355">
      <x:c r="A355" t="str">
        <x:v>All three divisions</x:v>
      </x:c>
      <x:c r="B355" t="str">
        <x:v>Charges</x:v>
      </x:c>
      <x:c r="C355" t="str">
        <x:v>Charges or satisfaction not registered with the Registrar of Companies within the statutory period.</x:v>
      </x:c>
      <x:c r="D355" t="str">
        <x:v>Pending</x:v>
      </x:c>
      <x:c r="E355"/>
      <x:c r="F355"/>
      <x:c r="G355"/>
    </x:row>
    <x:row r="356">
      <x:c r="A356" t="str">
        <x:v>All three divisions</x:v>
      </x:c>
      <x:c r="B356" t="str">
        <x:v>Layers</x:v>
      </x:c>
      <x:c r="C356" t="str">
        <x:v>Non-compliance with the prescribed number of layers of companies.</x:v>
      </x:c>
      <x:c r="D356" t="str">
        <x:v>Pending</x:v>
      </x:c>
      <x:c r="E356"/>
      <x:c r="F356"/>
      <x:c r="G356"/>
    </x:row>
    <x:row r="357">
      <x:c r="A357" t="str">
        <x:v>All three divisions</x:v>
      </x:c>
      <x:c r="B357" t="str">
        <x:v>Ratios</x:v>
      </x:c>
      <x:c r="C357" t="str">
        <x:v>Current ratio, debt-equity, DSCR, ROE, inventory/receivable/payable turnover, net capital turnover, net profit ratio, ROCE and return on investment, with explanations for material variance.</x:v>
      </x:c>
      <x:c r="D357" t="str">
        <x:v>Pending</x:v>
      </x:c>
      <x:c r="E357"/>
      <x:c r="F357"/>
      <x:c r="G357"/>
    </x:row>
    <x:row r="358">
      <x:c r="A358" t="str">
        <x:v>All three divisions</x:v>
      </x:c>
      <x:c r="B358" t="str">
        <x:v>Schemes of arrangement</x:v>
      </x:c>
      <x:c r="C358" t="str">
        <x:v>Accounting effect and compliance with the approved scheme and applicable standards.</x:v>
      </x:c>
      <x:c r="D358" t="str">
        <x:v>Pending</x:v>
      </x:c>
      <x:c r="E358"/>
      <x:c r="F358"/>
      <x:c r="G358"/>
    </x:row>
    <x:row r="359">
      <x:c r="A359" t="str">
        <x:v>All three divisions</x:v>
      </x:c>
      <x:c r="B359" t="str">
        <x:v>Intermediaries / ultimate beneficiaries</x:v>
      </x:c>
      <x:c r="C359" t="str">
        <x:v>Funds advanced, received or routed through intermediaries and ultimate beneficiaries.</x:v>
      </x:c>
      <x:c r="D359" t="str">
        <x:v>Pending</x:v>
      </x:c>
      <x:c r="E359"/>
      <x:c r="F359"/>
      <x:c r="G359"/>
    </x:row>
    <x:row r="360">
      <x:c r="A360" t="str">
        <x:v>All three divisions</x:v>
      </x:c>
      <x:c r="B360" t="str">
        <x:v>Undisclosed income</x:v>
      </x:c>
      <x:c r="C360" t="str">
        <x:v>Previously unrecorded income surrendered or disclosed in tax assessments.</x:v>
      </x:c>
      <x:c r="D360" t="str">
        <x:v>Pending</x:v>
      </x:c>
      <x:c r="E360"/>
      <x:c r="F360"/>
      <x:c r="G360"/>
    </x:row>
    <x:row r="361">
      <x:c r="A361" t="str">
        <x:v>All three divisions</x:v>
      </x:c>
      <x:c r="B361" t="str">
        <x:v>CSR</x:v>
      </x:c>
      <x:c r="C361" t="str">
        <x:v>Corporate Social Responsibility expenditure and unspent amounts.</x:v>
      </x:c>
      <x:c r="D361" t="str">
        <x:v>Pending</x:v>
      </x:c>
      <x:c r="E361"/>
      <x:c r="F361"/>
      <x:c r="G361"/>
    </x:row>
    <x:row r="362">
      <x:c r="A362" t="str">
        <x:v>All three divisions</x:v>
      </x:c>
      <x:c r="B362" t="str">
        <x:v>Crypto / virtual currency</x:v>
      </x:c>
      <x:c r="C362" t="str">
        <x:v>Profit or loss, holdings and deposits/advances involving crypto or virtual currency.</x:v>
      </x:c>
      <x:c r="D362" t="str">
        <x:v>Pending</x:v>
      </x:c>
      <x:c r="E362"/>
      <x:c r="F362"/>
      <x:c r="G362"/>
    </x:row>
    <x:row r="363">
      <x:c r="A363"/>
      <x:c r="B363"/>
      <x:c r="C363"/>
      <x:c r="D363"/>
      <x:c r="E363"/>
      <x:c r="F363"/>
      <x:c r="G363"/>
    </x:row>
    <x:row r="364">
      <x:c r="A364" t="str">
        <x:v>Source: https://resource.cdn.icai.org/68983clcgc55147-gnd3.pdf</x:v>
      </x:c>
      <x:c r="B364"/>
      <x:c r="C364"/>
      <x:c r="D364"/>
      <x:c r="E364"/>
      <x:c r="F364"/>
      <x:c r="G364"/>
    </x:row>
    <x:row r="365">
      <x:c r="A365"/>
      <x:c r="B365"/>
      <x:c r="C365"/>
      <x:c r="D365"/>
      <x:c r="E365"/>
      <x:c r="F365"/>
      <x:c r="G365"/>
    </x:row>
    <x:row r="366">
      <x:c r="A366"/>
      <x:c r="B366"/>
      <x:c r="C366"/>
      <x:c r="D366"/>
      <x:c r="E366"/>
      <x:c r="F366"/>
      <x:c r="G366"/>
    </x:row>
    <x:row r="367">
      <x:c r="A367" t="str">
        <x:v>Schedule III Division III – Notes to Statement of Profit and Loss</x:v>
      </x:c>
      <x:c r="B367"/>
      <x:c r="C367"/>
      <x:c r="D367"/>
      <x:c r="E367"/>
      <x:c r="F367"/>
      <x:c r="G367"/>
    </x:row>
    <x:row r="368">
      <x:c r="A368"/>
      <x:c r="B368"/>
      <x:c r="C368"/>
      <x:c r="D368"/>
      <x:c r="E368"/>
      <x:c r="F368"/>
      <x:c r="G368"/>
    </x:row>
    <x:row r="369">
      <x:c r="A369" t="str">
        <x:v>Note 36 – Interest income</x:v>
      </x:c>
      <x:c r="B369"/>
      <x:c r="C369"/>
      <x:c r="D369"/>
      <x:c r="E369"/>
      <x:c r="F369"/>
      <x:c r="G369"/>
    </x:row>
    <x:row r="370">
      <x:c r="A370" t="str">
        <x:v>Particulars</x:v>
      </x:c>
      <x:c r="B370" t="str">
        <x:v>Current reporting period</x:v>
      </x:c>
      <x:c r="C370" t="str">
        <x:v>Previous reporting period</x:v>
      </x:c>
      <x:c r="D370" t="str">
        <x:v>Mapping / Source</x:v>
      </x:c>
      <x:c r="E370" t="str">
        <x:v>Classification</x:v>
      </x:c>
      <x:c r="F370" t="str">
        <x:v>Remarks</x:v>
      </x:c>
      <x:c r="G370"/>
    </x:row>
    <x:row r="371">
      <x:c r="A371" t="str">
        <x:v>Interest on loans</x:v>
      </x:c>
      <x:c r="B371"/>
      <x:c r="C371"/>
      <x:c r="D371"/>
      <x:c r="E371"/>
      <x:c r="F371"/>
      <x:c r="G371"/>
    </x:row>
    <x:row r="372">
      <x:c r="A372" t="str">
        <x:v>Interest income from investments</x:v>
      </x:c>
      <x:c r="B372"/>
      <x:c r="C372"/>
      <x:c r="D372"/>
      <x:c r="E372"/>
      <x:c r="F372"/>
      <x:c r="G372"/>
    </x:row>
    <x:row r="373">
      <x:c r="A373" t="str">
        <x:v>Interest on deposits with banks</x:v>
      </x:c>
      <x:c r="B373"/>
      <x:c r="C373"/>
      <x:c r="D373"/>
      <x:c r="E373"/>
      <x:c r="F373"/>
      <x:c r="G373"/>
    </x:row>
    <x:row r="374">
      <x:c r="A374" t="str">
        <x:v>Other interest income</x:v>
      </x:c>
      <x:c r="B374"/>
      <x:c r="C374"/>
      <x:c r="D374"/>
      <x:c r="E374"/>
      <x:c r="F374"/>
      <x:c r="G374"/>
    </x:row>
    <x:row r="375">
      <x:c r="A375" t="str">
        <x:v>Total Interest income</x:v>
      </x:c>
      <x:c r="B375" t="n">
        <x:f>SUM(B371:B374)</x:f>
        <x:v>0</x:v>
      </x:c>
      <x:c r="C375" t="n">
        <x:f>SUM(C371:C374)</x:f>
        <x:v>0</x:v>
      </x:c>
      <x:c r="D375"/>
      <x:c r="E375"/>
      <x:c r="F375"/>
      <x:c r="G375"/>
    </x:row>
    <x:row r="376">
      <x:c r="A376"/>
      <x:c r="B376"/>
      <x:c r="C376"/>
      <x:c r="D376"/>
      <x:c r="E376"/>
      <x:c r="F376"/>
      <x:c r="G376"/>
    </x:row>
    <x:row r="377">
      <x:c r="A377" t="str">
        <x:v>Note 37 – Dividend income</x:v>
      </x:c>
      <x:c r="B377"/>
      <x:c r="C377"/>
      <x:c r="D377"/>
      <x:c r="E377"/>
      <x:c r="F377"/>
      <x:c r="G377"/>
    </x:row>
    <x:row r="378">
      <x:c r="A378" t="str">
        <x:v>Particulars</x:v>
      </x:c>
      <x:c r="B378" t="str">
        <x:v>Current reporting period</x:v>
      </x:c>
      <x:c r="C378" t="str">
        <x:v>Previous reporting period</x:v>
      </x:c>
      <x:c r="D378" t="str">
        <x:v>Mapping / Source</x:v>
      </x:c>
      <x:c r="E378" t="str">
        <x:v>Classification</x:v>
      </x:c>
      <x:c r="F378" t="str">
        <x:v>Remarks</x:v>
      </x:c>
      <x:c r="G378"/>
    </x:row>
    <x:row r="379">
      <x:c r="A379" t="str">
        <x:v>Dividend from investments measured at FVTPL</x:v>
      </x:c>
      <x:c r="B379"/>
      <x:c r="C379"/>
      <x:c r="D379"/>
      <x:c r="E379"/>
      <x:c r="F379"/>
      <x:c r="G379"/>
    </x:row>
    <x:row r="380">
      <x:c r="A380" t="str">
        <x:v>Dividend from investments measured at FVOCI</x:v>
      </x:c>
      <x:c r="B380"/>
      <x:c r="C380"/>
      <x:c r="D380"/>
      <x:c r="E380"/>
      <x:c r="F380"/>
      <x:c r="G380"/>
    </x:row>
    <x:row r="381">
      <x:c r="A381" t="str">
        <x:v>Other dividend income</x:v>
      </x:c>
      <x:c r="B381"/>
      <x:c r="C381"/>
      <x:c r="D381"/>
      <x:c r="E381"/>
      <x:c r="F381"/>
      <x:c r="G381"/>
    </x:row>
    <x:row r="382">
      <x:c r="A382" t="str">
        <x:v>Total Dividend income</x:v>
      </x:c>
      <x:c r="B382" t="n">
        <x:f>SUM(B379:B381)</x:f>
        <x:v>0</x:v>
      </x:c>
      <x:c r="C382" t="n">
        <x:f>SUM(C379:C381)</x:f>
        <x:v>0</x:v>
      </x:c>
      <x:c r="D382"/>
      <x:c r="E382"/>
      <x:c r="F382"/>
      <x:c r="G382"/>
    </x:row>
    <x:row r="383">
      <x:c r="A383"/>
      <x:c r="B383"/>
      <x:c r="C383"/>
      <x:c r="D383"/>
      <x:c r="E383"/>
      <x:c r="F383"/>
      <x:c r="G383"/>
    </x:row>
    <x:row r="384">
      <x:c r="A384" t="str">
        <x:v>Note 38 – Rental income</x:v>
      </x:c>
      <x:c r="B384"/>
      <x:c r="C384"/>
      <x:c r="D384"/>
      <x:c r="E384"/>
      <x:c r="F384"/>
      <x:c r="G384"/>
    </x:row>
    <x:row r="385">
      <x:c r="A385" t="str">
        <x:v>Particulars</x:v>
      </x:c>
      <x:c r="B385" t="str">
        <x:v>Current reporting period</x:v>
      </x:c>
      <x:c r="C385" t="str">
        <x:v>Previous reporting period</x:v>
      </x:c>
      <x:c r="D385" t="str">
        <x:v>Mapping / Source</x:v>
      </x:c>
      <x:c r="E385" t="str">
        <x:v>Classification</x:v>
      </x:c>
      <x:c r="F385" t="str">
        <x:v>Remarks</x:v>
      </x:c>
      <x:c r="G385"/>
    </x:row>
    <x:row r="386">
      <x:c r="A386" t="str">
        <x:v>Rental income from investment property</x:v>
      </x:c>
      <x:c r="B386"/>
      <x:c r="C386"/>
      <x:c r="D386"/>
      <x:c r="E386"/>
      <x:c r="F386"/>
      <x:c r="G386"/>
    </x:row>
    <x:row r="387">
      <x:c r="A387" t="str">
        <x:v>Other rental income</x:v>
      </x:c>
      <x:c r="B387"/>
      <x:c r="C387"/>
      <x:c r="D387"/>
      <x:c r="E387"/>
      <x:c r="F387"/>
      <x:c r="G387"/>
    </x:row>
    <x:row r="388">
      <x:c r="A388" t="str">
        <x:v>Total Rental income</x:v>
      </x:c>
      <x:c r="B388" t="n">
        <x:f>SUM(B386:B387)</x:f>
        <x:v>0</x:v>
      </x:c>
      <x:c r="C388" t="n">
        <x:f>SUM(C386:C387)</x:f>
        <x:v>0</x:v>
      </x:c>
      <x:c r="D388"/>
      <x:c r="E388"/>
      <x:c r="F388"/>
      <x:c r="G388"/>
    </x:row>
    <x:row r="389">
      <x:c r="A389"/>
      <x:c r="B389"/>
      <x:c r="C389"/>
      <x:c r="D389"/>
      <x:c r="E389"/>
      <x:c r="F389"/>
      <x:c r="G389"/>
    </x:row>
    <x:row r="390">
      <x:c r="A390" t="str">
        <x:v>Note 39 – Fees and commission income</x:v>
      </x:c>
      <x:c r="B390"/>
      <x:c r="C390"/>
      <x:c r="D390"/>
      <x:c r="E390"/>
      <x:c r="F390"/>
      <x:c r="G390"/>
    </x:row>
    <x:row r="391">
      <x:c r="A391" t="str">
        <x:v>Particulars</x:v>
      </x:c>
      <x:c r="B391" t="str">
        <x:v>Current reporting period</x:v>
      </x:c>
      <x:c r="C391" t="str">
        <x:v>Previous reporting period</x:v>
      </x:c>
      <x:c r="D391" t="str">
        <x:v>Mapping / Source</x:v>
      </x:c>
      <x:c r="E391" t="str">
        <x:v>Classification</x:v>
      </x:c>
      <x:c r="F391" t="str">
        <x:v>Remarks</x:v>
      </x:c>
      <x:c r="G391"/>
    </x:row>
    <x:row r="392">
      <x:c r="A392" t="str">
        <x:v>Processing fees</x:v>
      </x:c>
      <x:c r="B392"/>
      <x:c r="C392"/>
      <x:c r="D392"/>
      <x:c r="E392"/>
      <x:c r="F392"/>
      <x:c r="G392"/>
    </x:row>
    <x:row r="393">
      <x:c r="A393" t="str">
        <x:v>Commission income</x:v>
      </x:c>
      <x:c r="B393"/>
      <x:c r="C393"/>
      <x:c r="D393"/>
      <x:c r="E393"/>
      <x:c r="F393"/>
      <x:c r="G393"/>
    </x:row>
    <x:row r="394">
      <x:c r="A394" t="str">
        <x:v>Servicing fees</x:v>
      </x:c>
      <x:c r="B394"/>
      <x:c r="C394"/>
      <x:c r="D394"/>
      <x:c r="E394"/>
      <x:c r="F394"/>
      <x:c r="G394"/>
    </x:row>
    <x:row r="395">
      <x:c r="A395" t="str">
        <x:v>Other fee income</x:v>
      </x:c>
      <x:c r="B395"/>
      <x:c r="C395"/>
      <x:c r="D395"/>
      <x:c r="E395"/>
      <x:c r="F395"/>
      <x:c r="G395"/>
    </x:row>
    <x:row r="396">
      <x:c r="A396" t="str">
        <x:v>Total Fees and commission income</x:v>
      </x:c>
      <x:c r="B396" t="n">
        <x:f>SUM(B392:B395)</x:f>
        <x:v>0</x:v>
      </x:c>
      <x:c r="C396" t="n">
        <x:f>SUM(C392:C395)</x:f>
        <x:v>0</x:v>
      </x:c>
      <x:c r="D396"/>
      <x:c r="E396"/>
      <x:c r="F396"/>
      <x:c r="G396"/>
    </x:row>
    <x:row r="397">
      <x:c r="A397"/>
      <x:c r="B397"/>
      <x:c r="C397"/>
      <x:c r="D397"/>
      <x:c r="E397"/>
      <x:c r="F397"/>
      <x:c r="G397"/>
    </x:row>
    <x:row r="398">
      <x:c r="A398" t="str">
        <x:v>Note 40 – Net gain on fair value changes</x:v>
      </x:c>
      <x:c r="B398"/>
      <x:c r="C398"/>
      <x:c r="D398"/>
      <x:c r="E398"/>
      <x:c r="F398"/>
      <x:c r="G398"/>
    </x:row>
    <x:row r="399">
      <x:c r="A399" t="str">
        <x:v>Particulars</x:v>
      </x:c>
      <x:c r="B399" t="str">
        <x:v>Current reporting period</x:v>
      </x:c>
      <x:c r="C399" t="str">
        <x:v>Previous reporting period</x:v>
      </x:c>
      <x:c r="D399" t="str">
        <x:v>Mapping / Source</x:v>
      </x:c>
      <x:c r="E399" t="str">
        <x:v>Classification</x:v>
      </x:c>
      <x:c r="F399" t="str">
        <x:v>Remarks</x:v>
      </x:c>
      <x:c r="G399"/>
    </x:row>
    <x:row r="400">
      <x:c r="A400" t="str">
        <x:v>Trading portfolio – investments</x:v>
      </x:c>
      <x:c r="B400"/>
      <x:c r="C400"/>
      <x:c r="D400"/>
      <x:c r="E400"/>
      <x:c r="F400"/>
      <x:c r="G400"/>
    </x:row>
    <x:row r="401">
      <x:c r="A401" t="str">
        <x:v>Trading portfolio – derivatives</x:v>
      </x:c>
      <x:c r="B401"/>
      <x:c r="C401"/>
      <x:c r="D401"/>
      <x:c r="E401"/>
      <x:c r="F401"/>
      <x:c r="G401"/>
    </x:row>
    <x:row r="402">
      <x:c r="A402" t="str">
        <x:v>Designated FVTPL instruments</x:v>
      </x:c>
      <x:c r="B402"/>
      <x:c r="C402"/>
      <x:c r="D402"/>
      <x:c r="E402"/>
      <x:c r="F402"/>
      <x:c r="G402"/>
    </x:row>
    <x:row r="403">
      <x:c r="A403" t="str">
        <x:v>Other fair value gains/(losses)</x:v>
      </x:c>
      <x:c r="B403"/>
      <x:c r="C403"/>
      <x:c r="D403"/>
      <x:c r="E403"/>
      <x:c r="F403"/>
      <x:c r="G403"/>
    </x:row>
    <x:row r="404">
      <x:c r="A404" t="str">
        <x:v>Total Net gain on fair value changes</x:v>
      </x:c>
      <x:c r="B404" t="n">
        <x:f>SUM(B400:B403)</x:f>
        <x:v>0</x:v>
      </x:c>
      <x:c r="C404" t="n">
        <x:f>SUM(C400:C403)</x:f>
        <x:v>0</x:v>
      </x:c>
      <x:c r="D404"/>
      <x:c r="E404"/>
      <x:c r="F404"/>
      <x:c r="G404"/>
    </x:row>
    <x:row r="405">
      <x:c r="A405"/>
      <x:c r="B405"/>
      <x:c r="C405"/>
      <x:c r="D405"/>
      <x:c r="E405"/>
      <x:c r="F405"/>
      <x:c r="G405"/>
    </x:row>
    <x:row r="406">
      <x:c r="A406" t="str">
        <x:v>Note 41 – Net gain on de-recognition of financial instruments</x:v>
      </x:c>
      <x:c r="B406"/>
      <x:c r="C406"/>
      <x:c r="D406"/>
      <x:c r="E406"/>
      <x:c r="F406"/>
      <x:c r="G406"/>
    </x:row>
    <x:row r="407">
      <x:c r="A407" t="str">
        <x:v>Particulars</x:v>
      </x:c>
      <x:c r="B407" t="str">
        <x:v>Current reporting period</x:v>
      </x:c>
      <x:c r="C407" t="str">
        <x:v>Previous reporting period</x:v>
      </x:c>
      <x:c r="D407" t="str">
        <x:v>Mapping / Source</x:v>
      </x:c>
      <x:c r="E407" t="str">
        <x:v>Classification</x:v>
      </x:c>
      <x:c r="F407" t="str">
        <x:v>Remarks</x:v>
      </x:c>
      <x:c r="G407"/>
    </x:row>
    <x:row r="408">
      <x:c r="A408" t="str">
        <x:v>Financial assets at amortised cost</x:v>
      </x:c>
      <x:c r="B408"/>
      <x:c r="C408"/>
      <x:c r="D408"/>
      <x:c r="E408"/>
      <x:c r="F408"/>
      <x:c r="G408"/>
    </x:row>
    <x:row r="409">
      <x:c r="A409" t="str">
        <x:v>Other de-recognition gains/(losses)</x:v>
      </x:c>
      <x:c r="B409"/>
      <x:c r="C409"/>
      <x:c r="D409"/>
      <x:c r="E409"/>
      <x:c r="F409"/>
      <x:c r="G409"/>
    </x:row>
    <x:row r="410">
      <x:c r="A410" t="str">
        <x:v>Total Net gain on de-recognition of financial instruments</x:v>
      </x:c>
      <x:c r="B410" t="n">
        <x:f>SUM(B408:B409)</x:f>
        <x:v>0</x:v>
      </x:c>
      <x:c r="C410" t="n">
        <x:f>SUM(C408:C409)</x:f>
        <x:v>0</x:v>
      </x:c>
      <x:c r="D410"/>
      <x:c r="E410"/>
      <x:c r="F410"/>
      <x:c r="G410"/>
    </x:row>
    <x:row r="411">
      <x:c r="A411"/>
      <x:c r="B411"/>
      <x:c r="C411"/>
      <x:c r="D411"/>
      <x:c r="E411"/>
      <x:c r="F411"/>
      <x:c r="G411"/>
    </x:row>
    <x:row r="412">
      <x:c r="A412" t="str">
        <x:v>Note 42 – Sale of products</x:v>
      </x:c>
      <x:c r="B412"/>
      <x:c r="C412"/>
      <x:c r="D412"/>
      <x:c r="E412"/>
      <x:c r="F412"/>
      <x:c r="G412"/>
    </x:row>
    <x:row r="413">
      <x:c r="A413" t="str">
        <x:v>Particulars</x:v>
      </x:c>
      <x:c r="B413" t="str">
        <x:v>Current reporting period</x:v>
      </x:c>
      <x:c r="C413" t="str">
        <x:v>Previous reporting period</x:v>
      </x:c>
      <x:c r="D413" t="str">
        <x:v>Mapping / Source</x:v>
      </x:c>
      <x:c r="E413" t="str">
        <x:v>Classification</x:v>
      </x:c>
      <x:c r="F413" t="str">
        <x:v>Remarks</x:v>
      </x:c>
      <x:c r="G413"/>
    </x:row>
    <x:row r="414">
      <x:c r="A414" t="str">
        <x:v>Sale of products</x:v>
      </x:c>
      <x:c r="B414"/>
      <x:c r="C414"/>
      <x:c r="D414"/>
      <x:c r="E414"/>
      <x:c r="F414"/>
      <x:c r="G414"/>
    </x:row>
    <x:row r="415">
      <x:c r="A415" t="str">
        <x:v>Less: Excise duty, where applicable</x:v>
      </x:c>
      <x:c r="B415"/>
      <x:c r="C415"/>
      <x:c r="D415"/>
      <x:c r="E415"/>
      <x:c r="F415"/>
      <x:c r="G415"/>
    </x:row>
    <x:row r="416">
      <x:c r="A416" t="str">
        <x:v>Total Sale of products</x:v>
      </x:c>
      <x:c r="B416" t="n">
        <x:f>SUM(B414:B415)</x:f>
        <x:v>0</x:v>
      </x:c>
      <x:c r="C416" t="n">
        <x:f>SUM(C414:C415)</x:f>
        <x:v>0</x:v>
      </x:c>
      <x:c r="D416"/>
      <x:c r="E416"/>
      <x:c r="F416"/>
      <x:c r="G416"/>
    </x:row>
    <x:row r="417">
      <x:c r="A417"/>
      <x:c r="B417"/>
      <x:c r="C417"/>
      <x:c r="D417"/>
      <x:c r="E417"/>
      <x:c r="F417"/>
      <x:c r="G417"/>
    </x:row>
    <x:row r="418">
      <x:c r="A418" t="str">
        <x:v>Note 43 – Sale of services</x:v>
      </x:c>
      <x:c r="B418"/>
      <x:c r="C418"/>
      <x:c r="D418"/>
      <x:c r="E418"/>
      <x:c r="F418"/>
      <x:c r="G418"/>
    </x:row>
    <x:row r="419">
      <x:c r="A419" t="str">
        <x:v>Particulars</x:v>
      </x:c>
      <x:c r="B419" t="str">
        <x:v>Current reporting period</x:v>
      </x:c>
      <x:c r="C419" t="str">
        <x:v>Previous reporting period</x:v>
      </x:c>
      <x:c r="D419" t="str">
        <x:v>Mapping / Source</x:v>
      </x:c>
      <x:c r="E419" t="str">
        <x:v>Classification</x:v>
      </x:c>
      <x:c r="F419" t="str">
        <x:v>Remarks</x:v>
      </x:c>
      <x:c r="G419"/>
    </x:row>
    <x:row r="420">
      <x:c r="A420" t="str">
        <x:v>Service revenue</x:v>
      </x:c>
      <x:c r="B420"/>
      <x:c r="C420"/>
      <x:c r="D420"/>
      <x:c r="E420"/>
      <x:c r="F420"/>
      <x:c r="G420"/>
    </x:row>
    <x:row r="421">
      <x:c r="A421" t="str">
        <x:v>Other service income</x:v>
      </x:c>
      <x:c r="B421"/>
      <x:c r="C421"/>
      <x:c r="D421"/>
      <x:c r="E421"/>
      <x:c r="F421"/>
      <x:c r="G421"/>
    </x:row>
    <x:row r="422">
      <x:c r="A422" t="str">
        <x:v>Total Sale of services</x:v>
      </x:c>
      <x:c r="B422" t="n">
        <x:f>SUM(B420:B421)</x:f>
        <x:v>0</x:v>
      </x:c>
      <x:c r="C422" t="n">
        <x:f>SUM(C420:C421)</x:f>
        <x:v>0</x:v>
      </x:c>
      <x:c r="D422"/>
      <x:c r="E422"/>
      <x:c r="F422"/>
      <x:c r="G422"/>
    </x:row>
    <x:row r="423">
      <x:c r="A423"/>
      <x:c r="B423"/>
      <x:c r="C423"/>
      <x:c r="D423"/>
      <x:c r="E423"/>
      <x:c r="F423"/>
      <x:c r="G423"/>
    </x:row>
    <x:row r="424">
      <x:c r="A424" t="str">
        <x:v>Note 44 – Other operating revenue</x:v>
      </x:c>
      <x:c r="B424"/>
      <x:c r="C424"/>
      <x:c r="D424"/>
      <x:c r="E424"/>
      <x:c r="F424"/>
      <x:c r="G424"/>
    </x:row>
    <x:row r="425">
      <x:c r="A425" t="str">
        <x:v>Particulars</x:v>
      </x:c>
      <x:c r="B425" t="str">
        <x:v>Current reporting period</x:v>
      </x:c>
      <x:c r="C425" t="str">
        <x:v>Previous reporting period</x:v>
      </x:c>
      <x:c r="D425" t="str">
        <x:v>Mapping / Source</x:v>
      </x:c>
      <x:c r="E425" t="str">
        <x:v>Classification</x:v>
      </x:c>
      <x:c r="F425" t="str">
        <x:v>Remarks</x:v>
      </x:c>
      <x:c r="G425"/>
    </x:row>
    <x:row r="426">
      <x:c r="A426" t="str">
        <x:v>Other operating income</x:v>
      </x:c>
      <x:c r="B426"/>
      <x:c r="C426"/>
      <x:c r="D426"/>
      <x:c r="E426"/>
      <x:c r="F426"/>
      <x:c r="G426"/>
    </x:row>
    <x:row r="427">
      <x:c r="A427" t="str">
        <x:v>Total Other operating revenue</x:v>
      </x:c>
      <x:c r="B427" t="n">
        <x:f>SUM(B426:B426)</x:f>
        <x:v>0</x:v>
      </x:c>
      <x:c r="C427" t="n">
        <x:f>SUM(C426:C426)</x:f>
        <x:v>0</x:v>
      </x:c>
      <x:c r="D427"/>
      <x:c r="E427"/>
      <x:c r="F427"/>
      <x:c r="G427"/>
    </x:row>
    <x:row r="428">
      <x:c r="A428"/>
      <x:c r="B428"/>
      <x:c r="C428"/>
      <x:c r="D428"/>
      <x:c r="E428"/>
      <x:c r="F428"/>
      <x:c r="G428"/>
    </x:row>
    <x:row r="429">
      <x:c r="A429" t="str">
        <x:v>Note 45 – Other income</x:v>
      </x:c>
      <x:c r="B429"/>
      <x:c r="C429"/>
      <x:c r="D429"/>
      <x:c r="E429"/>
      <x:c r="F429"/>
      <x:c r="G429"/>
    </x:row>
    <x:row r="430">
      <x:c r="A430" t="str">
        <x:v>Particulars</x:v>
      </x:c>
      <x:c r="B430" t="str">
        <x:v>Current reporting period</x:v>
      </x:c>
      <x:c r="C430" t="str">
        <x:v>Previous reporting period</x:v>
      </x:c>
      <x:c r="D430" t="str">
        <x:v>Mapping / Source</x:v>
      </x:c>
      <x:c r="E430" t="str">
        <x:v>Classification</x:v>
      </x:c>
      <x:c r="F430" t="str">
        <x:v>Remarks</x:v>
      </x:c>
      <x:c r="G430"/>
    </x:row>
    <x:row r="431">
      <x:c r="A431" t="str">
        <x:v>Ineffective hedge gain/(loss)</x:v>
      </x:c>
      <x:c r="B431"/>
      <x:c r="C431"/>
      <x:c r="D431"/>
      <x:c r="E431"/>
      <x:c r="F431"/>
      <x:c r="G431"/>
    </x:row>
    <x:row r="432">
      <x:c r="A432" t="str">
        <x:v>Gain/(loss) on de-recognition of PPE</x:v>
      </x:c>
      <x:c r="B432"/>
      <x:c r="C432"/>
      <x:c r="D432"/>
      <x:c r="E432"/>
      <x:c r="F432"/>
      <x:c r="G432"/>
    </x:row>
    <x:row r="433">
      <x:c r="A433" t="str">
        <x:v>Foreign exchange gain/(loss)</x:v>
      </x:c>
      <x:c r="B433"/>
      <x:c r="C433"/>
      <x:c r="D433"/>
      <x:c r="E433"/>
      <x:c r="F433"/>
      <x:c r="G433"/>
    </x:row>
    <x:row r="434">
      <x:c r="A434" t="str">
        <x:v>Other income</x:v>
      </x:c>
      <x:c r="B434"/>
      <x:c r="C434"/>
      <x:c r="D434"/>
      <x:c r="E434"/>
      <x:c r="F434"/>
      <x:c r="G434"/>
    </x:row>
    <x:row r="435">
      <x:c r="A435" t="str">
        <x:v>Total Other income</x:v>
      </x:c>
      <x:c r="B435" t="n">
        <x:f>SUM(B431:B434)</x:f>
        <x:v>0</x:v>
      </x:c>
      <x:c r="C435" t="n">
        <x:f>SUM(C431:C434)</x:f>
        <x:v>0</x:v>
      </x:c>
      <x:c r="D435"/>
      <x:c r="E435"/>
      <x:c r="F435"/>
      <x:c r="G435"/>
    </x:row>
    <x:row r="436">
      <x:c r="A436"/>
      <x:c r="B436"/>
      <x:c r="C436"/>
      <x:c r="D436"/>
      <x:c r="E436"/>
      <x:c r="F436"/>
      <x:c r="G436"/>
    </x:row>
    <x:row r="437">
      <x:c r="A437" t="str">
        <x:v>Note 46 – Finance costs</x:v>
      </x:c>
      <x:c r="B437"/>
      <x:c r="C437"/>
      <x:c r="D437"/>
      <x:c r="E437"/>
      <x:c r="F437"/>
      <x:c r="G437"/>
    </x:row>
    <x:row r="438">
      <x:c r="A438" t="str">
        <x:v>Particulars</x:v>
      </x:c>
      <x:c r="B438" t="str">
        <x:v>Current reporting period</x:v>
      </x:c>
      <x:c r="C438" t="str">
        <x:v>Previous reporting period</x:v>
      </x:c>
      <x:c r="D438" t="str">
        <x:v>Mapping / Source</x:v>
      </x:c>
      <x:c r="E438" t="str">
        <x:v>Classification</x:v>
      </x:c>
      <x:c r="F438" t="str">
        <x:v>Remarks</x:v>
      </x:c>
      <x:c r="G438"/>
    </x:row>
    <x:row r="439">
      <x:c r="A439" t="str">
        <x:v>Interest on deposits</x:v>
      </x:c>
      <x:c r="B439"/>
      <x:c r="C439"/>
      <x:c r="D439"/>
      <x:c r="E439"/>
      <x:c r="F439"/>
      <x:c r="G439"/>
    </x:row>
    <x:row r="440">
      <x:c r="A440" t="str">
        <x:v>Interest on borrowings</x:v>
      </x:c>
      <x:c r="B440"/>
      <x:c r="C440"/>
      <x:c r="D440"/>
      <x:c r="E440"/>
      <x:c r="F440"/>
      <x:c r="G440"/>
    </x:row>
    <x:row r="441">
      <x:c r="A441" t="str">
        <x:v>Interest on debt securities</x:v>
      </x:c>
      <x:c r="B441"/>
      <x:c r="C441"/>
      <x:c r="D441"/>
      <x:c r="E441"/>
      <x:c r="F441"/>
      <x:c r="G441"/>
    </x:row>
    <x:row r="442">
      <x:c r="A442" t="str">
        <x:v>Interest on subordinated liabilities</x:v>
      </x:c>
      <x:c r="B442"/>
      <x:c r="C442"/>
      <x:c r="D442"/>
      <x:c r="E442"/>
      <x:c r="F442"/>
      <x:c r="G442"/>
    </x:row>
    <x:row r="443">
      <x:c r="A443" t="str">
        <x:v>Other interest expense</x:v>
      </x:c>
      <x:c r="B443"/>
      <x:c r="C443"/>
      <x:c r="D443"/>
      <x:c r="E443"/>
      <x:c r="F443"/>
      <x:c r="G443"/>
    </x:row>
    <x:row r="444">
      <x:c r="A444" t="str">
        <x:v>Total Finance costs</x:v>
      </x:c>
      <x:c r="B444" t="n">
        <x:f>SUM(B439:B443)</x:f>
        <x:v>0</x:v>
      </x:c>
      <x:c r="C444" t="n">
        <x:f>SUM(C439:C443)</x:f>
        <x:v>0</x:v>
      </x:c>
      <x:c r="D444"/>
      <x:c r="E444"/>
      <x:c r="F444"/>
      <x:c r="G444"/>
    </x:row>
    <x:row r="445">
      <x:c r="A445"/>
      <x:c r="B445"/>
      <x:c r="C445"/>
      <x:c r="D445"/>
      <x:c r="E445"/>
      <x:c r="F445"/>
      <x:c r="G445"/>
    </x:row>
    <x:row r="446">
      <x:c r="A446" t="str">
        <x:v>Note 47 – Fees and commission expense</x:v>
      </x:c>
      <x:c r="B446"/>
      <x:c r="C446"/>
      <x:c r="D446"/>
      <x:c r="E446"/>
      <x:c r="F446"/>
      <x:c r="G446"/>
    </x:row>
    <x:row r="447">
      <x:c r="A447" t="str">
        <x:v>Particulars</x:v>
      </x:c>
      <x:c r="B447" t="str">
        <x:v>Current reporting period</x:v>
      </x:c>
      <x:c r="C447" t="str">
        <x:v>Previous reporting period</x:v>
      </x:c>
      <x:c r="D447" t="str">
        <x:v>Mapping / Source</x:v>
      </x:c>
      <x:c r="E447" t="str">
        <x:v>Classification</x:v>
      </x:c>
      <x:c r="F447" t="str">
        <x:v>Remarks</x:v>
      </x:c>
      <x:c r="G447"/>
    </x:row>
    <x:row r="448">
      <x:c r="A448" t="str">
        <x:v>Commission expense</x:v>
      </x:c>
      <x:c r="B448"/>
      <x:c r="C448"/>
      <x:c r="D448"/>
      <x:c r="E448"/>
      <x:c r="F448"/>
      <x:c r="G448"/>
    </x:row>
    <x:row r="449">
      <x:c r="A449" t="str">
        <x:v>Brokerage expense</x:v>
      </x:c>
      <x:c r="B449"/>
      <x:c r="C449"/>
      <x:c r="D449"/>
      <x:c r="E449"/>
      <x:c r="F449"/>
      <x:c r="G449"/>
    </x:row>
    <x:row r="450">
      <x:c r="A450" t="str">
        <x:v>Other fee expense</x:v>
      </x:c>
      <x:c r="B450"/>
      <x:c r="C450"/>
      <x:c r="D450"/>
      <x:c r="E450"/>
      <x:c r="F450"/>
      <x:c r="G450"/>
    </x:row>
    <x:row r="451">
      <x:c r="A451" t="str">
        <x:v>Total Fees and commission expense</x:v>
      </x:c>
      <x:c r="B451" t="n">
        <x:f>SUM(B448:B450)</x:f>
        <x:v>0</x:v>
      </x:c>
      <x:c r="C451" t="n">
        <x:f>SUM(C448:C450)</x:f>
        <x:v>0</x:v>
      </x:c>
      <x:c r="D451"/>
      <x:c r="E451"/>
      <x:c r="F451"/>
      <x:c r="G451"/>
    </x:row>
    <x:row r="452">
      <x:c r="A452"/>
      <x:c r="B452"/>
      <x:c r="C452"/>
      <x:c r="D452"/>
      <x:c r="E452"/>
      <x:c r="F452"/>
      <x:c r="G452"/>
    </x:row>
    <x:row r="453">
      <x:c r="A453" t="str">
        <x:v>Note 48 – Net loss on fair value changes</x:v>
      </x:c>
      <x:c r="B453"/>
      <x:c r="C453"/>
      <x:c r="D453"/>
      <x:c r="E453"/>
      <x:c r="F453"/>
      <x:c r="G453"/>
    </x:row>
    <x:row r="454">
      <x:c r="A454" t="str">
        <x:v>Particulars</x:v>
      </x:c>
      <x:c r="B454" t="str">
        <x:v>Current reporting period</x:v>
      </x:c>
      <x:c r="C454" t="str">
        <x:v>Previous reporting period</x:v>
      </x:c>
      <x:c r="D454" t="str">
        <x:v>Mapping / Source</x:v>
      </x:c>
      <x:c r="E454" t="str">
        <x:v>Classification</x:v>
      </x:c>
      <x:c r="F454" t="str">
        <x:v>Remarks</x:v>
      </x:c>
      <x:c r="G454"/>
    </x:row>
    <x:row r="455">
      <x:c r="A455" t="str">
        <x:v>Trading portfolio</x:v>
      </x:c>
      <x:c r="B455"/>
      <x:c r="C455"/>
      <x:c r="D455"/>
      <x:c r="E455"/>
      <x:c r="F455"/>
      <x:c r="G455"/>
    </x:row>
    <x:row r="456">
      <x:c r="A456" t="str">
        <x:v>Designated FVTPL instruments</x:v>
      </x:c>
      <x:c r="B456"/>
      <x:c r="C456"/>
      <x:c r="D456"/>
      <x:c r="E456"/>
      <x:c r="F456"/>
      <x:c r="G456"/>
    </x:row>
    <x:row r="457">
      <x:c r="A457" t="str">
        <x:v>Other fair value loss</x:v>
      </x:c>
      <x:c r="B457"/>
      <x:c r="C457"/>
      <x:c r="D457"/>
      <x:c r="E457"/>
      <x:c r="F457"/>
      <x:c r="G457"/>
    </x:row>
    <x:row r="458">
      <x:c r="A458" t="str">
        <x:v>Total Net loss on fair value changes</x:v>
      </x:c>
      <x:c r="B458" t="n">
        <x:f>SUM(B455:B457)</x:f>
        <x:v>0</x:v>
      </x:c>
      <x:c r="C458" t="n">
        <x:f>SUM(C455:C457)</x:f>
        <x:v>0</x:v>
      </x:c>
      <x:c r="D458"/>
      <x:c r="E458"/>
      <x:c r="F458"/>
      <x:c r="G458"/>
    </x:row>
    <x:row r="459">
      <x:c r="A459"/>
      <x:c r="B459"/>
      <x:c r="C459"/>
      <x:c r="D459"/>
      <x:c r="E459"/>
      <x:c r="F459"/>
      <x:c r="G459"/>
    </x:row>
    <x:row r="460">
      <x:c r="A460" t="str">
        <x:v>Note 49 – Net loss on de-recognition of financial instruments</x:v>
      </x:c>
      <x:c r="B460"/>
      <x:c r="C460"/>
      <x:c r="D460"/>
      <x:c r="E460"/>
      <x:c r="F460"/>
      <x:c r="G460"/>
    </x:row>
    <x:row r="461">
      <x:c r="A461" t="str">
        <x:v>Particulars</x:v>
      </x:c>
      <x:c r="B461" t="str">
        <x:v>Current reporting period</x:v>
      </x:c>
      <x:c r="C461" t="str">
        <x:v>Previous reporting period</x:v>
      </x:c>
      <x:c r="D461" t="str">
        <x:v>Mapping / Source</x:v>
      </x:c>
      <x:c r="E461" t="str">
        <x:v>Classification</x:v>
      </x:c>
      <x:c r="F461" t="str">
        <x:v>Remarks</x:v>
      </x:c>
      <x:c r="G461"/>
    </x:row>
    <x:row r="462">
      <x:c r="A462" t="str">
        <x:v>Financial assets at amortised cost</x:v>
      </x:c>
      <x:c r="B462"/>
      <x:c r="C462"/>
      <x:c r="D462"/>
      <x:c r="E462"/>
      <x:c r="F462"/>
      <x:c r="G462"/>
    </x:row>
    <x:row r="463">
      <x:c r="A463" t="str">
        <x:v>Other de-recognition loss</x:v>
      </x:c>
      <x:c r="B463"/>
      <x:c r="C463"/>
      <x:c r="D463"/>
      <x:c r="E463"/>
      <x:c r="F463"/>
      <x:c r="G463"/>
    </x:row>
    <x:row r="464">
      <x:c r="A464" t="str">
        <x:v>Total Net loss on de-recognition of financial instruments</x:v>
      </x:c>
      <x:c r="B464" t="n">
        <x:f>SUM(B462:B463)</x:f>
        <x:v>0</x:v>
      </x:c>
      <x:c r="C464" t="n">
        <x:f>SUM(C462:C463)</x:f>
        <x:v>0</x:v>
      </x:c>
      <x:c r="D464"/>
      <x:c r="E464"/>
      <x:c r="F464"/>
      <x:c r="G464"/>
    </x:row>
    <x:row r="465">
      <x:c r="A465"/>
      <x:c r="B465"/>
      <x:c r="C465"/>
      <x:c r="D465"/>
      <x:c r="E465"/>
      <x:c r="F465"/>
      <x:c r="G465"/>
    </x:row>
    <x:row r="466">
      <x:c r="A466" t="str">
        <x:v>Note 50 – Impairment on financial instruments</x:v>
      </x:c>
      <x:c r="B466"/>
      <x:c r="C466"/>
      <x:c r="D466"/>
      <x:c r="E466"/>
      <x:c r="F466"/>
      <x:c r="G466"/>
    </x:row>
    <x:row r="467">
      <x:c r="A467" t="str">
        <x:v>Particulars</x:v>
      </x:c>
      <x:c r="B467" t="str">
        <x:v>Current reporting period</x:v>
      </x:c>
      <x:c r="C467" t="str">
        <x:v>Previous reporting period</x:v>
      </x:c>
      <x:c r="D467" t="str">
        <x:v>Mapping / Source</x:v>
      </x:c>
      <x:c r="E467" t="str">
        <x:v>Classification</x:v>
      </x:c>
      <x:c r="F467" t="str">
        <x:v>Remarks</x:v>
      </x:c>
      <x:c r="G467"/>
    </x:row>
    <x:row r="468">
      <x:c r="A468" t="str">
        <x:v>Loans</x:v>
      </x:c>
      <x:c r="B468"/>
      <x:c r="C468"/>
      <x:c r="D468"/>
      <x:c r="E468"/>
      <x:c r="F468"/>
      <x:c r="G468"/>
    </x:row>
    <x:row r="469">
      <x:c r="A469" t="str">
        <x:v>Investments</x:v>
      </x:c>
      <x:c r="B469"/>
      <x:c r="C469"/>
      <x:c r="D469"/>
      <x:c r="E469"/>
      <x:c r="F469"/>
      <x:c r="G469"/>
    </x:row>
    <x:row r="470">
      <x:c r="A470" t="str">
        <x:v>Other financial instruments</x:v>
      </x:c>
      <x:c r="B470"/>
      <x:c r="C470"/>
      <x:c r="D470"/>
      <x:c r="E470"/>
      <x:c r="F470"/>
      <x:c r="G470"/>
    </x:row>
    <x:row r="471">
      <x:c r="A471" t="str">
        <x:v>Total Impairment on financial instruments</x:v>
      </x:c>
      <x:c r="B471" t="n">
        <x:f>SUM(B468:B470)</x:f>
        <x:v>0</x:v>
      </x:c>
      <x:c r="C471" t="n">
        <x:f>SUM(C468:C470)</x:f>
        <x:v>0</x:v>
      </x:c>
      <x:c r="D471"/>
      <x:c r="E471"/>
      <x:c r="F471"/>
      <x:c r="G471"/>
    </x:row>
    <x:row r="472">
      <x:c r="A472"/>
      <x:c r="B472"/>
      <x:c r="C472"/>
      <x:c r="D472"/>
      <x:c r="E472"/>
      <x:c r="F472"/>
      <x:c r="G472"/>
    </x:row>
    <x:row r="473">
      <x:c r="A473" t="str">
        <x:v>Note 51 – Cost of materials consumed</x:v>
      </x:c>
      <x:c r="B473"/>
      <x:c r="C473"/>
      <x:c r="D473"/>
      <x:c r="E473"/>
      <x:c r="F473"/>
      <x:c r="G473"/>
    </x:row>
    <x:row r="474">
      <x:c r="A474" t="str">
        <x:v>Particulars</x:v>
      </x:c>
      <x:c r="B474" t="str">
        <x:v>Current reporting period</x:v>
      </x:c>
      <x:c r="C474" t="str">
        <x:v>Previous reporting period</x:v>
      </x:c>
      <x:c r="D474" t="str">
        <x:v>Mapping / Source</x:v>
      </x:c>
      <x:c r="E474" t="str">
        <x:v>Classification</x:v>
      </x:c>
      <x:c r="F474" t="str">
        <x:v>Remarks</x:v>
      </x:c>
      <x:c r="G474"/>
    </x:row>
    <x:row r="475">
      <x:c r="A475" t="str">
        <x:v>Opening materials</x:v>
      </x:c>
      <x:c r="B475"/>
      <x:c r="C475"/>
      <x:c r="D475"/>
      <x:c r="E475"/>
      <x:c r="F475"/>
      <x:c r="G475"/>
    </x:row>
    <x:row r="476">
      <x:c r="A476" t="str">
        <x:v>Purchases</x:v>
      </x:c>
      <x:c r="B476"/>
      <x:c r="C476"/>
      <x:c r="D476"/>
      <x:c r="E476"/>
      <x:c r="F476"/>
      <x:c r="G476"/>
    </x:row>
    <x:row r="477">
      <x:c r="A477" t="str">
        <x:v>Less: Closing materials</x:v>
      </x:c>
      <x:c r="B477"/>
      <x:c r="C477"/>
      <x:c r="D477"/>
      <x:c r="E477"/>
      <x:c r="F477"/>
      <x:c r="G477"/>
    </x:row>
    <x:row r="478">
      <x:c r="A478" t="str">
        <x:v>Total Cost of materials consumed</x:v>
      </x:c>
      <x:c r="B478" t="n">
        <x:f>SUM(B475:B477)</x:f>
        <x:v>0</x:v>
      </x:c>
      <x:c r="C478" t="n">
        <x:f>SUM(C475:C477)</x:f>
        <x:v>0</x:v>
      </x:c>
      <x:c r="D478"/>
      <x:c r="E478"/>
      <x:c r="F478"/>
      <x:c r="G478"/>
    </x:row>
    <x:row r="479">
      <x:c r="A479"/>
      <x:c r="B479"/>
      <x:c r="C479"/>
      <x:c r="D479"/>
      <x:c r="E479"/>
      <x:c r="F479"/>
      <x:c r="G479"/>
    </x:row>
    <x:row r="480">
      <x:c r="A480" t="str">
        <x:v>Note 52 – Purchases of Stock-in-Trade</x:v>
      </x:c>
      <x:c r="B480"/>
      <x:c r="C480"/>
      <x:c r="D480"/>
      <x:c r="E480"/>
      <x:c r="F480"/>
      <x:c r="G480"/>
    </x:row>
    <x:row r="481">
      <x:c r="A481" t="str">
        <x:v>Particulars</x:v>
      </x:c>
      <x:c r="B481" t="str">
        <x:v>Current reporting period</x:v>
      </x:c>
      <x:c r="C481" t="str">
        <x:v>Previous reporting period</x:v>
      </x:c>
      <x:c r="D481" t="str">
        <x:v>Mapping / Source</x:v>
      </x:c>
      <x:c r="E481" t="str">
        <x:v>Classification</x:v>
      </x:c>
      <x:c r="F481" t="str">
        <x:v>Remarks</x:v>
      </x:c>
      <x:c r="G481"/>
    </x:row>
    <x:row r="482">
      <x:c r="A482" t="str">
        <x:v>Purchases under broad heads</x:v>
      </x:c>
      <x:c r="B482"/>
      <x:c r="C482"/>
      <x:c r="D482"/>
      <x:c r="E482"/>
      <x:c r="F482"/>
      <x:c r="G482"/>
    </x:row>
    <x:row r="483">
      <x:c r="A483" t="str">
        <x:v>Total Purchases of Stock-in-Trade</x:v>
      </x:c>
      <x:c r="B483" t="n">
        <x:f>SUM(B482:B482)</x:f>
        <x:v>0</x:v>
      </x:c>
      <x:c r="C483" t="n">
        <x:f>SUM(C482:C482)</x:f>
        <x:v>0</x:v>
      </x:c>
      <x:c r="D483"/>
      <x:c r="E483"/>
      <x:c r="F483"/>
      <x:c r="G483"/>
    </x:row>
    <x:row r="484">
      <x:c r="A484"/>
      <x:c r="B484"/>
      <x:c r="C484"/>
      <x:c r="D484"/>
      <x:c r="E484"/>
      <x:c r="F484"/>
      <x:c r="G484"/>
    </x:row>
    <x:row r="485">
      <x:c r="A485" t="str">
        <x:v>Note 53 – Changes in inventories</x:v>
      </x:c>
      <x:c r="B485"/>
      <x:c r="C485"/>
      <x:c r="D485"/>
      <x:c r="E485"/>
      <x:c r="F485"/>
      <x:c r="G485"/>
    </x:row>
    <x:row r="486">
      <x:c r="A486" t="str">
        <x:v>Particulars</x:v>
      </x:c>
      <x:c r="B486" t="str">
        <x:v>Current reporting period</x:v>
      </x:c>
      <x:c r="C486" t="str">
        <x:v>Previous reporting period</x:v>
      </x:c>
      <x:c r="D486" t="str">
        <x:v>Mapping / Source</x:v>
      </x:c>
      <x:c r="E486" t="str">
        <x:v>Classification</x:v>
      </x:c>
      <x:c r="F486" t="str">
        <x:v>Remarks</x:v>
      </x:c>
      <x:c r="G486"/>
    </x:row>
    <x:row r="487">
      <x:c r="A487" t="str">
        <x:v>Finished goods</x:v>
      </x:c>
      <x:c r="B487"/>
      <x:c r="C487"/>
      <x:c r="D487"/>
      <x:c r="E487"/>
      <x:c r="F487"/>
      <x:c r="G487"/>
    </x:row>
    <x:row r="488">
      <x:c r="A488" t="str">
        <x:v>Stock-in-Trade</x:v>
      </x:c>
      <x:c r="B488"/>
      <x:c r="C488"/>
      <x:c r="D488"/>
      <x:c r="E488"/>
      <x:c r="F488"/>
      <x:c r="G488"/>
    </x:row>
    <x:row r="489">
      <x:c r="A489" t="str">
        <x:v>Work-in-progress</x:v>
      </x:c>
      <x:c r="B489"/>
      <x:c r="C489"/>
      <x:c r="D489"/>
      <x:c r="E489"/>
      <x:c r="F489"/>
      <x:c r="G489"/>
    </x:row>
    <x:row r="490">
      <x:c r="A490" t="str">
        <x:v>Total Changes in inventories</x:v>
      </x:c>
      <x:c r="B490" t="n">
        <x:f>SUM(B487:B489)</x:f>
        <x:v>0</x:v>
      </x:c>
      <x:c r="C490" t="n">
        <x:f>SUM(C487:C489)</x:f>
        <x:v>0</x:v>
      </x:c>
      <x:c r="D490"/>
      <x:c r="E490"/>
      <x:c r="F490"/>
      <x:c r="G490"/>
    </x:row>
    <x:row r="491">
      <x:c r="A491"/>
      <x:c r="B491"/>
      <x:c r="C491"/>
      <x:c r="D491"/>
      <x:c r="E491"/>
      <x:c r="F491"/>
      <x:c r="G491"/>
    </x:row>
    <x:row r="492">
      <x:c r="A492" t="str">
        <x:v>Note 54 – Employee benefits expense</x:v>
      </x:c>
      <x:c r="B492"/>
      <x:c r="C492"/>
      <x:c r="D492"/>
      <x:c r="E492"/>
      <x:c r="F492"/>
      <x:c r="G492"/>
    </x:row>
    <x:row r="493">
      <x:c r="A493" t="str">
        <x:v>Particulars</x:v>
      </x:c>
      <x:c r="B493" t="str">
        <x:v>Current reporting period</x:v>
      </x:c>
      <x:c r="C493" t="str">
        <x:v>Previous reporting period</x:v>
      </x:c>
      <x:c r="D493" t="str">
        <x:v>Mapping / Source</x:v>
      </x:c>
      <x:c r="E493" t="str">
        <x:v>Classification</x:v>
      </x:c>
      <x:c r="F493" t="str">
        <x:v>Remarks</x:v>
      </x:c>
      <x:c r="G493"/>
    </x:row>
    <x:row r="494">
      <x:c r="A494" t="str">
        <x:v>Salaries and wages</x:v>
      </x:c>
      <x:c r="B494"/>
      <x:c r="C494"/>
      <x:c r="D494"/>
      <x:c r="E494"/>
      <x:c r="F494"/>
      <x:c r="G494"/>
    </x:row>
    <x:row r="495">
      <x:c r="A495" t="str">
        <x:v>Contributions to funds</x:v>
      </x:c>
      <x:c r="B495"/>
      <x:c r="C495"/>
      <x:c r="D495"/>
      <x:c r="E495"/>
      <x:c r="F495"/>
      <x:c r="G495"/>
    </x:row>
    <x:row r="496">
      <x:c r="A496" t="str">
        <x:v>Share-based payments</x:v>
      </x:c>
      <x:c r="B496"/>
      <x:c r="C496"/>
      <x:c r="D496"/>
      <x:c r="E496"/>
      <x:c r="F496"/>
      <x:c r="G496"/>
    </x:row>
    <x:row r="497">
      <x:c r="A497" t="str">
        <x:v>Staff welfare expenses</x:v>
      </x:c>
      <x:c r="B497"/>
      <x:c r="C497"/>
      <x:c r="D497"/>
      <x:c r="E497"/>
      <x:c r="F497"/>
      <x:c r="G497"/>
    </x:row>
    <x:row r="498">
      <x:c r="A498" t="str">
        <x:v>Other employee costs</x:v>
      </x:c>
      <x:c r="B498"/>
      <x:c r="C498"/>
      <x:c r="D498"/>
      <x:c r="E498"/>
      <x:c r="F498"/>
      <x:c r="G498"/>
    </x:row>
    <x:row r="499">
      <x:c r="A499" t="str">
        <x:v>Total Employee benefits expense</x:v>
      </x:c>
      <x:c r="B499" t="n">
        <x:f>SUM(B494:B498)</x:f>
        <x:v>0</x:v>
      </x:c>
      <x:c r="C499" t="n">
        <x:f>SUM(C494:C498)</x:f>
        <x:v>0</x:v>
      </x:c>
      <x:c r="D499"/>
      <x:c r="E499"/>
      <x:c r="F499"/>
      <x:c r="G499"/>
    </x:row>
    <x:row r="500">
      <x:c r="A500"/>
      <x:c r="B500"/>
      <x:c r="C500"/>
      <x:c r="D500"/>
      <x:c r="E500"/>
      <x:c r="F500"/>
      <x:c r="G500"/>
    </x:row>
    <x:row r="501">
      <x:c r="A501" t="str">
        <x:v>Note 55 – Depreciation, amortisation and impairment</x:v>
      </x:c>
      <x:c r="B501"/>
      <x:c r="C501"/>
      <x:c r="D501"/>
      <x:c r="E501"/>
      <x:c r="F501"/>
      <x:c r="G501"/>
    </x:row>
    <x:row r="502">
      <x:c r="A502" t="str">
        <x:v>Particulars</x:v>
      </x:c>
      <x:c r="B502" t="str">
        <x:v>Current reporting period</x:v>
      </x:c>
      <x:c r="C502" t="str">
        <x:v>Previous reporting period</x:v>
      </x:c>
      <x:c r="D502" t="str">
        <x:v>Mapping / Source</x:v>
      </x:c>
      <x:c r="E502" t="str">
        <x:v>Classification</x:v>
      </x:c>
      <x:c r="F502" t="str">
        <x:v>Remarks</x:v>
      </x:c>
      <x:c r="G502"/>
    </x:row>
    <x:row r="503">
      <x:c r="A503" t="str">
        <x:v>Depreciation</x:v>
      </x:c>
      <x:c r="B503"/>
      <x:c r="C503"/>
      <x:c r="D503"/>
      <x:c r="E503"/>
      <x:c r="F503"/>
      <x:c r="G503"/>
    </x:row>
    <x:row r="504">
      <x:c r="A504" t="str">
        <x:v>Amortisation</x:v>
      </x:c>
      <x:c r="B504"/>
      <x:c r="C504"/>
      <x:c r="D504"/>
      <x:c r="E504"/>
      <x:c r="F504"/>
      <x:c r="G504"/>
    </x:row>
    <x:row r="505">
      <x:c r="A505" t="str">
        <x:v>Impairment</x:v>
      </x:c>
      <x:c r="B505"/>
      <x:c r="C505"/>
      <x:c r="D505"/>
      <x:c r="E505"/>
      <x:c r="F505"/>
      <x:c r="G505"/>
    </x:row>
    <x:row r="506">
      <x:c r="A506" t="str">
        <x:v>Total Depreciation, amortisation and impairment</x:v>
      </x:c>
      <x:c r="B506" t="n">
        <x:f>SUM(B503:B505)</x:f>
        <x:v>0</x:v>
      </x:c>
      <x:c r="C506" t="n">
        <x:f>SUM(C503:C505)</x:f>
        <x:v>0</x:v>
      </x:c>
      <x:c r="D506"/>
      <x:c r="E506"/>
      <x:c r="F506"/>
      <x:c r="G506"/>
    </x:row>
    <x:row r="507">
      <x:c r="A507"/>
      <x:c r="B507"/>
      <x:c r="C507"/>
      <x:c r="D507"/>
      <x:c r="E507"/>
      <x:c r="F507"/>
      <x:c r="G507"/>
    </x:row>
    <x:row r="508">
      <x:c r="A508" t="str">
        <x:v>Note 56 – Other expenses</x:v>
      </x:c>
      <x:c r="B508"/>
      <x:c r="C508"/>
      <x:c r="D508"/>
      <x:c r="E508"/>
      <x:c r="F508"/>
      <x:c r="G508"/>
    </x:row>
    <x:row r="509">
      <x:c r="A509" t="str">
        <x:v>Particulars</x:v>
      </x:c>
      <x:c r="B509" t="str">
        <x:v>Current reporting period</x:v>
      </x:c>
      <x:c r="C509" t="str">
        <x:v>Previous reporting period</x:v>
      </x:c>
      <x:c r="D509" t="str">
        <x:v>Mapping / Source</x:v>
      </x:c>
      <x:c r="E509" t="str">
        <x:v>Classification</x:v>
      </x:c>
      <x:c r="F509" t="str">
        <x:v>Remarks</x:v>
      </x:c>
      <x:c r="G509"/>
    </x:row>
    <x:row r="510">
      <x:c r="A510" t="str">
        <x:v>Rent, taxes and energy costs</x:v>
      </x:c>
      <x:c r="B510"/>
      <x:c r="C510"/>
      <x:c r="D510"/>
      <x:c r="E510"/>
      <x:c r="F510"/>
      <x:c r="G510"/>
    </x:row>
    <x:row r="511">
      <x:c r="A511" t="str">
        <x:v>Repairs and maintenance</x:v>
      </x:c>
      <x:c r="B511"/>
      <x:c r="C511"/>
      <x:c r="D511"/>
      <x:c r="E511"/>
      <x:c r="F511"/>
      <x:c r="G511"/>
    </x:row>
    <x:row r="512">
      <x:c r="A512" t="str">
        <x:v>Communication costs</x:v>
      </x:c>
      <x:c r="B512"/>
      <x:c r="C512"/>
      <x:c r="D512"/>
      <x:c r="E512"/>
      <x:c r="F512"/>
      <x:c r="G512"/>
    </x:row>
    <x:row r="513">
      <x:c r="A513" t="str">
        <x:v>Printing and stationery</x:v>
      </x:c>
      <x:c r="B513"/>
      <x:c r="C513"/>
      <x:c r="D513"/>
      <x:c r="E513"/>
      <x:c r="F513"/>
      <x:c r="G513"/>
    </x:row>
    <x:row r="514">
      <x:c r="A514" t="str">
        <x:v>Advertisement</x:v>
      </x:c>
      <x:c r="B514"/>
      <x:c r="C514"/>
      <x:c r="D514"/>
      <x:c r="E514"/>
      <x:c r="F514"/>
      <x:c r="G514"/>
    </x:row>
    <x:row r="515">
      <x:c r="A515" t="str">
        <x:v>Directors fees</x:v>
      </x:c>
      <x:c r="B515"/>
      <x:c r="C515"/>
      <x:c r="D515"/>
      <x:c r="E515"/>
      <x:c r="F515"/>
      <x:c r="G515"/>
    </x:row>
    <x:row r="516">
      <x:c r="A516" t="str">
        <x:v>Auditor fees</x:v>
      </x:c>
      <x:c r="B516"/>
      <x:c r="C516"/>
      <x:c r="D516"/>
      <x:c r="E516"/>
      <x:c r="F516"/>
      <x:c r="G516"/>
    </x:row>
    <x:row r="517">
      <x:c r="A517" t="str">
        <x:v>Legal and professional charges</x:v>
      </x:c>
      <x:c r="B517"/>
      <x:c r="C517"/>
      <x:c r="D517"/>
      <x:c r="E517"/>
      <x:c r="F517"/>
      <x:c r="G517"/>
    </x:row>
    <x:row r="518">
      <x:c r="A518" t="str">
        <x:v>Insurance</x:v>
      </x:c>
      <x:c r="B518"/>
      <x:c r="C518"/>
      <x:c r="D518"/>
      <x:c r="E518"/>
      <x:c r="F518"/>
      <x:c r="G518"/>
    </x:row>
    <x:row r="519">
      <x:c r="A519" t="str">
        <x:v>Other expenditure</x:v>
      </x:c>
      <x:c r="B519"/>
      <x:c r="C519"/>
      <x:c r="D519"/>
      <x:c r="E519"/>
      <x:c r="F519"/>
      <x:c r="G519"/>
    </x:row>
    <x:row r="520">
      <x:c r="A520" t="str">
        <x:v>Total Other expenses</x:v>
      </x:c>
      <x:c r="B520" t="n">
        <x:f>SUM(B510:B519)</x:f>
        <x:v>0</x:v>
      </x:c>
      <x:c r="C520" t="n">
        <x:f>SUM(C510:C519)</x:f>
        <x:v>0</x:v>
      </x:c>
      <x:c r="D520"/>
      <x:c r="E520"/>
      <x:c r="F520"/>
      <x:c r="G520"/>
    </x:row>
    <x:row r="521">
      <x:c r="A521"/>
      <x:c r="B521"/>
      <x:c r="C521"/>
      <x:c r="D521"/>
      <x:c r="E521"/>
      <x:c r="F521"/>
      <x:c r="G521"/>
    </x:row>
    <x:row r="522">
      <x:c r="A522" t="str">
        <x:v>Note 57 – Exceptional items</x:v>
      </x:c>
      <x:c r="B522"/>
      <x:c r="C522"/>
      <x:c r="D522"/>
      <x:c r="E522"/>
      <x:c r="F522"/>
      <x:c r="G522"/>
    </x:row>
    <x:row r="523">
      <x:c r="A523" t="str">
        <x:v>Particulars</x:v>
      </x:c>
      <x:c r="B523" t="str">
        <x:v>Current reporting period</x:v>
      </x:c>
      <x:c r="C523" t="str">
        <x:v>Previous reporting period</x:v>
      </x:c>
      <x:c r="D523" t="str">
        <x:v>Mapping / Source</x:v>
      </x:c>
      <x:c r="E523" t="str">
        <x:v>Classification</x:v>
      </x:c>
      <x:c r="F523" t="str">
        <x:v>Remarks</x:v>
      </x:c>
      <x:c r="G523"/>
    </x:row>
    <x:row r="524">
      <x:c r="A524" t="str">
        <x:v>Exceptional income</x:v>
      </x:c>
      <x:c r="B524"/>
      <x:c r="C524"/>
      <x:c r="D524"/>
      <x:c r="E524"/>
      <x:c r="F524"/>
      <x:c r="G524"/>
    </x:row>
    <x:row r="525">
      <x:c r="A525" t="str">
        <x:v>Exceptional expense</x:v>
      </x:c>
      <x:c r="B525"/>
      <x:c r="C525"/>
      <x:c r="D525"/>
      <x:c r="E525"/>
      <x:c r="F525"/>
      <x:c r="G525"/>
    </x:row>
    <x:row r="526">
      <x:c r="A526" t="str">
        <x:v>Total Exceptional items</x:v>
      </x:c>
      <x:c r="B526" t="n">
        <x:f>SUM(B524:B525)</x:f>
        <x:v>0</x:v>
      </x:c>
      <x:c r="C526" t="n">
        <x:f>SUM(C524:C525)</x:f>
        <x:v>0</x:v>
      </x:c>
      <x:c r="D526"/>
      <x:c r="E526"/>
      <x:c r="F526"/>
      <x:c r="G526"/>
    </x:row>
    <x:row r="527">
      <x:c r="A527"/>
      <x:c r="B527"/>
      <x:c r="C527"/>
      <x:c r="D527"/>
      <x:c r="E527"/>
      <x:c r="F527"/>
      <x:c r="G527"/>
    </x:row>
    <x:row r="528">
      <x:c r="A528" t="str">
        <x:v>Note 58 – Tax expense</x:v>
      </x:c>
      <x:c r="B528"/>
      <x:c r="C528"/>
      <x:c r="D528"/>
      <x:c r="E528"/>
      <x:c r="F528"/>
      <x:c r="G528"/>
    </x:row>
    <x:row r="529">
      <x:c r="A529" t="str">
        <x:v>Particulars</x:v>
      </x:c>
      <x:c r="B529" t="str">
        <x:v>Current reporting period</x:v>
      </x:c>
      <x:c r="C529" t="str">
        <x:v>Previous reporting period</x:v>
      </x:c>
      <x:c r="D529" t="str">
        <x:v>Mapping / Source</x:v>
      </x:c>
      <x:c r="E529" t="str">
        <x:v>Classification</x:v>
      </x:c>
      <x:c r="F529" t="str">
        <x:v>Remarks</x:v>
      </x:c>
      <x:c r="G529"/>
    </x:row>
    <x:row r="530">
      <x:c r="A530" t="str">
        <x:v>Current tax</x:v>
      </x:c>
      <x:c r="B530"/>
      <x:c r="C530"/>
      <x:c r="D530"/>
      <x:c r="E530"/>
      <x:c r="F530"/>
      <x:c r="G530"/>
    </x:row>
    <x:row r="531">
      <x:c r="A531" t="str">
        <x:v>Deferred tax</x:v>
      </x:c>
      <x:c r="B531"/>
      <x:c r="C531"/>
      <x:c r="D531"/>
      <x:c r="E531"/>
      <x:c r="F531"/>
      <x:c r="G531"/>
    </x:row>
    <x:row r="532">
      <x:c r="A532" t="str">
        <x:v>Tax adjustments for earlier years</x:v>
      </x:c>
      <x:c r="B532"/>
      <x:c r="C532"/>
      <x:c r="D532"/>
      <x:c r="E532"/>
      <x:c r="F532"/>
      <x:c r="G532"/>
    </x:row>
    <x:row r="533">
      <x:c r="A533" t="str">
        <x:v>Total Tax expense</x:v>
      </x:c>
      <x:c r="B533" t="n">
        <x:f>SUM(B530:B532)</x:f>
        <x:v>0</x:v>
      </x:c>
      <x:c r="C533" t="n">
        <x:f>SUM(C530:C532)</x:f>
        <x:v>0</x:v>
      </x:c>
      <x:c r="D533"/>
      <x:c r="E533"/>
      <x:c r="F533"/>
      <x:c r="G533"/>
    </x:row>
    <x:row r="534">
      <x:c r="A534"/>
      <x:c r="B534"/>
      <x:c r="C534"/>
      <x:c r="D534"/>
      <x:c r="E534"/>
      <x:c r="F534"/>
      <x:c r="G534"/>
    </x:row>
    <x:row r="535">
      <x:c r="A535" t="str">
        <x:v>Note 59 – Discontinued operations</x:v>
      </x:c>
      <x:c r="B535"/>
      <x:c r="C535"/>
      <x:c r="D535"/>
      <x:c r="E535"/>
      <x:c r="F535"/>
      <x:c r="G535"/>
    </x:row>
    <x:row r="536">
      <x:c r="A536" t="str">
        <x:v>Particulars</x:v>
      </x:c>
      <x:c r="B536" t="str">
        <x:v>Current reporting period</x:v>
      </x:c>
      <x:c r="C536" t="str">
        <x:v>Previous reporting period</x:v>
      </x:c>
      <x:c r="D536" t="str">
        <x:v>Mapping / Source</x:v>
      </x:c>
      <x:c r="E536" t="str">
        <x:v>Classification</x:v>
      </x:c>
      <x:c r="F536" t="str">
        <x:v>Remarks</x:v>
      </x:c>
      <x:c r="G536"/>
    </x:row>
    <x:row r="537">
      <x:c r="A537" t="str">
        <x:v>Profit/(loss) before tax</x:v>
      </x:c>
      <x:c r="B537"/>
      <x:c r="C537"/>
      <x:c r="D537"/>
      <x:c r="E537"/>
      <x:c r="F537"/>
      <x:c r="G537"/>
    </x:row>
    <x:row r="538">
      <x:c r="A538" t="str">
        <x:v>Tax expense</x:v>
      </x:c>
      <x:c r="B538"/>
      <x:c r="C538"/>
      <x:c r="D538"/>
      <x:c r="E538"/>
      <x:c r="F538"/>
      <x:c r="G538"/>
    </x:row>
    <x:row r="539">
      <x:c r="A539" t="str">
        <x:v>Profit/(loss) after tax</x:v>
      </x:c>
      <x:c r="B539"/>
      <x:c r="C539"/>
      <x:c r="D539"/>
      <x:c r="E539"/>
      <x:c r="F539"/>
      <x:c r="G539"/>
    </x:row>
    <x:row r="540">
      <x:c r="A540" t="str">
        <x:v>Total Discontinued operations</x:v>
      </x:c>
      <x:c r="B540" t="n">
        <x:f>SUM(B537:B539)</x:f>
        <x:v>0</x:v>
      </x:c>
      <x:c r="C540" t="n">
        <x:f>SUM(C537:C539)</x:f>
        <x:v>0</x:v>
      </x:c>
      <x:c r="D540"/>
      <x:c r="E540"/>
      <x:c r="F540"/>
      <x:c r="G540"/>
    </x:row>
    <x:row r="541">
      <x:c r="A541"/>
      <x:c r="B541"/>
      <x:c r="C541"/>
      <x:c r="D541"/>
      <x:c r="E541"/>
      <x:c r="F541"/>
      <x:c r="G541"/>
    </x:row>
    <x:row r="542">
      <x:c r="A542" t="str">
        <x:v>Note 60 – Other Comprehensive Income</x:v>
      </x:c>
      <x:c r="B542"/>
      <x:c r="C542"/>
      <x:c r="D542"/>
      <x:c r="E542"/>
      <x:c r="F542"/>
      <x:c r="G542"/>
    </x:row>
    <x:row r="543">
      <x:c r="A543" t="str">
        <x:v>Particulars</x:v>
      </x:c>
      <x:c r="B543" t="str">
        <x:v>Current reporting period</x:v>
      </x:c>
      <x:c r="C543" t="str">
        <x:v>Previous reporting period</x:v>
      </x:c>
      <x:c r="D543" t="str">
        <x:v>Mapping / Source</x:v>
      </x:c>
      <x:c r="E543" t="str">
        <x:v>Classification</x:v>
      </x:c>
      <x:c r="F543" t="str">
        <x:v>Remarks</x:v>
      </x:c>
      <x:c r="G543"/>
    </x:row>
    <x:row r="544">
      <x:c r="A544" t="str">
        <x:v>Items not reclassified to profit or loss</x:v>
      </x:c>
      <x:c r="B544"/>
      <x:c r="C544"/>
      <x:c r="D544"/>
      <x:c r="E544"/>
      <x:c r="F544"/>
      <x:c r="G544"/>
    </x:row>
    <x:row r="545">
      <x:c r="A545" t="str">
        <x:v>Related income tax</x:v>
      </x:c>
      <x:c r="B545"/>
      <x:c r="C545"/>
      <x:c r="D545"/>
      <x:c r="E545"/>
      <x:c r="F545"/>
      <x:c r="G545"/>
    </x:row>
    <x:row r="546">
      <x:c r="A546" t="str">
        <x:v>Items reclassified to profit or loss</x:v>
      </x:c>
      <x:c r="B546"/>
      <x:c r="C546"/>
      <x:c r="D546"/>
      <x:c r="E546"/>
      <x:c r="F546"/>
      <x:c r="G546"/>
    </x:row>
    <x:row r="547">
      <x:c r="A547" t="str">
        <x:v>Related income tax</x:v>
      </x:c>
      <x:c r="B547"/>
      <x:c r="C547"/>
      <x:c r="D547"/>
      <x:c r="E547"/>
      <x:c r="F547"/>
      <x:c r="G547"/>
    </x:row>
    <x:row r="548">
      <x:c r="A548" t="str">
        <x:v>Total Other Comprehensive Income</x:v>
      </x:c>
      <x:c r="B548" t="n">
        <x:f>SUM(B544:B547)</x:f>
        <x:v>0</x:v>
      </x:c>
      <x:c r="C548" t="n">
        <x:f>SUM(C544:C547)</x:f>
        <x:v>0</x:v>
      </x:c>
      <x:c r="D548"/>
      <x:c r="E548"/>
      <x:c r="F548"/>
      <x:c r="G548"/>
    </x:row>
    <x:row r="549">
      <x:c r="A549"/>
      <x:c r="B549"/>
      <x:c r="C549"/>
      <x:c r="D549"/>
      <x:c r="E549"/>
      <x:c r="F549"/>
      <x:c r="G549"/>
    </x:row>
    <x:row r="550">
      <x:c r="A550" t="str">
        <x:v>Note 61 – Earnings per share</x:v>
      </x:c>
      <x:c r="B550"/>
      <x:c r="C550"/>
      <x:c r="D550"/>
      <x:c r="E550"/>
      <x:c r="F550"/>
      <x:c r="G550"/>
    </x:row>
    <x:row r="551">
      <x:c r="A551" t="str">
        <x:v>Particulars</x:v>
      </x:c>
      <x:c r="B551" t="str">
        <x:v>Current reporting period</x:v>
      </x:c>
      <x:c r="C551" t="str">
        <x:v>Previous reporting period</x:v>
      </x:c>
      <x:c r="D551" t="str">
        <x:v>Mapping / Source</x:v>
      </x:c>
      <x:c r="E551" t="str">
        <x:v>Classification</x:v>
      </x:c>
      <x:c r="F551" t="str">
        <x:v>Remarks</x:v>
      </x:c>
      <x:c r="G551"/>
    </x:row>
    <x:row r="552">
      <x:c r="A552" t="str">
        <x:v>Basic EPS – continuing operations</x:v>
      </x:c>
      <x:c r="B552"/>
      <x:c r="C552"/>
      <x:c r="D552"/>
      <x:c r="E552"/>
      <x:c r="F552"/>
      <x:c r="G552"/>
    </x:row>
    <x:row r="553">
      <x:c r="A553" t="str">
        <x:v>Diluted EPS – continuing operations</x:v>
      </x:c>
      <x:c r="B553"/>
      <x:c r="C553"/>
      <x:c r="D553"/>
      <x:c r="E553"/>
      <x:c r="F553"/>
      <x:c r="G553"/>
    </x:row>
    <x:row r="554">
      <x:c r="A554" t="str">
        <x:v>Basic EPS – discontinued operations</x:v>
      </x:c>
      <x:c r="B554"/>
      <x:c r="C554"/>
      <x:c r="D554"/>
      <x:c r="E554"/>
      <x:c r="F554"/>
      <x:c r="G554"/>
    </x:row>
    <x:row r="555">
      <x:c r="A555" t="str">
        <x:v>Diluted EPS – discontinued operations</x:v>
      </x:c>
      <x:c r="B555"/>
      <x:c r="C555"/>
      <x:c r="D555"/>
      <x:c r="E555"/>
      <x:c r="F555"/>
      <x:c r="G555"/>
    </x:row>
    <x:row r="556">
      <x:c r="A556" t="str">
        <x:v>Total Earnings per share</x:v>
      </x:c>
      <x:c r="B556" t="n">
        <x:f>SUM(B552:B555)</x:f>
        <x:v>0</x:v>
      </x:c>
      <x:c r="C556" t="n">
        <x:f>SUM(C552:C555)</x:f>
        <x:v>0</x:v>
      </x:c>
      <x:c r="D556"/>
      <x:c r="E556"/>
      <x:c r="F556"/>
      <x:c r="G556"/>
    </x:row>
  </x:sheetData>
  <x:mergeCells>
    <x:mergeCell ref="A1:F1"/>
    <x:mergeCell ref="A2:F2"/>
    <x:mergeCell ref="A3:F3"/>
    <x:mergeCell ref="A43:F43"/>
    <x:mergeCell ref="A50:F50"/>
    <x:mergeCell ref="A57:F57"/>
    <x:mergeCell ref="A63:F63"/>
    <x:mergeCell ref="A71:F71"/>
    <x:mergeCell ref="A78:F78"/>
    <x:mergeCell ref="A85:F85"/>
    <x:mergeCell ref="A92:F92"/>
    <x:mergeCell ref="A99:F99"/>
    <x:mergeCell ref="A108:F108"/>
    <x:mergeCell ref="A114:F114"/>
    <x:mergeCell ref="A120:F120"/>
    <x:mergeCell ref="A126:F126"/>
    <x:mergeCell ref="A132:F132"/>
    <x:mergeCell ref="A141:F141"/>
    <x:mergeCell ref="A147:F147"/>
    <x:mergeCell ref="A153:F153"/>
    <x:mergeCell ref="A159:F159"/>
    <x:mergeCell ref="A166:F166"/>
    <x:mergeCell ref="A173:F173"/>
    <x:mergeCell ref="A179:F179"/>
    <x:mergeCell ref="A185:F185"/>
    <x:mergeCell ref="A191:F191"/>
    <x:mergeCell ref="A197:F197"/>
    <x:mergeCell ref="A203:F203"/>
    <x:mergeCell ref="A210:F210"/>
    <x:mergeCell ref="A217:F217"/>
    <x:mergeCell ref="A223:F223"/>
    <x:mergeCell ref="A230:F230"/>
    <x:mergeCell ref="A237:F237"/>
    <x:mergeCell ref="A243:F243"/>
    <x:mergeCell ref="A250:F250"/>
    <x:mergeCell ref="A256:F256"/>
    <x:mergeCell ref="A263:F263"/>
    <x:mergeCell ref="A269:F269"/>
    <x:mergeCell ref="A278:F278"/>
    <x:mergeCell ref="A298:F298"/>
  </x:mergeCells>
  <x:dataValidations count="1">
    <x:dataValidation type="list" sqref="D280:D296">
      <x:formula1>"Pending,Prepared,Reviewed,Not Applicable"</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sheetData>
    <x:row r="1">
      <x:c r="A1" t="str">
        <x:v>System worksheet — do not use</x:v>
      </x:c>
    </x:row>
  </x:sheetData>
  <x:pageMargins left="0.7" right="0.7" top="0.75" bottom="0.75" header="0.3" footer="0.3"/>
</x:worksheet>
</file>

<file path=xl/worksheets/sheet21.xml><?xml version="1.0" encoding="utf-8"?>
<x:worksheet xmlns:x="http://schemas.openxmlformats.org/spreadsheetml/2006/main">
  <x:sheetFormatPr defaultRowHeight="15"/>
  <x:sheetData>
    <x:row r="1">
      <x:c r="A1" t="str">
        <x:v>System worksheet — do not use</x:v>
      </x:c>
    </x:row>
  </x:sheetData>
  <x:pageMargins left="0.7" right="0.7" top="0.75" bottom="0.75" header="0.3" footer="0.3"/>
</x:worksheet>
</file>

<file path=xl/worksheets/sheet22.xml><?xml version="1.0" encoding="utf-8"?>
<x:worksheet xmlns:x="http://schemas.openxmlformats.org/spreadsheetml/2006/main">
  <x:sheetFormatPr defaultRowHeight="15"/>
  <x:sheetData>
    <x:row r="1">
      <x:c r="A1" t="str">
        <x:v>System worksheet — do not use</x:v>
      </x:c>
    </x:row>
  </x:sheetData>
  <x:pageMargins left="0.7" right="0.7" top="0.75" bottom="0.75" header="0.3" footer="0.3"/>
</x:worksheet>
</file>

<file path=xl/worksheets/sheet23.xml><?xml version="1.0" encoding="utf-8"?>
<x:worksheet xmlns:x="http://schemas.openxmlformats.org/spreadsheetml/2006/main">
  <x:sheetFormatPr defaultRowHeight="15"/>
  <x:sheetData>
    <x:row r="1">
      <x:c r="A1" t="str">
        <x:v>System worksheet — do not use</x:v>
      </x:c>
    </x:row>
  </x:sheetData>
  <x:pageMargins left="0.7" right="0.7" top="0.75" bottom="0.75" header="0.3" footer="0.3"/>
</x:worksheet>
</file>

<file path=xl/worksheets/sheet24.xml><?xml version="1.0" encoding="utf-8"?>
<x:worksheet xmlns:x="http://schemas.openxmlformats.org/spreadsheetml/2006/main">
  <x:sheetFormatPr defaultRowHeight="15"/>
  <x:sheetData>
    <x:row r="1">
      <x:c r="A1" t="str">
        <x:v>System worksheet — do not use</x:v>
      </x:c>
    </x:row>
  </x:sheetData>
  <x:pageMargins left="0.7" right="0.7" top="0.75" bottom="0.75" header="0.3" footer="0.3"/>
</x:worksheet>
</file>

<file path=xl/worksheets/sheet25.xml><?xml version="1.0" encoding="utf-8"?>
<x:worksheet xmlns:x="http://schemas.openxmlformats.org/spreadsheetml/2006/main">
  <x:sheetFormatPr defaultRowHeight="15"/>
  <x:sheetData>
    <x:row r="1">
      <x:c r="A1" t="str">
        <x:v>System worksheet — do not use</x:v>
      </x:c>
    </x:row>
  </x:sheetData>
  <x:pageMargins left="0.7" right="0.7" top="0.75" bottom="0.75" header="0.3" footer="0.3"/>
</x:worksheet>
</file>

<file path=xl/worksheets/sheet26.xml><?xml version="1.0" encoding="utf-8"?>
<x:worksheet xmlns:x="http://schemas.openxmlformats.org/spreadsheetml/2006/main">
  <x:sheetFormatPr defaultRowHeight="15"/>
  <x:sheetData>
    <x:row r="1">
      <x:c r="A1" t="str">
        <x:v>System worksheet — do not use</x:v>
      </x:c>
    </x:row>
  </x:sheetData>
  <x:pageMargins left="0.7" right="0.7" top="0.75" bottom="0.75" header="0.3" footer="0.3"/>
</x:worksheet>
</file>

<file path=xl/worksheets/sheet27.xml><?xml version="1.0" encoding="utf-8"?>
<x:worksheet xmlns:x="http://schemas.openxmlformats.org/spreadsheetml/2006/main">
  <x:sheetFormatPr defaultRowHeight="15"/>
  <x:sheetData>
    <x:row r="1">
      <x:c r="A1" t="str">
        <x:v>System worksheet — do not use</x:v>
      </x:c>
    </x:row>
  </x:sheetData>
  <x:pageMargins left="0.7" right="0.7" top="0.75" bottom="0.75" header="0.3" footer="0.3"/>
</x:worksheet>
</file>